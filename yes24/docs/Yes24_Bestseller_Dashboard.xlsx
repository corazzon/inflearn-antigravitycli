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한빛미디어" sheetId="3" state="visible" r:id="rId5"/>
    <sheet name="길벗" sheetId="4" state="visible" r:id="rId6"/>
    <sheet name="제이펍" sheetId="5" state="visible" r:id="rId7"/>
    <sheet name="이지스퍼블리싱" sheetId="6" state="visible" r:id="rId8"/>
    <sheet name="골든래빗" sheetId="7" state="visible" r:id="rId9"/>
    <sheet name="위키북스" sheetId="8" state="visible" r:id="rId10"/>
    <sheet name="영진닷컴" sheetId="9" state="visible" r:id="rId11"/>
    <sheet name="기타 출판사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<sst xmlns="http://schemas.openxmlformats.org/spreadsheetml/2006/main" count="10167" uniqueCount="2093">
  <si>
    <r>
      <rPr>
        <b val="true"/>
        <sz val="18"/>
        <color rgb="FF1F4E78"/>
        <rFont val="Arial"/>
        <family val="0"/>
        <charset val="1"/>
      </rPr>
      <t xml:space="preserve">YES24 IT/</t>
    </r>
    <r>
      <rPr>
        <b val="true"/>
        <sz val="18"/>
        <color rgb="FF1F4E78"/>
        <rFont val="나눔고딕"/>
        <family val="2"/>
      </rPr>
      <t xml:space="preserve">컴퓨터 분야 베스트셀러 분석 대시보드</t>
    </r>
  </si>
  <si>
    <t xml:space="preserve">총 베스트셀러 도서 수</t>
  </si>
  <si>
    <t xml:space="preserve">도서 평균 판매가</t>
  </si>
  <si>
    <t xml:space="preserve">도서 평균 판매지수</t>
  </si>
  <si>
    <t xml:space="preserve">분철 서비스 제공 비율</t>
  </si>
  <si>
    <t xml:space="preserve">주요 출판사별 베스트셀러 점유 현황</t>
  </si>
  <si>
    <t xml:space="preserve">분철 서비스 여부별 비교 분석</t>
  </si>
  <si>
    <t xml:space="preserve">출판사</t>
  </si>
  <si>
    <r>
      <rPr>
        <b val="true"/>
        <sz val="11"/>
        <color rgb="FFFFFFFF"/>
        <rFont val="나눔고딕"/>
        <family val="2"/>
      </rPr>
      <t xml:space="preserve">도서 수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나눔고딕"/>
        <family val="2"/>
      </rPr>
      <t xml:space="preserve">권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</si>
  <si>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평균 판매지수</t>
  </si>
  <si>
    <t xml:space="preserve">평균 평점</t>
  </si>
  <si>
    <t xml:space="preserve">분철 가능 여부</t>
  </si>
  <si>
    <t xml:space="preserve">한빛미디어</t>
  </si>
  <si>
    <r>
      <rPr>
        <sz val="10"/>
        <rFont val="나눔고딕"/>
        <family val="2"/>
      </rPr>
      <t xml:space="preserve">분철 서비스 지원 </t>
    </r>
    <r>
      <rPr>
        <sz val="10"/>
        <rFont val="Arial"/>
        <family val="0"/>
        <charset val="1"/>
      </rPr>
      <t xml:space="preserve">(Y)</t>
    </r>
  </si>
  <si>
    <t xml:space="preserve">길벗</t>
  </si>
  <si>
    <r>
      <rPr>
        <sz val="10"/>
        <rFont val="나눔고딕"/>
        <family val="2"/>
      </rPr>
      <t xml:space="preserve">분철 서비스 미지원 </t>
    </r>
    <r>
      <rPr>
        <sz val="10"/>
        <rFont val="Arial"/>
        <family val="0"/>
        <charset val="1"/>
      </rPr>
      <t xml:space="preserve">(N)</t>
    </r>
  </si>
  <si>
    <t xml:space="preserve">제이펍</t>
  </si>
  <si>
    <t xml:space="preserve">이지스퍼블리싱</t>
  </si>
  <si>
    <t xml:space="preserve">가격대 구간별 도서 분포</t>
  </si>
  <si>
    <t xml:space="preserve">골든래빗</t>
  </si>
  <si>
    <t xml:space="preserve">가격대 구간</t>
  </si>
  <si>
    <t xml:space="preserve">위키북스</t>
  </si>
  <si>
    <r>
      <rPr>
        <sz val="10"/>
        <rFont val="Arial"/>
        <family val="0"/>
        <charset val="1"/>
      </rPr>
      <t xml:space="preserve">1.5</t>
    </r>
    <r>
      <rPr>
        <sz val="10"/>
        <rFont val="나눔고딕"/>
        <family val="2"/>
      </rPr>
      <t xml:space="preserve">만 원 미만</t>
    </r>
  </si>
  <si>
    <t xml:space="preserve">영진닷컴</t>
  </si>
  <si>
    <r>
      <rPr>
        <sz val="10"/>
        <rFont val="Arial"/>
        <family val="0"/>
        <charset val="1"/>
      </rPr>
      <t xml:space="preserve">1.5</t>
    </r>
    <r>
      <rPr>
        <sz val="10"/>
        <rFont val="나눔고딕"/>
        <family val="2"/>
      </rPr>
      <t xml:space="preserve">만 원 이상 </t>
    </r>
    <r>
      <rPr>
        <sz val="10"/>
        <rFont val="Arial"/>
        <family val="0"/>
        <charset val="1"/>
      </rPr>
      <t xml:space="preserve">~ 2.5</t>
    </r>
    <r>
      <rPr>
        <sz val="10"/>
        <rFont val="나눔고딕"/>
        <family val="2"/>
      </rPr>
      <t xml:space="preserve">만 원 미만</t>
    </r>
  </si>
  <si>
    <t xml:space="preserve">커뮤니케이션북스</t>
  </si>
  <si>
    <r>
      <rPr>
        <sz val="10"/>
        <rFont val="Arial"/>
        <family val="0"/>
        <charset val="1"/>
      </rPr>
      <t xml:space="preserve">2.5</t>
    </r>
    <r>
      <rPr>
        <sz val="10"/>
        <rFont val="나눔고딕"/>
        <family val="2"/>
      </rPr>
      <t xml:space="preserve">만 원 이상 </t>
    </r>
    <r>
      <rPr>
        <sz val="10"/>
        <rFont val="Arial"/>
        <family val="0"/>
        <charset val="1"/>
      </rPr>
      <t xml:space="preserve">~ 3.5</t>
    </r>
    <r>
      <rPr>
        <sz val="10"/>
        <rFont val="나눔고딕"/>
        <family val="2"/>
      </rPr>
      <t xml:space="preserve">만 원 미만</t>
    </r>
  </si>
  <si>
    <r>
      <rPr>
        <sz val="10"/>
        <rFont val="Arial"/>
        <family val="0"/>
        <charset val="1"/>
      </rPr>
      <t xml:space="preserve">3.5</t>
    </r>
    <r>
      <rPr>
        <sz val="10"/>
        <rFont val="나눔고딕"/>
        <family val="2"/>
      </rPr>
      <t xml:space="preserve">만 원 이상</t>
    </r>
  </si>
  <si>
    <t xml:space="preserve">goods_no</t>
  </si>
  <si>
    <t xml:space="preserve">rank</t>
  </si>
  <si>
    <t xml:space="preserve">goods_type</t>
  </si>
  <si>
    <t xml:space="preserve">goods_name</t>
  </si>
  <si>
    <t xml:space="preserve">author</t>
  </si>
  <si>
    <t xml:space="preserve">publisher</t>
  </si>
  <si>
    <t xml:space="preserve">publish_year</t>
  </si>
  <si>
    <t xml:space="preserve">discount_rate</t>
  </si>
  <si>
    <t xml:space="preserve">sale_price</t>
  </si>
  <si>
    <t xml:space="preserve">original_price</t>
  </si>
  <si>
    <t xml:space="preserve">point</t>
  </si>
  <si>
    <t xml:space="preserve">sale_index</t>
  </si>
  <si>
    <t xml:space="preserve">review_count</t>
  </si>
  <si>
    <t xml:space="preserve">rating</t>
  </si>
  <si>
    <t xml:space="preserve">spring_service</t>
  </si>
  <si>
    <r>
      <rPr>
        <sz val="10"/>
        <rFont val="Arial"/>
        <family val="0"/>
        <charset val="1"/>
      </rPr>
      <t xml:space="preserve">[</t>
    </r>
    <r>
      <rPr>
        <sz val="10"/>
        <rFont val="나눔고딕"/>
        <family val="2"/>
      </rPr>
      <t xml:space="preserve">도서</t>
    </r>
    <r>
      <rPr>
        <sz val="10"/>
        <rFont val="Arial"/>
        <family val="0"/>
        <charset val="1"/>
      </rPr>
      <t xml:space="preserve">]</t>
    </r>
  </si>
  <si>
    <r>
      <rPr>
        <sz val="10"/>
        <rFont val="나눔고딕"/>
        <family val="2"/>
      </rPr>
      <t xml:space="preserve">혼자 공부하는 바이브 코딩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클로드 코드</t>
    </r>
  </si>
  <si>
    <t xml:space="preserve">조태호</t>
  </si>
  <si>
    <t xml:space="preserve">Y</t>
  </si>
  <si>
    <r>
      <rPr>
        <sz val="10"/>
        <rFont val="나눔고딕"/>
        <family val="2"/>
      </rPr>
      <t xml:space="preserve">이게 되네</t>
    </r>
    <r>
      <rPr>
        <sz val="10"/>
        <rFont val="Arial"/>
        <family val="0"/>
        <charset val="1"/>
      </rPr>
      <t xml:space="preserve">? </t>
    </r>
    <r>
      <rPr>
        <sz val="10"/>
        <rFont val="나눔고딕"/>
        <family val="2"/>
      </rPr>
      <t xml:space="preserve">제미나이 완전 미친 활용법 </t>
    </r>
    <r>
      <rPr>
        <sz val="10"/>
        <rFont val="Arial"/>
        <family val="0"/>
        <charset val="1"/>
      </rPr>
      <t xml:space="preserve">81</t>
    </r>
    <r>
      <rPr>
        <sz val="10"/>
        <rFont val="나눔고딕"/>
        <family val="2"/>
      </rPr>
      <t xml:space="preserve">제</t>
    </r>
  </si>
  <si>
    <t xml:space="preserve">오힘찬</t>
  </si>
  <si>
    <t xml:space="preserve">클로드 코드로 시작하는 실전 에이전틱 코딩</t>
  </si>
  <si>
    <t xml:space="preserve">Goos Kim</t>
  </si>
  <si>
    <t xml:space="preserve">더 타이즈</t>
  </si>
  <si>
    <r>
      <rPr>
        <sz val="10"/>
        <rFont val="나눔고딕"/>
        <family val="2"/>
      </rPr>
      <t xml:space="preserve">조코딩의 바이브 코딩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인 창업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클로드 코드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수파베이스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스트라이프</t>
    </r>
  </si>
  <si>
    <t xml:space="preserve">조동근</t>
  </si>
  <si>
    <r>
      <rPr>
        <sz val="10"/>
        <rFont val="나눔고딕"/>
        <family val="2"/>
      </rPr>
      <t xml:space="preserve">바로바로 클로드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코워크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스킬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클로드 코드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디자인</t>
    </r>
  </si>
  <si>
    <t xml:space="preserve">차진우</t>
  </si>
  <si>
    <t xml:space="preserve">N</t>
  </si>
  <si>
    <r>
      <rPr>
        <sz val="10"/>
        <rFont val="나눔고딕"/>
        <family val="2"/>
      </rPr>
      <t xml:space="preserve">하네스 엔지니어링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클로드 코드</t>
    </r>
  </si>
  <si>
    <t xml:space="preserve">황민호</t>
  </si>
  <si>
    <r>
      <rPr>
        <sz val="10"/>
        <rFont val="나눔고딕"/>
        <family val="2"/>
      </rPr>
      <t xml:space="preserve">지적 대화를 위한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언어 수업</t>
    </r>
  </si>
  <si>
    <t xml:space="preserve">강수진</t>
  </si>
  <si>
    <r>
      <rPr>
        <sz val="10"/>
        <rFont val="나눔고딕"/>
        <family val="2"/>
      </rPr>
      <t xml:space="preserve">어웨이크</t>
    </r>
    <r>
      <rPr>
        <sz val="10"/>
        <rFont val="Arial"/>
        <family val="0"/>
        <charset val="1"/>
      </rPr>
      <t xml:space="preserve">(AWAKE)</t>
    </r>
  </si>
  <si>
    <r>
      <rPr>
        <sz val="10"/>
        <rFont val="나눔고딕"/>
        <family val="2"/>
      </rPr>
      <t xml:space="preserve">요즘 교사를 위한 에듀테크 </t>
    </r>
    <r>
      <rPr>
        <sz val="10"/>
        <rFont val="Arial"/>
        <family val="0"/>
        <charset val="1"/>
      </rPr>
      <t xml:space="preserve">5</t>
    </r>
    <r>
      <rPr>
        <sz val="10"/>
        <rFont val="나눔고딕"/>
        <family val="2"/>
      </rPr>
      <t xml:space="preserve">대장 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</rPr>
      <t xml:space="preserve">캔바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패들렛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북크리에이터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노션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챗</t>
    </r>
    <r>
      <rPr>
        <sz val="10"/>
        <rFont val="Arial"/>
        <family val="0"/>
        <charset val="1"/>
      </rPr>
      <t xml:space="preserve">GPT∙</t>
    </r>
    <r>
      <rPr>
        <sz val="10"/>
        <rFont val="나눔고딕"/>
        <family val="2"/>
      </rPr>
      <t xml:space="preserve">제미나이</t>
    </r>
  </si>
  <si>
    <r>
      <rPr>
        <sz val="10"/>
        <rFont val="나눔고딕"/>
        <family val="2"/>
      </rPr>
      <t xml:space="preserve">안익재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황의태</t>
    </r>
  </si>
  <si>
    <t xml:space="preserve">앤써북</t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</si>
  <si>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시대의 질문력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프롬프트 엔지니어링</t>
    </r>
  </si>
  <si>
    <t xml:space="preserve">류한석</t>
  </si>
  <si>
    <r>
      <rPr>
        <sz val="10"/>
        <rFont val="나눔고딕"/>
        <family val="2"/>
      </rPr>
      <t xml:space="preserve">코리아닷컴</t>
    </r>
    <r>
      <rPr>
        <sz val="10"/>
        <rFont val="Arial"/>
        <family val="0"/>
        <charset val="1"/>
      </rPr>
      <t xml:space="preserve">(Korea.com)</t>
    </r>
  </si>
  <si>
    <r>
      <rPr>
        <sz val="10"/>
        <rFont val="나눔고딕"/>
        <family val="2"/>
      </rPr>
      <t xml:space="preserve">바로바로 제미나이 </t>
    </r>
    <r>
      <rPr>
        <sz val="10"/>
        <rFont val="Arial"/>
        <family val="0"/>
        <charset val="1"/>
      </rPr>
      <t xml:space="preserve">X </t>
    </r>
    <r>
      <rPr>
        <sz val="10"/>
        <rFont val="나눔고딕"/>
        <family val="2"/>
      </rPr>
      <t xml:space="preserve">구글 </t>
    </r>
    <r>
      <rPr>
        <sz val="10"/>
        <rFont val="Arial"/>
        <family val="0"/>
        <charset val="1"/>
      </rPr>
      <t xml:space="preserve">AI</t>
    </r>
  </si>
  <si>
    <t xml:space="preserve">공냥이</t>
  </si>
  <si>
    <t xml:space="preserve">클로드 코드 마스터</t>
  </si>
  <si>
    <r>
      <rPr>
        <sz val="10"/>
        <rFont val="나눔고딕"/>
        <family val="2"/>
      </rPr>
      <t xml:space="preserve">이남희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백승현</t>
    </r>
  </si>
  <si>
    <r>
      <rPr>
        <sz val="10"/>
        <rFont val="나눔고딕"/>
        <family val="2"/>
      </rPr>
      <t xml:space="preserve">한눈에 보는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반도체 산업</t>
    </r>
  </si>
  <si>
    <t xml:space="preserve">MrTrigger</t>
  </si>
  <si>
    <r>
      <rPr>
        <sz val="10"/>
        <rFont val="나눔고딕"/>
        <family val="2"/>
      </rPr>
      <t xml:space="preserve">바쁜 교사를 위한 바로 쓰는 </t>
    </r>
    <r>
      <rPr>
        <sz val="10"/>
        <rFont val="Arial"/>
        <family val="0"/>
        <charset val="1"/>
      </rPr>
      <t xml:space="preserve">AI</t>
    </r>
  </si>
  <si>
    <r>
      <rPr>
        <sz val="10"/>
        <rFont val="나눔고딕"/>
        <family val="2"/>
      </rPr>
      <t xml:space="preserve">전소영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이태화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조두연</t>
    </r>
  </si>
  <si>
    <t xml:space="preserve">사회평론아카데미</t>
  </si>
  <si>
    <r>
      <rPr>
        <sz val="10"/>
        <rFont val="나눔고딕"/>
        <family val="2"/>
      </rPr>
      <t xml:space="preserve">된다</t>
    </r>
    <r>
      <rPr>
        <sz val="10"/>
        <rFont val="Arial"/>
        <family val="0"/>
        <charset val="1"/>
      </rPr>
      <t xml:space="preserve">! </t>
    </r>
    <r>
      <rPr>
        <sz val="10"/>
        <rFont val="나눔고딕"/>
        <family val="2"/>
      </rPr>
      <t xml:space="preserve">캡컷 영상 편집</t>
    </r>
  </si>
  <si>
    <t xml:space="preserve">지민이</t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</si>
  <si>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실전 마스터 칼릭스의 프롬프트 디테일</t>
    </r>
  </si>
  <si>
    <r>
      <rPr>
        <sz val="10"/>
        <rFont val="나눔고딕"/>
        <family val="2"/>
      </rPr>
      <t xml:space="preserve">칼릭스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손윤석</t>
    </r>
    <r>
      <rPr>
        <sz val="10"/>
        <rFont val="Arial"/>
        <family val="0"/>
        <charset val="1"/>
      </rPr>
      <t xml:space="preserve">)</t>
    </r>
  </si>
  <si>
    <t xml:space="preserve">한빛비즈</t>
  </si>
  <si>
    <r>
      <rPr>
        <sz val="10"/>
        <rFont val="나눔고딕"/>
        <family val="2"/>
      </rPr>
      <t xml:space="preserve">이게 되네</t>
    </r>
    <r>
      <rPr>
        <sz val="10"/>
        <rFont val="Arial"/>
        <family val="0"/>
        <charset val="1"/>
      </rPr>
      <t xml:space="preserve">? </t>
    </r>
    <r>
      <rPr>
        <sz val="10"/>
        <rFont val="나눔고딕"/>
        <family val="2"/>
      </rPr>
      <t xml:space="preserve">오픈클로 미친 활용법 </t>
    </r>
    <r>
      <rPr>
        <sz val="10"/>
        <rFont val="Arial"/>
        <family val="0"/>
        <charset val="1"/>
      </rPr>
      <t xml:space="preserve">50</t>
    </r>
    <r>
      <rPr>
        <sz val="10"/>
        <rFont val="나눔고딕"/>
        <family val="2"/>
      </rPr>
      <t xml:space="preserve">제</t>
    </r>
  </si>
  <si>
    <t xml:space="preserve">한준구</t>
  </si>
  <si>
    <t xml:space="preserve">진짜 쓰는 실무 엑셀</t>
  </si>
  <si>
    <t xml:space="preserve">전진권</t>
  </si>
  <si>
    <r>
      <rPr>
        <sz val="10"/>
        <rFont val="나눔고딕"/>
        <family val="2"/>
      </rPr>
      <t xml:space="preserve">다시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소프트웨어 엔지니어</t>
    </r>
  </si>
  <si>
    <r>
      <rPr>
        <sz val="10"/>
        <rFont val="나눔고딕"/>
        <family val="2"/>
      </rPr>
      <t xml:space="preserve">네서니얼 슈타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댄 베가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박성철 역</t>
    </r>
  </si>
  <si>
    <t xml:space="preserve">책만</t>
  </si>
  <si>
    <r>
      <rPr>
        <sz val="10"/>
        <rFont val="Arial"/>
        <family val="0"/>
        <charset val="1"/>
      </rPr>
      <t xml:space="preserve">Do it! </t>
    </r>
    <r>
      <rPr>
        <sz val="10"/>
        <rFont val="나눔고딕"/>
        <family val="2"/>
      </rPr>
      <t xml:space="preserve">점프 투 파이썬</t>
    </r>
  </si>
  <si>
    <t xml:space="preserve">박응용</t>
  </si>
  <si>
    <r>
      <rPr>
        <sz val="10"/>
        <rFont val="나눔고딕"/>
        <family val="2"/>
      </rPr>
      <t xml:space="preserve">제미나이 교사 마스터 플랜 </t>
    </r>
    <r>
      <rPr>
        <sz val="10"/>
        <rFont val="Arial"/>
        <family val="0"/>
        <charset val="1"/>
      </rPr>
      <t xml:space="preserve">(2026</t>
    </r>
    <r>
      <rPr>
        <sz val="10"/>
        <rFont val="나눔고딕"/>
        <family val="2"/>
      </rPr>
      <t xml:space="preserve">년 최신판</t>
    </r>
    <r>
      <rPr>
        <sz val="10"/>
        <rFont val="Arial"/>
        <family val="0"/>
        <charset val="1"/>
      </rPr>
      <t xml:space="preserve">)</t>
    </r>
  </si>
  <si>
    <t xml:space="preserve">한민철</t>
  </si>
  <si>
    <t xml:space="preserve">책바세</t>
  </si>
  <si>
    <r>
      <rPr>
        <sz val="10"/>
        <rFont val="나눔고딕"/>
        <family val="2"/>
      </rPr>
      <t xml:space="preserve">클로드 코워크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스킬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플러그인</t>
    </r>
  </si>
  <si>
    <r>
      <rPr>
        <sz val="10"/>
        <rFont val="나눔고딕"/>
        <family val="2"/>
      </rPr>
      <t xml:space="preserve">클리커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강민혁</t>
    </r>
  </si>
  <si>
    <r>
      <rPr>
        <sz val="10"/>
        <rFont val="나눔고딕"/>
        <family val="2"/>
      </rPr>
      <t xml:space="preserve">바이브 코더를 위한 최소한의 </t>
    </r>
    <r>
      <rPr>
        <sz val="10"/>
        <rFont val="Arial"/>
        <family val="0"/>
        <charset val="1"/>
      </rPr>
      <t xml:space="preserve">AI/IT </t>
    </r>
    <r>
      <rPr>
        <sz val="10"/>
        <rFont val="나눔고딕"/>
        <family val="2"/>
      </rPr>
      <t xml:space="preserve">지식</t>
    </r>
  </si>
  <si>
    <r>
      <rPr>
        <sz val="10"/>
        <rFont val="나눔고딕"/>
        <family val="2"/>
      </rPr>
      <t xml:space="preserve">클리커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이희영</t>
    </r>
  </si>
  <si>
    <r>
      <rPr>
        <sz val="10"/>
        <rFont val="나눔고딕"/>
        <family val="2"/>
      </rPr>
      <t xml:space="preserve">일 잘하는 직장인의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활용법</t>
    </r>
  </si>
  <si>
    <r>
      <rPr>
        <sz val="10"/>
        <rFont val="나눔고딕"/>
        <family val="2"/>
      </rPr>
      <t xml:space="preserve">김덕중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김민정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김인선</t>
    </r>
  </si>
  <si>
    <t xml:space="preserve">디지털북스</t>
  </si>
  <si>
    <r>
      <rPr>
        <sz val="10"/>
        <rFont val="나눔고딕"/>
        <family val="2"/>
      </rPr>
      <t xml:space="preserve">청소년을 위한 바로 써먹는 필수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활용법</t>
    </r>
  </si>
  <si>
    <t xml:space="preserve">김환</t>
  </si>
  <si>
    <t xml:space="preserve">알파에듀</t>
  </si>
  <si>
    <r>
      <rPr>
        <sz val="10"/>
        <rFont val="나눔고딕"/>
        <family val="2"/>
      </rPr>
      <t xml:space="preserve">학교에서 바로 쓰는 제미나이 </t>
    </r>
    <r>
      <rPr>
        <sz val="10"/>
        <rFont val="Arial"/>
        <family val="0"/>
        <charset val="1"/>
      </rPr>
      <t xml:space="preserve">&amp; </t>
    </r>
    <r>
      <rPr>
        <sz val="10"/>
        <rFont val="나눔고딕"/>
        <family val="2"/>
      </rPr>
      <t xml:space="preserve">노트북</t>
    </r>
    <r>
      <rPr>
        <sz val="10"/>
        <rFont val="Arial"/>
        <family val="0"/>
        <charset val="1"/>
      </rPr>
      <t xml:space="preserve">LM</t>
    </r>
  </si>
  <si>
    <r>
      <rPr>
        <sz val="10"/>
        <rFont val="나눔고딕"/>
        <family val="2"/>
      </rPr>
      <t xml:space="preserve">손성호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김상백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송유미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박권 저 외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명 정보 더 보기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감추기 손성호 김민 김상백 송유미 박권 최동욱</t>
    </r>
  </si>
  <si>
    <t xml:space="preserve">학교도서관저널</t>
  </si>
  <si>
    <t xml:space="preserve">클로드 디자인 시작하기</t>
  </si>
  <si>
    <t xml:space="preserve">조남경</t>
  </si>
  <si>
    <t xml:space="preserve">비엘북스</t>
  </si>
  <si>
    <r>
      <rPr>
        <sz val="10"/>
        <rFont val="나눔고딕"/>
        <family val="2"/>
      </rPr>
      <t xml:space="preserve">오픈클로 </t>
    </r>
    <r>
      <rPr>
        <sz val="10"/>
        <rFont val="Arial"/>
        <family val="0"/>
        <charset val="1"/>
      </rPr>
      <t xml:space="preserve">with GPT, </t>
    </r>
    <r>
      <rPr>
        <sz val="10"/>
        <rFont val="나눔고딕"/>
        <family val="2"/>
      </rPr>
      <t xml:space="preserve">제미나이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클로드</t>
    </r>
  </si>
  <si>
    <t xml:space="preserve">강민혁</t>
  </si>
  <si>
    <r>
      <rPr>
        <sz val="10"/>
        <rFont val="나눔고딕"/>
        <family val="2"/>
      </rPr>
      <t xml:space="preserve">만들면서 배우는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에이전트 개발 입문</t>
    </r>
    <r>
      <rPr>
        <sz val="10"/>
        <rFont val="Arial"/>
        <family val="0"/>
        <charset val="1"/>
      </rPr>
      <t xml:space="preserve">+</t>
    </r>
    <r>
      <rPr>
        <sz val="10"/>
        <rFont val="나눔고딕"/>
        <family val="2"/>
      </rPr>
      <t xml:space="preserve">실전</t>
    </r>
  </si>
  <si>
    <r>
      <rPr>
        <sz val="10"/>
        <rFont val="나눔고딕"/>
        <family val="2"/>
      </rPr>
      <t xml:space="preserve">박나연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공원나연</t>
    </r>
    <r>
      <rPr>
        <sz val="10"/>
        <rFont val="Arial"/>
        <family val="0"/>
        <charset val="1"/>
      </rPr>
      <t xml:space="preserve">)</t>
    </r>
  </si>
  <si>
    <t xml:space="preserve">옵시디언 프로페셔널 노트</t>
  </si>
  <si>
    <t xml:space="preserve">구요한</t>
  </si>
  <si>
    <t xml:space="preserve">리코멘드</t>
  </si>
  <si>
    <t xml:space="preserve">혼자 공부하는 파이썬</t>
  </si>
  <si>
    <t xml:space="preserve">윤인성</t>
  </si>
  <si>
    <t xml:space="preserve">프로덕트 디자이너로 살아남기</t>
  </si>
  <si>
    <t xml:space="preserve">강영화</t>
  </si>
  <si>
    <t xml:space="preserve">이오스튜디오</t>
  </si>
  <si>
    <t xml:space="preserve">자연은 왜 이토록 단순하면서도 아름다운가</t>
  </si>
  <si>
    <r>
      <rPr>
        <sz val="10"/>
        <rFont val="나눔고딕"/>
        <family val="2"/>
      </rPr>
      <t xml:space="preserve">로버트 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크리스 퀴그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박병철 역</t>
    </r>
  </si>
  <si>
    <r>
      <rPr>
        <sz val="10"/>
        <rFont val="나눔고딕"/>
        <family val="2"/>
      </rPr>
      <t xml:space="preserve">알에이치코리아</t>
    </r>
    <r>
      <rPr>
        <sz val="10"/>
        <rFont val="Arial"/>
        <family val="0"/>
        <charset val="1"/>
      </rPr>
      <t xml:space="preserve">(RHK)</t>
    </r>
  </si>
  <si>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시대에 난생처음 들어보는 데이터센터 이야기</t>
    </r>
  </si>
  <si>
    <t xml:space="preserve">김주회</t>
  </si>
  <si>
    <t xml:space="preserve">북플레이트</t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</si>
  <si>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에이전트 엔지니어링</t>
    </r>
  </si>
  <si>
    <r>
      <rPr>
        <sz val="10"/>
        <rFont val="나눔고딕"/>
        <family val="2"/>
      </rPr>
      <t xml:space="preserve">마이클 알바다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강민혁 역</t>
    </r>
  </si>
  <si>
    <r>
      <rPr>
        <sz val="10"/>
        <rFont val="나눔고딕"/>
        <family val="2"/>
      </rPr>
      <t xml:space="preserve">수업에 바로 쓰는 일잘러 선생님의 캔바 </t>
    </r>
    <r>
      <rPr>
        <sz val="10"/>
        <rFont val="Arial"/>
        <family val="0"/>
        <charset val="1"/>
      </rPr>
      <t xml:space="preserve">Canva </t>
    </r>
    <r>
      <rPr>
        <sz val="10"/>
        <rFont val="나눔고딕"/>
        <family val="2"/>
      </rPr>
      <t xml:space="preserve">활용법</t>
    </r>
  </si>
  <si>
    <t xml:space="preserve">황은지</t>
  </si>
  <si>
    <t xml:space="preserve">클로드 코드를 활용한 바이브 코딩 완벽 입문</t>
  </si>
  <si>
    <r>
      <rPr>
        <sz val="10"/>
        <rFont val="나눔고딕"/>
        <family val="2"/>
      </rPr>
      <t xml:space="preserve">히라카와 토모히데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최용 역</t>
    </r>
  </si>
  <si>
    <r>
      <rPr>
        <sz val="10"/>
        <rFont val="나눔고딕"/>
        <family val="2"/>
      </rPr>
      <t xml:space="preserve">요즘 교사를 위한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바이브 코딩 활용 가이드 </t>
    </r>
    <r>
      <rPr>
        <sz val="10"/>
        <rFont val="Arial"/>
        <family val="0"/>
        <charset val="1"/>
      </rPr>
      <t xml:space="preserve">with 2022 </t>
    </r>
    <r>
      <rPr>
        <sz val="10"/>
        <rFont val="나눔고딕"/>
        <family val="2"/>
      </rPr>
      <t xml:space="preserve">개정 교육과정</t>
    </r>
  </si>
  <si>
    <r>
      <rPr>
        <sz val="10"/>
        <rFont val="나눔고딕"/>
        <family val="2"/>
      </rPr>
      <t xml:space="preserve">공지훈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곽수창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박준효</t>
    </r>
  </si>
  <si>
    <r>
      <rPr>
        <sz val="10"/>
        <rFont val="나눔고딕"/>
        <family val="2"/>
      </rPr>
      <t xml:space="preserve">요즘 교사를 위한 에듀테크 수업 활용 가이드 </t>
    </r>
    <r>
      <rPr>
        <sz val="10"/>
        <rFont val="Arial"/>
        <family val="0"/>
        <charset val="1"/>
      </rPr>
      <t xml:space="preserve">with 2022 </t>
    </r>
    <r>
      <rPr>
        <sz val="10"/>
        <rFont val="나눔고딕"/>
        <family val="2"/>
      </rPr>
      <t xml:space="preserve">개정 교육과정</t>
    </r>
  </si>
  <si>
    <r>
      <rPr>
        <sz val="10"/>
        <rFont val="나눔고딕"/>
        <family val="2"/>
      </rPr>
      <t xml:space="preserve">박진환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서원진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박권</t>
    </r>
  </si>
  <si>
    <r>
      <rPr>
        <sz val="10"/>
        <rFont val="나눔고딕"/>
        <family val="2"/>
      </rPr>
      <t xml:space="preserve">요즘 교사를 위한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수업 활용 가이드 </t>
    </r>
    <r>
      <rPr>
        <sz val="10"/>
        <rFont val="Arial"/>
        <family val="0"/>
        <charset val="1"/>
      </rPr>
      <t xml:space="preserve">with 2022 </t>
    </r>
    <r>
      <rPr>
        <sz val="10"/>
        <rFont val="나눔고딕"/>
        <family val="2"/>
      </rPr>
      <t xml:space="preserve">개정 교육과정</t>
    </r>
  </si>
  <si>
    <r>
      <rPr>
        <sz val="10"/>
        <rFont val="나눔고딕"/>
        <family val="2"/>
      </rPr>
      <t xml:space="preserve">박진환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공지훈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서원진</t>
    </r>
  </si>
  <si>
    <r>
      <rPr>
        <sz val="10"/>
        <rFont val="나눔고딕"/>
        <family val="2"/>
      </rPr>
      <t xml:space="preserve">된다</t>
    </r>
    <r>
      <rPr>
        <sz val="10"/>
        <rFont val="Arial"/>
        <family val="0"/>
        <charset val="1"/>
      </rPr>
      <t xml:space="preserve">! </t>
    </r>
    <r>
      <rPr>
        <sz val="10"/>
        <rFont val="나눔고딕"/>
        <family val="2"/>
      </rPr>
      <t xml:space="preserve">스레드 활용법</t>
    </r>
  </si>
  <si>
    <t xml:space="preserve">거북이걸음</t>
  </si>
  <si>
    <r>
      <rPr>
        <sz val="10"/>
        <rFont val="나눔고딕"/>
        <family val="2"/>
      </rPr>
      <t xml:space="preserve">이게 되네</t>
    </r>
    <r>
      <rPr>
        <sz val="10"/>
        <rFont val="Arial"/>
        <family val="0"/>
        <charset val="1"/>
      </rPr>
      <t xml:space="preserve">? </t>
    </r>
    <r>
      <rPr>
        <sz val="10"/>
        <rFont val="나눔고딕"/>
        <family val="2"/>
      </rPr>
      <t xml:space="preserve">챗</t>
    </r>
    <r>
      <rPr>
        <sz val="10"/>
        <rFont val="Arial"/>
        <family val="0"/>
        <charset val="1"/>
      </rPr>
      <t xml:space="preserve">GPT </t>
    </r>
    <r>
      <rPr>
        <sz val="10"/>
        <rFont val="나눔고딕"/>
        <family val="2"/>
      </rPr>
      <t xml:space="preserve">미친 활용법 </t>
    </r>
    <r>
      <rPr>
        <sz val="10"/>
        <rFont val="Arial"/>
        <family val="0"/>
        <charset val="1"/>
      </rPr>
      <t xml:space="preserve">71</t>
    </r>
    <r>
      <rPr>
        <sz val="10"/>
        <rFont val="나눔고딕"/>
        <family val="2"/>
      </rPr>
      <t xml:space="preserve">제</t>
    </r>
  </si>
  <si>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로 </t>
    </r>
    <r>
      <rPr>
        <sz val="10"/>
        <rFont val="Arial"/>
        <family val="0"/>
        <charset val="1"/>
      </rPr>
      <t xml:space="preserve">10</t>
    </r>
    <r>
      <rPr>
        <sz val="10"/>
        <rFont val="나눔고딕"/>
        <family val="2"/>
      </rPr>
      <t xml:space="preserve">배 빠르게 일하는 법</t>
    </r>
  </si>
  <si>
    <r>
      <rPr>
        <sz val="10"/>
        <rFont val="나눔고딕"/>
        <family val="2"/>
      </rPr>
      <t xml:space="preserve">이도혜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고신복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김경태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박소희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박은혜 저 외 </t>
    </r>
    <r>
      <rPr>
        <sz val="10"/>
        <rFont val="Arial"/>
        <family val="0"/>
        <charset val="1"/>
      </rPr>
      <t xml:space="preserve">7</t>
    </r>
    <r>
      <rPr>
        <sz val="10"/>
        <rFont val="나눔고딕"/>
        <family val="2"/>
      </rPr>
      <t xml:space="preserve">명 정보 더 보기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감추기 이도혜 고신복 김경태 박소희 박은혜 양유직 오세종 정광우 조난영 진효식 허난희 김진선</t>
    </r>
  </si>
  <si>
    <t xml:space="preserve">미디어북</t>
  </si>
  <si>
    <r>
      <rPr>
        <sz val="10"/>
        <rFont val="Arial"/>
        <family val="0"/>
        <charset val="1"/>
      </rPr>
      <t xml:space="preserve">Node.js + NestJS </t>
    </r>
    <r>
      <rPr>
        <sz val="10"/>
        <rFont val="나눔고딕"/>
        <family val="2"/>
      </rPr>
      <t xml:space="preserve">교과서</t>
    </r>
  </si>
  <si>
    <t xml:space="preserve">조현영</t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</si>
  <si>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에이전트 개발 완벽 입문</t>
    </r>
  </si>
  <si>
    <r>
      <rPr>
        <sz val="10"/>
        <rFont val="나눔고딕"/>
        <family val="2"/>
      </rPr>
      <t xml:space="preserve">에디 유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김대규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조경아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김현지</t>
    </r>
  </si>
  <si>
    <r>
      <rPr>
        <sz val="10"/>
        <rFont val="나눔고딕"/>
        <family val="2"/>
      </rPr>
      <t xml:space="preserve">수업과 업무에 바로 적용하는 생성형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활용 </t>
    </r>
    <r>
      <rPr>
        <sz val="10"/>
        <rFont val="Arial"/>
        <family val="0"/>
        <charset val="1"/>
      </rPr>
      <t xml:space="preserve">58</t>
    </r>
    <r>
      <rPr>
        <sz val="10"/>
        <rFont val="나눔고딕"/>
        <family val="2"/>
      </rPr>
      <t xml:space="preserve">제</t>
    </r>
  </si>
  <si>
    <t xml:space="preserve">임세범</t>
  </si>
  <si>
    <r>
      <rPr>
        <sz val="10"/>
        <rFont val="나눔고딕"/>
        <family val="2"/>
      </rPr>
      <t xml:space="preserve">된다</t>
    </r>
    <r>
      <rPr>
        <sz val="10"/>
        <rFont val="Arial"/>
        <family val="0"/>
        <charset val="1"/>
      </rPr>
      <t xml:space="preserve">! </t>
    </r>
    <r>
      <rPr>
        <sz val="10"/>
        <rFont val="나눔고딕"/>
        <family val="2"/>
      </rPr>
      <t xml:space="preserve">조회수 터지는 유튜브 쇼츠 만들기</t>
    </r>
  </si>
  <si>
    <t xml:space="preserve">최지영</t>
  </si>
  <si>
    <r>
      <rPr>
        <sz val="10"/>
        <rFont val="나눔고딕"/>
        <family val="2"/>
      </rPr>
      <t xml:space="preserve">이게 되네</t>
    </r>
    <r>
      <rPr>
        <sz val="10"/>
        <rFont val="Arial"/>
        <family val="0"/>
        <charset val="1"/>
      </rPr>
      <t xml:space="preserve">? </t>
    </r>
    <r>
      <rPr>
        <sz val="10"/>
        <rFont val="나눔고딕"/>
        <family val="2"/>
      </rPr>
      <t xml:space="preserve">캔바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미친 활용법 </t>
    </r>
    <r>
      <rPr>
        <sz val="10"/>
        <rFont val="Arial"/>
        <family val="0"/>
        <charset val="1"/>
      </rPr>
      <t xml:space="preserve">47</t>
    </r>
    <r>
      <rPr>
        <sz val="10"/>
        <rFont val="나눔고딕"/>
        <family val="2"/>
      </rPr>
      <t xml:space="preserve">제</t>
    </r>
  </si>
  <si>
    <r>
      <rPr>
        <sz val="10"/>
        <rFont val="나눔고딕"/>
        <family val="2"/>
      </rPr>
      <t xml:space="preserve">이지쌤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이지훈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</si>
  <si>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생존 지도</t>
    </r>
  </si>
  <si>
    <t xml:space="preserve">이석현</t>
  </si>
  <si>
    <t xml:space="preserve">여림재</t>
  </si>
  <si>
    <r>
      <rPr>
        <sz val="10"/>
        <rFont val="Arial"/>
        <family val="0"/>
        <charset val="1"/>
      </rPr>
      <t xml:space="preserve">NEW </t>
    </r>
    <r>
      <rPr>
        <sz val="10"/>
        <rFont val="나눔고딕"/>
        <family val="2"/>
      </rPr>
      <t xml:space="preserve">우당탕탕 한글 </t>
    </r>
    <r>
      <rPr>
        <sz val="10"/>
        <rFont val="Arial"/>
        <family val="0"/>
        <charset val="1"/>
      </rPr>
      <t xml:space="preserve">2020/2022</t>
    </r>
    <r>
      <rPr>
        <sz val="10"/>
        <rFont val="나눔고딕"/>
        <family val="2"/>
      </rPr>
      <t xml:space="preserve">로 문서만들기</t>
    </r>
  </si>
  <si>
    <t xml:space="preserve">교재개발팀</t>
  </si>
  <si>
    <t xml:space="preserve">마린북스</t>
  </si>
  <si>
    <r>
      <rPr>
        <sz val="10"/>
        <rFont val="나눔고딕"/>
        <family val="2"/>
      </rPr>
      <t xml:space="preserve">요즘 바이브 코딩 커서 </t>
    </r>
    <r>
      <rPr>
        <sz val="10"/>
        <rFont val="Arial"/>
        <family val="0"/>
        <charset val="1"/>
      </rPr>
      <t xml:space="preserve">X </t>
    </r>
    <r>
      <rPr>
        <sz val="10"/>
        <rFont val="나눔고딕"/>
        <family val="2"/>
      </rPr>
      <t xml:space="preserve">클로드 코드 실전 외주 돈 벌기</t>
    </r>
  </si>
  <si>
    <t xml:space="preserve">불혹코딩</t>
  </si>
  <si>
    <r>
      <rPr>
        <sz val="10"/>
        <rFont val="나눔고딕"/>
        <family val="2"/>
      </rPr>
      <t xml:space="preserve">이게 되네</t>
    </r>
    <r>
      <rPr>
        <sz val="10"/>
        <rFont val="Arial"/>
        <family val="0"/>
        <charset val="1"/>
      </rPr>
      <t xml:space="preserve">? AI </t>
    </r>
    <r>
      <rPr>
        <sz val="10"/>
        <rFont val="나눔고딕"/>
        <family val="2"/>
      </rPr>
      <t xml:space="preserve">쇼츠 만들기 미친 자동화 </t>
    </r>
    <r>
      <rPr>
        <sz val="10"/>
        <rFont val="Arial"/>
        <family val="0"/>
        <charset val="1"/>
      </rPr>
      <t xml:space="preserve">22</t>
    </r>
    <r>
      <rPr>
        <sz val="10"/>
        <rFont val="나눔고딕"/>
        <family val="2"/>
      </rPr>
      <t xml:space="preserve">제</t>
    </r>
  </si>
  <si>
    <t xml:space="preserve">천은영</t>
  </si>
  <si>
    <r>
      <rPr>
        <sz val="10"/>
        <rFont val="나눔고딕"/>
        <family val="2"/>
      </rPr>
      <t xml:space="preserve">이게 되네</t>
    </r>
    <r>
      <rPr>
        <sz val="10"/>
        <rFont val="Arial"/>
        <family val="0"/>
        <charset val="1"/>
      </rPr>
      <t xml:space="preserve">? </t>
    </r>
    <r>
      <rPr>
        <sz val="10"/>
        <rFont val="나눔고딕"/>
        <family val="2"/>
      </rPr>
      <t xml:space="preserve">나노바나나 </t>
    </r>
    <r>
      <rPr>
        <sz val="10"/>
        <rFont val="Arial"/>
        <family val="0"/>
        <charset val="1"/>
      </rPr>
      <t xml:space="preserve">2 AI </t>
    </r>
    <r>
      <rPr>
        <sz val="10"/>
        <rFont val="나눔고딕"/>
        <family val="2"/>
      </rPr>
      <t xml:space="preserve">비포</t>
    </r>
    <r>
      <rPr>
        <sz val="10"/>
        <rFont val="Arial"/>
        <family val="0"/>
        <charset val="1"/>
      </rPr>
      <t xml:space="preserve">&amp;</t>
    </r>
    <r>
      <rPr>
        <sz val="10"/>
        <rFont val="나눔고딕"/>
        <family val="2"/>
      </rPr>
      <t xml:space="preserve">애프터 미친 활용법 </t>
    </r>
    <r>
      <rPr>
        <sz val="10"/>
        <rFont val="Arial"/>
        <family val="0"/>
        <charset val="1"/>
      </rPr>
      <t xml:space="preserve">82</t>
    </r>
    <r>
      <rPr>
        <sz val="10"/>
        <rFont val="나눔고딕"/>
        <family val="2"/>
      </rPr>
      <t xml:space="preserve">제</t>
    </r>
  </si>
  <si>
    <t xml:space="preserve">쌩초</t>
  </si>
  <si>
    <r>
      <rPr>
        <sz val="10"/>
        <rFont val="나눔고딕"/>
        <family val="2"/>
      </rPr>
      <t xml:space="preserve">에이전트 시대의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시스템 설계</t>
    </r>
  </si>
  <si>
    <r>
      <rPr>
        <sz val="10"/>
        <rFont val="나눔고딕"/>
        <family val="2"/>
      </rPr>
      <t xml:space="preserve">발리아파 락슈마난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하네스 막스 하프케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류광 역</t>
    </r>
  </si>
  <si>
    <t xml:space="preserve">요즘 바이브 코딩 코덱스 완벽 가이드</t>
  </si>
  <si>
    <t xml:space="preserve">윤재원</t>
  </si>
  <si>
    <r>
      <rPr>
        <sz val="10"/>
        <rFont val="나눔고딕"/>
        <family val="2"/>
      </rPr>
      <t xml:space="preserve">된다</t>
    </r>
    <r>
      <rPr>
        <sz val="10"/>
        <rFont val="Arial"/>
        <family val="0"/>
        <charset val="1"/>
      </rPr>
      <t xml:space="preserve">! </t>
    </r>
    <r>
      <rPr>
        <sz val="10"/>
        <rFont val="나눔고딕"/>
        <family val="2"/>
      </rPr>
      <t xml:space="preserve">하루 만에 끝내는 제미나이 활용법</t>
    </r>
  </si>
  <si>
    <t xml:space="preserve">권서림</t>
  </si>
  <si>
    <r>
      <rPr>
        <sz val="10"/>
        <rFont val="나눔고딕"/>
        <family val="2"/>
      </rPr>
      <t xml:space="preserve">된다</t>
    </r>
    <r>
      <rPr>
        <sz val="10"/>
        <rFont val="Arial"/>
        <family val="0"/>
        <charset val="1"/>
      </rPr>
      <t xml:space="preserve">! </t>
    </r>
    <r>
      <rPr>
        <sz val="10"/>
        <rFont val="나눔고딕"/>
        <family val="2"/>
      </rPr>
      <t xml:space="preserve">하루 만에 끝내는 챗</t>
    </r>
    <r>
      <rPr>
        <sz val="10"/>
        <rFont val="Arial"/>
        <family val="0"/>
        <charset val="1"/>
      </rPr>
      <t xml:space="preserve">GPT </t>
    </r>
    <r>
      <rPr>
        <sz val="10"/>
        <rFont val="나눔고딕"/>
        <family val="2"/>
      </rPr>
      <t xml:space="preserve">활용법</t>
    </r>
  </si>
  <si>
    <t xml:space="preserve">프롬프트 크리에이터</t>
  </si>
  <si>
    <r>
      <rPr>
        <sz val="10"/>
        <rFont val="나눔고딕"/>
        <family val="2"/>
      </rPr>
      <t xml:space="preserve">돈이 되네</t>
    </r>
    <r>
      <rPr>
        <sz val="10"/>
        <rFont val="Arial"/>
        <family val="0"/>
        <charset val="1"/>
      </rPr>
      <t xml:space="preserve">? </t>
    </r>
    <r>
      <rPr>
        <sz val="10"/>
        <rFont val="나눔고딕"/>
        <family val="2"/>
      </rPr>
      <t xml:space="preserve">수익과 성장이 동시에 터지는 네이버 블로그</t>
    </r>
  </si>
  <si>
    <t xml:space="preserve">정소희</t>
  </si>
  <si>
    <r>
      <rPr>
        <sz val="10"/>
        <rFont val="나눔고딕"/>
        <family val="2"/>
      </rPr>
      <t xml:space="preserve">요즘 바이브 코딩 하네스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클로드 코드</t>
    </r>
  </si>
  <si>
    <t xml:space="preserve">조성진</t>
  </si>
  <si>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가 다 하고 내가 돈 버는 앱 만들기</t>
    </r>
  </si>
  <si>
    <t xml:space="preserve">서희찬</t>
  </si>
  <si>
    <r>
      <rPr>
        <sz val="10"/>
        <rFont val="나눔고딕"/>
        <family val="2"/>
      </rPr>
      <t xml:space="preserve">베테랑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전문가가 만든 가장 쉬운 제미나이 활용</t>
    </r>
    <r>
      <rPr>
        <sz val="10"/>
        <rFont val="Arial"/>
        <family val="0"/>
        <charset val="1"/>
      </rPr>
      <t xml:space="preserve">! Gemini(</t>
    </r>
    <r>
      <rPr>
        <sz val="10"/>
        <rFont val="나눔고딕"/>
        <family val="2"/>
      </rPr>
      <t xml:space="preserve">제미나이</t>
    </r>
    <r>
      <rPr>
        <sz val="10"/>
        <rFont val="Arial"/>
        <family val="0"/>
        <charset val="1"/>
      </rPr>
      <t xml:space="preserve">)</t>
    </r>
    <r>
      <rPr>
        <sz val="10"/>
        <rFont val="나눔고딕"/>
        <family val="2"/>
      </rPr>
      <t xml:space="preserve">로 무엇이든 만들 수 있다 </t>
    </r>
    <r>
      <rPr>
        <sz val="10"/>
        <rFont val="Arial"/>
        <family val="0"/>
        <charset val="1"/>
      </rPr>
      <t xml:space="preserve">(AI </t>
    </r>
    <r>
      <rPr>
        <sz val="10"/>
        <rFont val="나눔고딕"/>
        <family val="2"/>
      </rPr>
      <t xml:space="preserve">비서 영상 만들기 </t>
    </r>
    <r>
      <rPr>
        <sz val="10"/>
        <rFont val="Arial"/>
        <family val="0"/>
        <charset val="1"/>
      </rPr>
      <t xml:space="preserve">· </t>
    </r>
    <r>
      <rPr>
        <sz val="10"/>
        <rFont val="나눔고딕"/>
        <family val="2"/>
      </rPr>
      <t xml:space="preserve">유튜브 숏폼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</si>
  <si>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송상미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윤소영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강은정</t>
    </r>
  </si>
  <si>
    <t xml:space="preserve">광문각출판미디어</t>
  </si>
  <si>
    <t xml:space="preserve">모던 데이터 아키텍처 설계와 구현</t>
  </si>
  <si>
    <r>
      <rPr>
        <sz val="10"/>
        <rFont val="나눔고딕"/>
        <family val="2"/>
      </rPr>
      <t xml:space="preserve">피트하인 스트렝홀트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김영기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김현진 역</t>
    </r>
  </si>
  <si>
    <r>
      <rPr>
        <sz val="10"/>
        <rFont val="나눔고딕"/>
        <family val="2"/>
      </rPr>
      <t xml:space="preserve">세컨드 브레인은 옵시디언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클로드 코드</t>
    </r>
  </si>
  <si>
    <t xml:space="preserve">시안</t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</si>
  <si>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자율학습 클로드 코드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코덱스 </t>
    </r>
    <r>
      <rPr>
        <sz val="10"/>
        <rFont val="Arial"/>
        <family val="0"/>
        <charset val="1"/>
      </rPr>
      <t xml:space="preserve">CLI·</t>
    </r>
    <r>
      <rPr>
        <sz val="10"/>
        <rFont val="나눔고딕"/>
        <family val="2"/>
      </rPr>
      <t xml:space="preserve">제미나이 </t>
    </r>
    <r>
      <rPr>
        <sz val="10"/>
        <rFont val="Arial"/>
        <family val="0"/>
        <charset val="1"/>
      </rPr>
      <t xml:space="preserve">CLI </t>
    </r>
    <r>
      <rPr>
        <sz val="10"/>
        <rFont val="나눔고딕"/>
        <family val="2"/>
      </rPr>
      <t xml:space="preserve">완전 활용법</t>
    </r>
  </si>
  <si>
    <t xml:space="preserve">Dave Lee</t>
  </si>
  <si>
    <r>
      <rPr>
        <sz val="10"/>
        <rFont val="나눔고딕"/>
        <family val="2"/>
      </rPr>
      <t xml:space="preserve">라프 코스터의 재미이론 </t>
    </r>
    <r>
      <rPr>
        <sz val="10"/>
        <rFont val="Arial"/>
        <family val="0"/>
        <charset val="1"/>
      </rPr>
      <t xml:space="preserve">10</t>
    </r>
    <r>
      <rPr>
        <sz val="10"/>
        <rFont val="나눔고딕"/>
        <family val="2"/>
      </rPr>
      <t xml:space="preserve">주년 개정판</t>
    </r>
  </si>
  <si>
    <r>
      <rPr>
        <sz val="10"/>
        <rFont val="나눔고딕"/>
        <family val="2"/>
      </rPr>
      <t xml:space="preserve">라프 코스터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유창석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전유택 역</t>
    </r>
  </si>
  <si>
    <r>
      <rPr>
        <sz val="10"/>
        <rFont val="나눔고딕"/>
        <family val="2"/>
      </rPr>
      <t xml:space="preserve">누구나 쉽게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작사 </t>
    </r>
    <r>
      <rPr>
        <sz val="10"/>
        <rFont val="Arial"/>
        <family val="0"/>
        <charset val="1"/>
      </rPr>
      <t xml:space="preserve">&amp; </t>
    </r>
    <r>
      <rPr>
        <sz val="10"/>
        <rFont val="나눔고딕"/>
        <family val="2"/>
      </rPr>
      <t xml:space="preserve">작곡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생성형 인공지능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챗</t>
    </r>
    <r>
      <rPr>
        <sz val="10"/>
        <rFont val="Arial"/>
        <family val="0"/>
        <charset val="1"/>
      </rPr>
      <t xml:space="preserve">GPT, </t>
    </r>
    <r>
      <rPr>
        <sz val="10"/>
        <rFont val="나눔고딕"/>
        <family val="2"/>
      </rPr>
      <t xml:space="preserve">수노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유디오</t>
    </r>
  </si>
  <si>
    <r>
      <rPr>
        <sz val="10"/>
        <rFont val="나눔고딕"/>
        <family val="2"/>
      </rPr>
      <t xml:space="preserve">현병욱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오땡큐</t>
    </r>
    <r>
      <rPr>
        <sz val="10"/>
        <rFont val="Arial"/>
        <family val="0"/>
        <charset val="1"/>
      </rPr>
      <t xml:space="preserve">), </t>
    </r>
    <r>
      <rPr>
        <sz val="10"/>
        <rFont val="나눔고딕"/>
        <family val="2"/>
      </rPr>
      <t xml:space="preserve">신수진</t>
    </r>
  </si>
  <si>
    <t xml:space="preserve">시프트</t>
  </si>
  <si>
    <r>
      <rPr>
        <sz val="10"/>
        <rFont val="나눔고딕"/>
        <family val="2"/>
      </rPr>
      <t xml:space="preserve">크리에이터 김연지의 돈 되는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콘텐츠 설계</t>
    </r>
  </si>
  <si>
    <t xml:space="preserve">김연지</t>
  </si>
  <si>
    <r>
      <rPr>
        <sz val="10"/>
        <rFont val="나눔고딕"/>
        <family val="2"/>
      </rPr>
      <t xml:space="preserve">유튜브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비서 고용하기 제미나이 </t>
    </r>
    <r>
      <rPr>
        <sz val="10"/>
        <rFont val="Arial"/>
        <family val="0"/>
        <charset val="1"/>
      </rPr>
      <t xml:space="preserve">X </t>
    </r>
    <r>
      <rPr>
        <sz val="10"/>
        <rFont val="나눔고딕"/>
        <family val="2"/>
      </rPr>
      <t xml:space="preserve">노트북</t>
    </r>
    <r>
      <rPr>
        <sz val="10"/>
        <rFont val="Arial"/>
        <family val="0"/>
        <charset val="1"/>
      </rPr>
      <t xml:space="preserve">LM X </t>
    </r>
    <r>
      <rPr>
        <sz val="10"/>
        <rFont val="나눔고딕"/>
        <family val="2"/>
      </rPr>
      <t xml:space="preserve">구글 스프레드시트</t>
    </r>
  </si>
  <si>
    <t xml:space="preserve">조현정</t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</si>
  <si>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시대 서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논술형 평가 설계 바이블</t>
    </r>
  </si>
  <si>
    <r>
      <rPr>
        <sz val="10"/>
        <rFont val="나눔고딕"/>
        <family val="2"/>
      </rPr>
      <t xml:space="preserve">조현준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이근숙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권좌실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이슬기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엄주연 저 외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명 정보 더 보기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감추기 조현준 이근숙 권좌실 이슬기 엄주연 오덕수</t>
    </r>
  </si>
  <si>
    <r>
      <rPr>
        <sz val="10"/>
        <rFont val="나눔고딕"/>
        <family val="2"/>
      </rPr>
      <t xml:space="preserve">에듀니티교육연구소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에듀니티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</si>
  <si>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바로바로 바이브 코딩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커서 </t>
    </r>
    <r>
      <rPr>
        <sz val="10"/>
        <rFont val="Arial"/>
        <family val="0"/>
        <charset val="1"/>
      </rPr>
      <t xml:space="preserve">AI</t>
    </r>
  </si>
  <si>
    <t xml:space="preserve">박현규</t>
  </si>
  <si>
    <r>
      <rPr>
        <sz val="10"/>
        <rFont val="나눔고딕"/>
        <family val="2"/>
      </rPr>
      <t xml:space="preserve">광고</t>
    </r>
    <r>
      <rPr>
        <sz val="10"/>
        <rFont val="Arial"/>
        <family val="0"/>
        <charset val="1"/>
      </rPr>
      <t xml:space="preserve">, UX/UI, </t>
    </r>
    <r>
      <rPr>
        <sz val="10"/>
        <rFont val="나눔고딕"/>
        <family val="2"/>
      </rPr>
      <t xml:space="preserve">브랜딩에 바로 쓰는 디자인 심리 </t>
    </r>
    <r>
      <rPr>
        <sz val="10"/>
        <rFont val="Arial"/>
        <family val="0"/>
        <charset val="1"/>
      </rPr>
      <t xml:space="preserve">108</t>
    </r>
  </si>
  <si>
    <r>
      <rPr>
        <sz val="10"/>
        <rFont val="Arial"/>
        <family val="0"/>
        <charset val="1"/>
      </rPr>
      <t xml:space="preserve">321web(</t>
    </r>
    <r>
      <rPr>
        <sz val="10"/>
        <rFont val="나눔고딕"/>
        <family val="2"/>
      </rPr>
      <t xml:space="preserve">미쓰이 마사유키</t>
    </r>
    <r>
      <rPr>
        <sz val="10"/>
        <rFont val="Arial"/>
        <family val="0"/>
        <charset val="1"/>
      </rPr>
      <t xml:space="preserve">) </t>
    </r>
    <r>
      <rPr>
        <sz val="10"/>
        <rFont val="나눔고딕"/>
        <family val="2"/>
      </rPr>
      <t xml:space="preserve">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김현미 역</t>
    </r>
  </si>
  <si>
    <r>
      <rPr>
        <sz val="10"/>
        <rFont val="나눔고딕"/>
        <family val="2"/>
      </rPr>
      <t xml:space="preserve">캔바로 만든 디자인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돈이 됩니다</t>
    </r>
  </si>
  <si>
    <r>
      <rPr>
        <sz val="10"/>
        <rFont val="나눔고딕"/>
        <family val="2"/>
      </rPr>
      <t xml:space="preserve">리몬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안형선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</si>
  <si>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교사를 위한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에듀테크 수업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생활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업무 대백과</t>
    </r>
  </si>
  <si>
    <r>
      <rPr>
        <sz val="10"/>
        <rFont val="나눔고딕"/>
        <family val="2"/>
      </rPr>
      <t xml:space="preserve">송해남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한의표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김은서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박수임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김혜진 저 외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명 정보 더 보기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감추기 송해남 한의표 김은서 박수임 김혜진 유영재</t>
    </r>
  </si>
  <si>
    <t xml:space="preserve">프리렉</t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</si>
  <si>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리터러시 플러스</t>
    </r>
    <r>
      <rPr>
        <sz val="10"/>
        <rFont val="Arial"/>
        <family val="0"/>
        <charset val="1"/>
      </rPr>
      <t xml:space="preserve">+: </t>
    </r>
    <r>
      <rPr>
        <sz val="10"/>
        <rFont val="나눔고딕"/>
        <family val="2"/>
      </rPr>
      <t xml:space="preserve">인공지능 기본부터 도구 선택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조합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실전 활용까지</t>
    </r>
  </si>
  <si>
    <t xml:space="preserve">김용성</t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</si>
  <si>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대세전환 안티그래비티 </t>
    </r>
    <r>
      <rPr>
        <sz val="10"/>
        <rFont val="Arial"/>
        <family val="0"/>
        <charset val="1"/>
      </rPr>
      <t xml:space="preserve">× </t>
    </r>
    <r>
      <rPr>
        <sz val="10"/>
        <rFont val="나눔고딕"/>
        <family val="2"/>
      </rPr>
      <t xml:space="preserve">바이브 코딩 압도적 업무 역량</t>
    </r>
  </si>
  <si>
    <r>
      <rPr>
        <sz val="10"/>
        <rFont val="나눔고딕"/>
        <family val="2"/>
      </rPr>
      <t xml:space="preserve">정용범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손상우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박성환</t>
    </r>
  </si>
  <si>
    <r>
      <rPr>
        <sz val="10"/>
        <rFont val="Arial"/>
        <family val="0"/>
        <charset val="1"/>
      </rPr>
      <t xml:space="preserve">Do it! </t>
    </r>
    <r>
      <rPr>
        <sz val="10"/>
        <rFont val="나눔고딕"/>
        <family val="2"/>
      </rPr>
      <t xml:space="preserve">바이브 코딩 </t>
    </r>
    <r>
      <rPr>
        <sz val="10"/>
        <rFont val="Arial"/>
        <family val="0"/>
        <charset val="1"/>
      </rPr>
      <t xml:space="preserve">+ </t>
    </r>
    <r>
      <rPr>
        <sz val="10"/>
        <rFont val="나눔고딕"/>
        <family val="2"/>
      </rPr>
      <t xml:space="preserve">안티그래비티</t>
    </r>
  </si>
  <si>
    <t xml:space="preserve">조준수</t>
  </si>
  <si>
    <r>
      <rPr>
        <sz val="10"/>
        <rFont val="나눔고딕"/>
        <family val="2"/>
      </rPr>
      <t xml:space="preserve">승인율 </t>
    </r>
    <r>
      <rPr>
        <sz val="10"/>
        <rFont val="Arial"/>
        <family val="0"/>
        <charset val="1"/>
      </rPr>
      <t xml:space="preserve">99.9% </t>
    </r>
    <r>
      <rPr>
        <sz val="10"/>
        <rFont val="나눔고딕"/>
        <family val="2"/>
      </rPr>
      <t xml:space="preserve">움직이는 이모티콘 만들기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프로크리에이트</t>
    </r>
  </si>
  <si>
    <r>
      <rPr>
        <sz val="10"/>
        <rFont val="나눔고딕"/>
        <family val="2"/>
      </rPr>
      <t xml:space="preserve">씨엠제이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최민정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</si>
  <si>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퇴근이 빨라지는 제미나이 </t>
    </r>
    <r>
      <rPr>
        <sz val="10"/>
        <rFont val="Arial"/>
        <family val="0"/>
        <charset val="1"/>
      </rPr>
      <t xml:space="preserve">&amp; </t>
    </r>
    <r>
      <rPr>
        <sz val="10"/>
        <rFont val="나눔고딕"/>
        <family val="2"/>
      </rPr>
      <t xml:space="preserve">노트북</t>
    </r>
    <r>
      <rPr>
        <sz val="10"/>
        <rFont val="Arial"/>
        <family val="0"/>
        <charset val="1"/>
      </rPr>
      <t xml:space="preserve">LM </t>
    </r>
    <r>
      <rPr>
        <sz val="10"/>
        <rFont val="나눔고딕"/>
        <family val="2"/>
      </rPr>
      <t xml:space="preserve">업무 자동화 정석 엑셀 </t>
    </r>
    <r>
      <rPr>
        <sz val="10"/>
        <rFont val="Arial"/>
        <family val="0"/>
        <charset val="1"/>
      </rPr>
      <t xml:space="preserve">X AI</t>
    </r>
  </si>
  <si>
    <t xml:space="preserve">권현욱</t>
  </si>
  <si>
    <r>
      <rPr>
        <sz val="10"/>
        <rFont val="나눔고딕"/>
        <family val="2"/>
      </rPr>
      <t xml:space="preserve">하루 </t>
    </r>
    <r>
      <rPr>
        <sz val="10"/>
        <rFont val="Arial"/>
        <family val="0"/>
        <charset val="1"/>
      </rPr>
      <t xml:space="preserve">30</t>
    </r>
    <r>
      <rPr>
        <sz val="10"/>
        <rFont val="나눔고딕"/>
        <family val="2"/>
      </rPr>
      <t xml:space="preserve">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나는 제미나이로 돈을 번다</t>
    </r>
  </si>
  <si>
    <t xml:space="preserve">김민규</t>
  </si>
  <si>
    <r>
      <rPr>
        <sz val="10"/>
        <rFont val="나눔고딕"/>
        <family val="2"/>
      </rPr>
      <t xml:space="preserve">된다</t>
    </r>
    <r>
      <rPr>
        <sz val="10"/>
        <rFont val="Arial"/>
        <family val="0"/>
        <charset val="1"/>
      </rPr>
      <t xml:space="preserve">! </t>
    </r>
    <r>
      <rPr>
        <sz val="10"/>
        <rFont val="나눔고딕"/>
        <family val="2"/>
      </rPr>
      <t xml:space="preserve">조회수 터지는 인스타그램 릴스 만들기</t>
    </r>
  </si>
  <si>
    <t xml:space="preserve">요즘 바이브 코딩 안티그래비티 완벽 가이드</t>
  </si>
  <si>
    <t xml:space="preserve">최지호</t>
  </si>
  <si>
    <r>
      <rPr>
        <sz val="10"/>
        <rFont val="나눔고딕"/>
        <family val="2"/>
      </rPr>
      <t xml:space="preserve">회사에서 바로 통하는 실무 엑셀 파워포인트 워드</t>
    </r>
    <r>
      <rPr>
        <sz val="10"/>
        <rFont val="Arial"/>
        <family val="0"/>
        <charset val="1"/>
      </rPr>
      <t xml:space="preserve">&amp;</t>
    </r>
    <r>
      <rPr>
        <sz val="10"/>
        <rFont val="나눔고딕"/>
        <family val="2"/>
      </rPr>
      <t xml:space="preserve">한글</t>
    </r>
  </si>
  <si>
    <r>
      <rPr>
        <sz val="10"/>
        <rFont val="나눔고딕"/>
        <family val="2"/>
      </rPr>
      <t xml:space="preserve">전미진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이화진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신면철</t>
    </r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</si>
  <si>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이해력</t>
    </r>
  </si>
  <si>
    <t xml:space="preserve">박민경</t>
  </si>
  <si>
    <t xml:space="preserve">로드북</t>
  </si>
  <si>
    <r>
      <rPr>
        <sz val="10"/>
        <rFont val="나눔고딕"/>
        <family val="2"/>
      </rPr>
      <t xml:space="preserve">이게 되네</t>
    </r>
    <r>
      <rPr>
        <sz val="10"/>
        <rFont val="Arial"/>
        <family val="0"/>
        <charset val="1"/>
      </rPr>
      <t xml:space="preserve">? </t>
    </r>
    <r>
      <rPr>
        <sz val="10"/>
        <rFont val="나눔고딕"/>
        <family val="2"/>
      </rPr>
      <t xml:space="preserve">클로드 </t>
    </r>
    <r>
      <rPr>
        <sz val="10"/>
        <rFont val="Arial"/>
        <family val="0"/>
        <charset val="1"/>
      </rPr>
      <t xml:space="preserve">MCP </t>
    </r>
    <r>
      <rPr>
        <sz val="10"/>
        <rFont val="나눔고딕"/>
        <family val="2"/>
      </rPr>
      <t xml:space="preserve">커넥터 미친 활용법 </t>
    </r>
    <r>
      <rPr>
        <sz val="10"/>
        <rFont val="Arial"/>
        <family val="0"/>
        <charset val="1"/>
      </rPr>
      <t xml:space="preserve">31</t>
    </r>
    <r>
      <rPr>
        <sz val="10"/>
        <rFont val="나눔고딕"/>
        <family val="2"/>
      </rPr>
      <t xml:space="preserve">제</t>
    </r>
  </si>
  <si>
    <r>
      <rPr>
        <sz val="10"/>
        <rFont val="나눔고딕"/>
        <family val="2"/>
      </rPr>
      <t xml:space="preserve">박현규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김성경</t>
    </r>
  </si>
  <si>
    <r>
      <rPr>
        <sz val="10"/>
        <rFont val="Arial"/>
        <family val="0"/>
        <charset val="1"/>
      </rPr>
      <t xml:space="preserve">Do it! </t>
    </r>
    <r>
      <rPr>
        <sz val="10"/>
        <rFont val="나눔고딕"/>
        <family val="2"/>
      </rPr>
      <t xml:space="preserve">유니티 </t>
    </r>
    <r>
      <rPr>
        <sz val="10"/>
        <rFont val="Arial"/>
        <family val="0"/>
        <charset val="1"/>
      </rPr>
      <t xml:space="preserve">6</t>
    </r>
    <r>
      <rPr>
        <sz val="10"/>
        <rFont val="나눔고딕"/>
        <family val="2"/>
      </rPr>
      <t xml:space="preserve">로 게임 제작 </t>
    </r>
    <r>
      <rPr>
        <sz val="10"/>
        <rFont val="Arial"/>
        <family val="0"/>
        <charset val="1"/>
      </rPr>
      <t xml:space="preserve">&amp; </t>
    </r>
    <r>
      <rPr>
        <sz val="10"/>
        <rFont val="나눔고딕"/>
        <family val="2"/>
      </rPr>
      <t xml:space="preserve">출시하기</t>
    </r>
  </si>
  <si>
    <t xml:space="preserve">고정운</t>
  </si>
  <si>
    <t xml:space="preserve">기계가 언어를 사용한다는 것에 대한 인문학적 사유</t>
  </si>
  <si>
    <r>
      <rPr>
        <sz val="10"/>
        <rFont val="나눔고딕"/>
        <family val="2"/>
      </rPr>
      <t xml:space="preserve">마크 코켈버그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데이비드 </t>
    </r>
    <r>
      <rPr>
        <sz val="10"/>
        <rFont val="Arial"/>
        <family val="0"/>
        <charset val="1"/>
      </rPr>
      <t xml:space="preserve">J.</t>
    </r>
    <r>
      <rPr>
        <sz val="10"/>
        <rFont val="나눔고딕"/>
        <family val="2"/>
      </rPr>
      <t xml:space="preserve">건컬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신동숙 역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손화철 감수</t>
    </r>
  </si>
  <si>
    <t xml:space="preserve">생각이음</t>
  </si>
  <si>
    <r>
      <rPr>
        <sz val="10"/>
        <rFont val="나눔고딕"/>
        <family val="2"/>
      </rPr>
      <t xml:space="preserve">누구나 코딩하는 시대</t>
    </r>
    <r>
      <rPr>
        <sz val="10"/>
        <rFont val="Arial"/>
        <family val="0"/>
        <charset val="1"/>
      </rPr>
      <t xml:space="preserve">, 1</t>
    </r>
    <r>
      <rPr>
        <sz val="10"/>
        <rFont val="나눔고딕"/>
        <family val="2"/>
      </rPr>
      <t xml:space="preserve">일 </t>
    </r>
    <r>
      <rPr>
        <sz val="10"/>
        <rFont val="Arial"/>
        <family val="0"/>
        <charset val="1"/>
      </rPr>
      <t xml:space="preserve">10</t>
    </r>
    <r>
      <rPr>
        <sz val="10"/>
        <rFont val="나눔고딕"/>
        <family val="2"/>
      </rPr>
      <t xml:space="preserve">분 바이브 코딩</t>
    </r>
  </si>
  <si>
    <t xml:space="preserve">김영욱</t>
  </si>
  <si>
    <r>
      <rPr>
        <sz val="10"/>
        <rFont val="나눔고딕"/>
        <family val="2"/>
      </rPr>
      <t xml:space="preserve">하이러닝으로 끝내는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디지털 수업 </t>
    </r>
    <r>
      <rPr>
        <sz val="10"/>
        <rFont val="Arial"/>
        <family val="0"/>
        <charset val="1"/>
      </rPr>
      <t xml:space="preserve">50</t>
    </r>
    <r>
      <rPr>
        <sz val="10"/>
        <rFont val="나눔고딕"/>
        <family val="2"/>
      </rPr>
      <t xml:space="preserve">제</t>
    </r>
  </si>
  <si>
    <r>
      <rPr>
        <sz val="10"/>
        <rFont val="나눔고딕"/>
        <family val="2"/>
      </rPr>
      <t xml:space="preserve">유지현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조윤호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고윤경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진연자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곽지현 저 외 </t>
    </r>
    <r>
      <rPr>
        <sz val="10"/>
        <rFont val="Arial"/>
        <family val="0"/>
        <charset val="1"/>
      </rPr>
      <t xml:space="preserve">7</t>
    </r>
    <r>
      <rPr>
        <sz val="10"/>
        <rFont val="나눔고딕"/>
        <family val="2"/>
      </rPr>
      <t xml:space="preserve">명 정보 더 보기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감추기 유지현 조윤호 고윤경 진연자 곽지현 최혜진 최정은 조희정 조연영 이성찬 허윤영 정승연</t>
    </r>
  </si>
  <si>
    <r>
      <rPr>
        <sz val="10"/>
        <rFont val="나눔고딕"/>
        <family val="2"/>
      </rPr>
      <t xml:space="preserve">맛있는 디자인 프리미어 프로</t>
    </r>
    <r>
      <rPr>
        <sz val="10"/>
        <rFont val="Arial"/>
        <family val="0"/>
        <charset val="1"/>
      </rPr>
      <t xml:space="preserve">&amp;</t>
    </r>
    <r>
      <rPr>
        <sz val="10"/>
        <rFont val="나눔고딕"/>
        <family val="2"/>
      </rPr>
      <t xml:space="preserve">애프터 이펙트 </t>
    </r>
    <r>
      <rPr>
        <sz val="10"/>
        <rFont val="Arial"/>
        <family val="0"/>
        <charset val="1"/>
      </rPr>
      <t xml:space="preserve">CC 2026</t>
    </r>
  </si>
  <si>
    <r>
      <rPr>
        <sz val="10"/>
        <rFont val="나눔고딕"/>
        <family val="2"/>
      </rPr>
      <t xml:space="preserve">심수진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윤성우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이수정</t>
    </r>
  </si>
  <si>
    <t xml:space="preserve">누구나 아는 나만 모르는 제미나이</t>
  </si>
  <si>
    <t xml:space="preserve">이성원</t>
  </si>
  <si>
    <r>
      <rPr>
        <sz val="10"/>
        <rFont val="Arial"/>
        <family val="0"/>
        <charset val="1"/>
      </rPr>
      <t xml:space="preserve">Do it! LLM</t>
    </r>
    <r>
      <rPr>
        <sz val="10"/>
        <rFont val="나눔고딕"/>
        <family val="2"/>
      </rPr>
      <t xml:space="preserve">을 활용한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에이전트 개발 입문</t>
    </r>
  </si>
  <si>
    <t xml:space="preserve">이성용</t>
  </si>
  <si>
    <t xml:space="preserve">질문으로 답을 찾는 인공지능 윤리 수업</t>
  </si>
  <si>
    <t xml:space="preserve">박형빈</t>
  </si>
  <si>
    <t xml:space="preserve">한언</t>
  </si>
  <si>
    <t xml:space="preserve">회사는 엑셀을 가르쳐주지 않아요</t>
  </si>
  <si>
    <r>
      <rPr>
        <sz val="10"/>
        <rFont val="나눔고딕"/>
        <family val="2"/>
      </rPr>
      <t xml:space="preserve">쏘피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박성희</t>
    </r>
    <r>
      <rPr>
        <sz val="10"/>
        <rFont val="Arial"/>
        <family val="0"/>
        <charset val="1"/>
      </rPr>
      <t xml:space="preserve">)</t>
    </r>
  </si>
  <si>
    <t xml:space="preserve">메가스터디북스</t>
  </si>
  <si>
    <r>
      <rPr>
        <sz val="10"/>
        <rFont val="나눔고딕"/>
        <family val="2"/>
      </rPr>
      <t xml:space="preserve">생존을 위한 최소한의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교양</t>
    </r>
  </si>
  <si>
    <t xml:space="preserve">조남호</t>
  </si>
  <si>
    <t xml:space="preserve">스토리 엔지니어링</t>
  </si>
  <si>
    <t xml:space="preserve">김우정</t>
  </si>
  <si>
    <t xml:space="preserve">생능북스</t>
  </si>
  <si>
    <t xml:space="preserve">취미가 돈이 되는 인스타툰</t>
  </si>
  <si>
    <t xml:space="preserve">이건용</t>
  </si>
  <si>
    <r>
      <rPr>
        <sz val="10"/>
        <rFont val="나눔고딕"/>
        <family val="2"/>
      </rPr>
      <t xml:space="preserve">트랜스포머 아키텍처로 배우는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에이전트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랭체인 </t>
    </r>
    <r>
      <rPr>
        <sz val="10"/>
        <rFont val="Arial"/>
        <family val="0"/>
        <charset val="1"/>
      </rPr>
      <t xml:space="preserve">&amp; </t>
    </r>
    <r>
      <rPr>
        <sz val="10"/>
        <rFont val="나눔고딕"/>
        <family val="2"/>
      </rPr>
      <t xml:space="preserve">랭그래프</t>
    </r>
  </si>
  <si>
    <t xml:space="preserve">장철원</t>
  </si>
  <si>
    <r>
      <rPr>
        <sz val="10"/>
        <rFont val="나눔고딕"/>
        <family val="2"/>
      </rPr>
      <t xml:space="preserve">베테랑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전문가가 만든 가장 쉬운 그록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활용</t>
    </r>
    <r>
      <rPr>
        <sz val="10"/>
        <rFont val="Arial"/>
        <family val="0"/>
        <charset val="1"/>
      </rPr>
      <t xml:space="preserve">! Grok(</t>
    </r>
    <r>
      <rPr>
        <sz val="10"/>
        <rFont val="나눔고딕"/>
        <family val="2"/>
      </rPr>
      <t xml:space="preserve">그록</t>
    </r>
    <r>
      <rPr>
        <sz val="10"/>
        <rFont val="Arial"/>
        <family val="0"/>
        <charset val="1"/>
      </rPr>
      <t xml:space="preserve">)</t>
    </r>
    <r>
      <rPr>
        <sz val="10"/>
        <rFont val="나눔고딕"/>
        <family val="2"/>
      </rPr>
      <t xml:space="preserve">으로 무엇이든 만들 수 있다 </t>
    </r>
    <r>
      <rPr>
        <sz val="10"/>
        <rFont val="Arial"/>
        <family val="0"/>
        <charset val="1"/>
      </rPr>
      <t xml:space="preserve">(AI </t>
    </r>
    <r>
      <rPr>
        <sz val="10"/>
        <rFont val="나눔고딕"/>
        <family val="2"/>
      </rPr>
      <t xml:space="preserve">비서 </t>
    </r>
    <r>
      <rPr>
        <sz val="10"/>
        <rFont val="Arial"/>
        <family val="0"/>
        <charset val="1"/>
      </rPr>
      <t xml:space="preserve">· </t>
    </r>
    <r>
      <rPr>
        <sz val="10"/>
        <rFont val="나눔고딕"/>
        <family val="2"/>
      </rPr>
      <t xml:space="preserve">영상 만들기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유튜브 수익화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</si>
  <si>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이현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이민정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이승현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이나윤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김성희</t>
    </r>
  </si>
  <si>
    <r>
      <rPr>
        <sz val="10"/>
        <rFont val="Arial"/>
        <family val="0"/>
        <charset val="1"/>
      </rPr>
      <t xml:space="preserve">n8n</t>
    </r>
    <r>
      <rPr>
        <sz val="10"/>
        <rFont val="나눔고딕"/>
        <family val="2"/>
      </rPr>
      <t xml:space="preserve">이 다 해줌</t>
    </r>
  </si>
  <si>
    <r>
      <rPr>
        <sz val="10"/>
        <rFont val="나눔고딕"/>
        <family val="2"/>
      </rPr>
      <t xml:space="preserve">이인영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임정</t>
    </r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</si>
  <si>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자율학습 제미나이로 일 잘하는 법</t>
    </r>
  </si>
  <si>
    <r>
      <rPr>
        <sz val="10"/>
        <rFont val="나눔고딕"/>
        <family val="2"/>
      </rPr>
      <t xml:space="preserve">성구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강성규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</si>
  <si>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리더는 </t>
    </r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에게 질문하지 않는다</t>
    </r>
  </si>
  <si>
    <t xml:space="preserve">김희연</t>
  </si>
  <si>
    <t xml:space="preserve">북피움</t>
  </si>
  <si>
    <r>
      <rPr>
        <sz val="10"/>
        <rFont val="나눔고딕"/>
        <family val="2"/>
      </rPr>
      <t xml:space="preserve">서논술형 평가</t>
    </r>
    <r>
      <rPr>
        <sz val="10"/>
        <rFont val="Arial"/>
        <family val="0"/>
        <charset val="1"/>
      </rPr>
      <t xml:space="preserve">, AI</t>
    </r>
    <r>
      <rPr>
        <sz val="10"/>
        <rFont val="나눔고딕"/>
        <family val="2"/>
      </rPr>
      <t xml:space="preserve">로 깊이를 더하다</t>
    </r>
  </si>
  <si>
    <r>
      <rPr>
        <sz val="10"/>
        <rFont val="나눔고딕"/>
        <family val="2"/>
      </rPr>
      <t xml:space="preserve">지미정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장희영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권의선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이진원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김수경 저 외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명 정보 더 보기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감추기 지미정 장희영 권의선 이진원 김수경 박범진</t>
    </r>
  </si>
  <si>
    <t xml:space="preserve">그림으로 이해하는 도커와 쿠버네티스</t>
  </si>
  <si>
    <r>
      <rPr>
        <sz val="10"/>
        <rFont val="나눔고딕"/>
        <family val="2"/>
      </rPr>
      <t xml:space="preserve">토쿠나가 코헤이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서수환 역</t>
    </r>
  </si>
  <si>
    <t xml:space="preserve">바로 배워서 바로 써먹는 바이브 코딩</t>
  </si>
  <si>
    <r>
      <rPr>
        <sz val="10"/>
        <rFont val="나눔고딕"/>
        <family val="2"/>
      </rPr>
      <t xml:space="preserve">박찬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김병석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전수연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김지용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구현희 저 외 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명 정보 더 보기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감추기 박찬 김병석 전수연 김지용 구현희 전채원 홍찬우 이상선</t>
    </r>
  </si>
  <si>
    <r>
      <rPr>
        <sz val="10"/>
        <rFont val="나눔고딕"/>
        <family val="2"/>
      </rPr>
      <t xml:space="preserve">다빈치</t>
    </r>
    <r>
      <rPr>
        <sz val="10"/>
        <rFont val="Arial"/>
        <family val="0"/>
        <charset val="1"/>
      </rPr>
      <t xml:space="preserve">books</t>
    </r>
  </si>
  <si>
    <r>
      <rPr>
        <sz val="10"/>
        <rFont val="나눔고딕"/>
        <family val="2"/>
      </rPr>
      <t xml:space="preserve">생성형 </t>
    </r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를 위한 프롬프트 엔지니어링</t>
    </r>
  </si>
  <si>
    <r>
      <rPr>
        <sz val="10"/>
        <rFont val="나눔고딕"/>
        <family val="2"/>
      </rPr>
      <t xml:space="preserve">제임스 피닉스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마이크 테일러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정의형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정한결 역</t>
    </r>
  </si>
  <si>
    <r>
      <rPr>
        <sz val="10"/>
        <rFont val="나눔고딕"/>
        <family val="2"/>
      </rPr>
      <t xml:space="preserve">혼자 공부하는 머신러닝</t>
    </r>
    <r>
      <rPr>
        <sz val="10"/>
        <rFont val="Arial"/>
        <family val="0"/>
        <charset val="1"/>
      </rPr>
      <t xml:space="preserve">+</t>
    </r>
    <r>
      <rPr>
        <sz val="10"/>
        <rFont val="나눔고딕"/>
        <family val="2"/>
      </rPr>
      <t xml:space="preserve">딥러닝</t>
    </r>
  </si>
  <si>
    <t xml:space="preserve">박해선</t>
  </si>
  <si>
    <r>
      <rPr>
        <sz val="10"/>
        <rFont val="나눔고딕"/>
        <family val="2"/>
      </rPr>
      <t xml:space="preserve">밑바닥부터 시작하는 딥러닝 </t>
    </r>
    <r>
      <rPr>
        <sz val="10"/>
        <rFont val="Arial"/>
        <family val="0"/>
        <charset val="1"/>
      </rPr>
      <t xml:space="preserve">1</t>
    </r>
  </si>
  <si>
    <r>
      <rPr>
        <sz val="10"/>
        <rFont val="나눔고딕"/>
        <family val="2"/>
      </rPr>
      <t xml:space="preserve">사이토 고키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개앞맵시 역</t>
    </r>
  </si>
  <si>
    <r>
      <rPr>
        <sz val="10"/>
        <rFont val="Arial"/>
        <family val="0"/>
        <charset val="1"/>
      </rPr>
      <t xml:space="preserve">NEW </t>
    </r>
    <r>
      <rPr>
        <sz val="10"/>
        <rFont val="나눔고딕"/>
        <family val="2"/>
      </rPr>
      <t xml:space="preserve">우당탕탕 파워포인트 </t>
    </r>
    <r>
      <rPr>
        <sz val="10"/>
        <rFont val="Arial"/>
        <family val="0"/>
        <charset val="1"/>
      </rPr>
      <t xml:space="preserve">2021</t>
    </r>
    <r>
      <rPr>
        <sz val="10"/>
        <rFont val="나눔고딕"/>
        <family val="2"/>
      </rPr>
      <t xml:space="preserve">로 발표하기</t>
    </r>
  </si>
  <si>
    <r>
      <rPr>
        <sz val="10"/>
        <rFont val="나눔고딕"/>
        <family val="2"/>
      </rPr>
      <t xml:space="preserve">모두의 노션 </t>
    </r>
    <r>
      <rPr>
        <sz val="10"/>
        <rFont val="Arial"/>
        <family val="0"/>
        <charset val="1"/>
      </rPr>
      <t xml:space="preserve">AI</t>
    </r>
  </si>
  <si>
    <r>
      <rPr>
        <sz val="10"/>
        <rFont val="나눔고딕"/>
        <family val="2"/>
      </rPr>
      <t xml:space="preserve">임대균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오가연</t>
    </r>
  </si>
  <si>
    <t xml:space="preserve">오픈클로</t>
  </si>
  <si>
    <t xml:space="preserve">오창근</t>
  </si>
  <si>
    <r>
      <rPr>
        <sz val="10"/>
        <rFont val="Arial"/>
        <family val="0"/>
        <charset val="1"/>
      </rPr>
      <t xml:space="preserve">LLMOps </t>
    </r>
    <r>
      <rPr>
        <sz val="10"/>
        <rFont val="나눔고딕"/>
        <family val="2"/>
      </rPr>
      <t xml:space="preserve">완벽 가이드</t>
    </r>
  </si>
  <si>
    <r>
      <rPr>
        <sz val="10"/>
        <rFont val="나눔고딕"/>
        <family val="2"/>
      </rPr>
      <t xml:space="preserve">아비 아리안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박조은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박주환 역</t>
    </r>
  </si>
  <si>
    <r>
      <rPr>
        <sz val="10"/>
        <rFont val="나눔고딕"/>
        <family val="2"/>
      </rPr>
      <t xml:space="preserve">맛있는 디자인 포토샵 </t>
    </r>
    <r>
      <rPr>
        <sz val="10"/>
        <rFont val="Arial"/>
        <family val="0"/>
        <charset val="1"/>
      </rPr>
      <t xml:space="preserve">CC 2026</t>
    </r>
  </si>
  <si>
    <t xml:space="preserve">윤이사라</t>
  </si>
  <si>
    <r>
      <rPr>
        <sz val="10"/>
        <rFont val="나눔고딕"/>
        <family val="2"/>
      </rPr>
      <t xml:space="preserve">된다</t>
    </r>
    <r>
      <rPr>
        <sz val="10"/>
        <rFont val="Arial"/>
        <family val="0"/>
        <charset val="1"/>
      </rPr>
      <t xml:space="preserve">! </t>
    </r>
    <r>
      <rPr>
        <sz val="10"/>
        <rFont val="나눔고딕"/>
        <family val="2"/>
      </rPr>
      <t xml:space="preserve">하루 만에 준비하는 캔바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수업 활용법 </t>
    </r>
    <r>
      <rPr>
        <sz val="10"/>
        <rFont val="Arial"/>
        <family val="0"/>
        <charset val="1"/>
      </rPr>
      <t xml:space="preserve">with 2022 </t>
    </r>
    <r>
      <rPr>
        <sz val="10"/>
        <rFont val="나눔고딕"/>
        <family val="2"/>
      </rPr>
      <t xml:space="preserve">개정 교육과정</t>
    </r>
  </si>
  <si>
    <r>
      <rPr>
        <sz val="10"/>
        <rFont val="나눔고딕"/>
        <family val="2"/>
      </rPr>
      <t xml:space="preserve">정인걸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김경수</t>
    </r>
  </si>
  <si>
    <r>
      <rPr>
        <sz val="10"/>
        <rFont val="나눔고딕"/>
        <family val="2"/>
      </rPr>
      <t xml:space="preserve">캔바 </t>
    </r>
    <r>
      <rPr>
        <sz val="10"/>
        <rFont val="Arial"/>
        <family val="0"/>
        <charset val="1"/>
      </rPr>
      <t xml:space="preserve">AI</t>
    </r>
  </si>
  <si>
    <r>
      <rPr>
        <sz val="10"/>
        <rFont val="나눔고딕"/>
        <family val="2"/>
      </rPr>
      <t xml:space="preserve">신승희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앤미디어</t>
    </r>
  </si>
  <si>
    <r>
      <rPr>
        <sz val="10"/>
        <rFont val="나눔고딕"/>
        <family val="2"/>
      </rPr>
      <t xml:space="preserve">요즘 바이브 코딩 깃허브 코파일럿 </t>
    </r>
    <r>
      <rPr>
        <sz val="10"/>
        <rFont val="Arial"/>
        <family val="0"/>
        <charset val="1"/>
      </rPr>
      <t xml:space="preserve">31</t>
    </r>
    <r>
      <rPr>
        <sz val="10"/>
        <rFont val="나눔고딕"/>
        <family val="2"/>
      </rPr>
      <t xml:space="preserve">가지 프로그램 만들기</t>
    </r>
  </si>
  <si>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줄의 글로 수익을 만드는 스레드 운영법</t>
    </r>
  </si>
  <si>
    <t xml:space="preserve">이동영</t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</si>
  <si>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엔지니어링</t>
    </r>
  </si>
  <si>
    <r>
      <rPr>
        <sz val="10"/>
        <rFont val="나눔고딕"/>
        <family val="2"/>
      </rPr>
      <t xml:space="preserve">칩 후옌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변성윤 역</t>
    </r>
  </si>
  <si>
    <t xml:space="preserve">코딩 자율학습 나도코딩의 파이썬 입문</t>
  </si>
  <si>
    <t xml:space="preserve">나도코딩</t>
  </si>
  <si>
    <r>
      <rPr>
        <sz val="10"/>
        <rFont val="나눔고딕"/>
        <family val="2"/>
      </rPr>
      <t xml:space="preserve">훅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</rPr>
      <t xml:space="preserve">일상을 사로잡는 제품의 비밀</t>
    </r>
  </si>
  <si>
    <r>
      <rPr>
        <sz val="10"/>
        <rFont val="나눔고딕"/>
        <family val="2"/>
      </rPr>
      <t xml:space="preserve">니르 이얄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조자현 역</t>
    </r>
  </si>
  <si>
    <t xml:space="preserve">유엑스리뷰</t>
  </si>
  <si>
    <r>
      <rPr>
        <sz val="10"/>
        <rFont val="나눔고딕"/>
        <family val="2"/>
      </rPr>
      <t xml:space="preserve">사용자를 생각하게 하지 마</t>
    </r>
    <r>
      <rPr>
        <sz val="10"/>
        <rFont val="Arial"/>
        <family val="0"/>
        <charset val="1"/>
      </rPr>
      <t xml:space="preserve">!</t>
    </r>
  </si>
  <si>
    <r>
      <rPr>
        <sz val="10"/>
        <rFont val="나눔고딕"/>
        <family val="2"/>
      </rPr>
      <t xml:space="preserve">스티브 크룩 저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이미령 역</t>
    </r>
  </si>
  <si>
    <r>
      <rPr>
        <sz val="10"/>
        <rFont val="나눔고딕"/>
        <family val="2"/>
      </rPr>
      <t xml:space="preserve">인사이트</t>
    </r>
    <r>
      <rPr>
        <sz val="10"/>
        <rFont val="Arial"/>
        <family val="0"/>
        <charset val="1"/>
      </rPr>
      <t xml:space="preserve">(insight)</t>
    </r>
  </si>
  <si>
    <t xml:space="preserve">좋은 사진을 만드는 정승익의 사진 구도</t>
  </si>
  <si>
    <t xml:space="preserve">정승익</t>
  </si>
  <si>
    <t xml:space="preserve">린 스타트업</t>
  </si>
  <si>
    <r>
      <rPr>
        <sz val="10"/>
        <rFont val="나눔고딕"/>
        <family val="2"/>
      </rPr>
      <t xml:space="preserve">에릭 리스 저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이창수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송우일 공역</t>
    </r>
  </si>
  <si>
    <r>
      <rPr>
        <sz val="10"/>
        <rFont val="나눔고딕"/>
        <family val="2"/>
      </rPr>
      <t xml:space="preserve">기업 </t>
    </r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자동화를 위한 클로드 </t>
    </r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활용</t>
    </r>
  </si>
  <si>
    <r>
      <rPr>
        <sz val="10"/>
        <rFont val="나눔고딕"/>
        <family val="2"/>
      </rPr>
      <t xml:space="preserve">최재용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박경희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신진주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임기정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권혁용 공저 외 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명 정보 더 보기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감추기 최재용 박경희 신진주 임기정 권혁용 김진수 최동진 김진선</t>
    </r>
  </si>
  <si>
    <r>
      <rPr>
        <sz val="10"/>
        <rFont val="나눔고딕"/>
        <family val="2"/>
      </rPr>
      <t xml:space="preserve">된다</t>
    </r>
    <r>
      <rPr>
        <sz val="10"/>
        <rFont val="Arial"/>
        <family val="0"/>
        <charset val="1"/>
      </rPr>
      <t xml:space="preserve">! AI </t>
    </r>
    <r>
      <rPr>
        <sz val="10"/>
        <rFont val="나눔고딕"/>
        <family val="2"/>
      </rPr>
      <t xml:space="preserve">상위 노출</t>
    </r>
  </si>
  <si>
    <t xml:space="preserve">이중대</t>
  </si>
  <si>
    <r>
      <rPr>
        <sz val="10"/>
        <rFont val="Arial"/>
        <family val="0"/>
        <charset val="1"/>
      </rPr>
      <t xml:space="preserve">C</t>
    </r>
    <r>
      <rPr>
        <sz val="10"/>
        <rFont val="나눔고딕"/>
        <family val="2"/>
      </rPr>
      <t xml:space="preserve">언어로 쉽게 풀어쓴 자료구조</t>
    </r>
  </si>
  <si>
    <r>
      <rPr>
        <sz val="10"/>
        <rFont val="나눔고딕"/>
        <family val="2"/>
      </rPr>
      <t xml:space="preserve">천인국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공용해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하상호</t>
    </r>
  </si>
  <si>
    <t xml:space="preserve">생능출판사</t>
  </si>
  <si>
    <r>
      <rPr>
        <sz val="10"/>
        <rFont val="나눔고딕"/>
        <family val="2"/>
      </rPr>
      <t xml:space="preserve">베테랑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전문교사가 만든 가장 쉬운 패들렛 활용</t>
    </r>
    <r>
      <rPr>
        <sz val="10"/>
        <rFont val="Arial"/>
        <family val="0"/>
        <charset val="1"/>
      </rPr>
      <t xml:space="preserve">! Padlet(</t>
    </r>
    <r>
      <rPr>
        <sz val="10"/>
        <rFont val="나눔고딕"/>
        <family val="2"/>
      </rPr>
      <t xml:space="preserve">패들렛</t>
    </r>
    <r>
      <rPr>
        <sz val="10"/>
        <rFont val="Arial"/>
        <family val="0"/>
        <charset val="1"/>
      </rPr>
      <t xml:space="preserve">)</t>
    </r>
    <r>
      <rPr>
        <sz val="10"/>
        <rFont val="나눔고딕"/>
        <family val="2"/>
      </rPr>
      <t xml:space="preserve">으로 무엇이든 만들 수 있다 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교사를 위한 패들렛 수업 활용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</si>
  <si>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봉우리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윤상준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이호준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황호연</t>
    </r>
  </si>
  <si>
    <r>
      <rPr>
        <sz val="10"/>
        <rFont val="나눔고딕"/>
        <family val="2"/>
      </rPr>
      <t xml:space="preserve">딸깍</t>
    </r>
    <r>
      <rPr>
        <sz val="10"/>
        <rFont val="Arial"/>
        <family val="0"/>
        <charset val="1"/>
      </rPr>
      <t xml:space="preserve">! </t>
    </r>
    <r>
      <rPr>
        <sz val="10"/>
        <rFont val="나눔고딕"/>
        <family val="2"/>
      </rPr>
      <t xml:space="preserve">바이브 코딩 </t>
    </r>
    <r>
      <rPr>
        <sz val="10"/>
        <rFont val="Arial"/>
        <family val="0"/>
        <charset val="1"/>
      </rPr>
      <t xml:space="preserve">by </t>
    </r>
    <r>
      <rPr>
        <sz val="10"/>
        <rFont val="나눔고딕"/>
        <family val="2"/>
      </rPr>
      <t xml:space="preserve">안티그래비티</t>
    </r>
  </si>
  <si>
    <t xml:space="preserve">반병현</t>
  </si>
  <si>
    <r>
      <rPr>
        <sz val="10"/>
        <rFont val="나눔고딕"/>
        <family val="2"/>
      </rPr>
      <t xml:space="preserve">앗싸 나도 되네</t>
    </r>
    <r>
      <rPr>
        <sz val="10"/>
        <rFont val="Arial"/>
        <family val="0"/>
        <charset val="1"/>
      </rPr>
      <t xml:space="preserve">! </t>
    </r>
    <r>
      <rPr>
        <sz val="10"/>
        <rFont val="나눔고딕"/>
        <family val="2"/>
      </rPr>
      <t xml:space="preserve">오늘부터 바로 써먹는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보험영업 활용법</t>
    </r>
  </si>
  <si>
    <t xml:space="preserve">조대수</t>
  </si>
  <si>
    <t xml:space="preserve">재노북스</t>
  </si>
  <si>
    <r>
      <rPr>
        <sz val="10"/>
        <rFont val="나눔고딕"/>
        <family val="2"/>
      </rPr>
      <t xml:space="preserve">된다</t>
    </r>
    <r>
      <rPr>
        <sz val="10"/>
        <rFont val="Arial"/>
        <family val="0"/>
        <charset val="1"/>
      </rPr>
      <t xml:space="preserve">! </t>
    </r>
    <r>
      <rPr>
        <sz val="10"/>
        <rFont val="나눔고딕"/>
        <family val="2"/>
      </rPr>
      <t xml:space="preserve">제미나이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클로드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챗</t>
    </r>
    <r>
      <rPr>
        <sz val="10"/>
        <rFont val="Arial"/>
        <family val="0"/>
        <charset val="1"/>
      </rPr>
      <t xml:space="preserve">GPT AI </t>
    </r>
    <r>
      <rPr>
        <sz val="10"/>
        <rFont val="나눔고딕"/>
        <family val="2"/>
      </rPr>
      <t xml:space="preserve">챗봇 만들기</t>
    </r>
  </si>
  <si>
    <r>
      <rPr>
        <sz val="10"/>
        <rFont val="나눔고딕"/>
        <family val="2"/>
      </rPr>
      <t xml:space="preserve">이재윤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정해준</t>
    </r>
  </si>
  <si>
    <r>
      <rPr>
        <sz val="10"/>
        <rFont val="나눔고딕"/>
        <family val="2"/>
      </rPr>
      <t xml:space="preserve">이것이 리눅스다 </t>
    </r>
    <r>
      <rPr>
        <sz val="10"/>
        <rFont val="Arial"/>
        <family val="0"/>
        <charset val="1"/>
      </rPr>
      <t xml:space="preserve">with Rocky Linux 10</t>
    </r>
  </si>
  <si>
    <t xml:space="preserve">우재남</t>
  </si>
  <si>
    <r>
      <rPr>
        <sz val="10"/>
        <rFont val="나눔고딕"/>
        <family val="2"/>
      </rPr>
      <t xml:space="preserve">피지컬 </t>
    </r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가 온다</t>
    </r>
  </si>
  <si>
    <t xml:space="preserve">권군오</t>
  </si>
  <si>
    <t xml:space="preserve">글로벌콘텐츠</t>
  </si>
  <si>
    <r>
      <rPr>
        <sz val="10"/>
        <rFont val="나눔고딕"/>
        <family val="2"/>
      </rPr>
      <t xml:space="preserve">누구나 아는 나만 모르는 챗</t>
    </r>
    <r>
      <rPr>
        <sz val="10"/>
        <rFont val="Arial"/>
        <family val="0"/>
        <charset val="1"/>
      </rPr>
      <t xml:space="preserve">GPT(</t>
    </r>
    <r>
      <rPr>
        <sz val="10"/>
        <rFont val="나눔고딕"/>
        <family val="2"/>
      </rPr>
      <t xml:space="preserve">개정판</t>
    </r>
    <r>
      <rPr>
        <sz val="10"/>
        <rFont val="Arial"/>
        <family val="0"/>
        <charset val="1"/>
      </rPr>
      <t xml:space="preserve">) : </t>
    </r>
    <r>
      <rPr>
        <sz val="10"/>
        <rFont val="나눔고딕"/>
        <family val="2"/>
      </rPr>
      <t xml:space="preserve">세상에서 가장 쉬운 챗</t>
    </r>
    <r>
      <rPr>
        <sz val="10"/>
        <rFont val="Arial"/>
        <family val="0"/>
        <charset val="1"/>
      </rPr>
      <t xml:space="preserve">GPT &amp; AI </t>
    </r>
    <r>
      <rPr>
        <sz val="10"/>
        <rFont val="나눔고딕"/>
        <family val="2"/>
      </rPr>
      <t xml:space="preserve">입문서</t>
    </r>
  </si>
  <si>
    <t xml:space="preserve">인공지능이 답할 때 교육은 무엇을 묻는가</t>
  </si>
  <si>
    <t xml:space="preserve">함영기</t>
  </si>
  <si>
    <t xml:space="preserve">일 잘하는 엔지니어의 생각 기법</t>
  </si>
  <si>
    <r>
      <rPr>
        <sz val="10"/>
        <rFont val="나눔고딕"/>
        <family val="2"/>
      </rPr>
      <t xml:space="preserve">캐리 밀샙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장현희 역</t>
    </r>
  </si>
  <si>
    <r>
      <rPr>
        <sz val="10"/>
        <rFont val="나눔고딕"/>
        <family val="2"/>
      </rPr>
      <t xml:space="preserve">요즘 바이브 코딩 커서 </t>
    </r>
    <r>
      <rPr>
        <sz val="10"/>
        <rFont val="Arial"/>
        <family val="0"/>
        <charset val="1"/>
      </rPr>
      <t xml:space="preserve">AI 30</t>
    </r>
    <r>
      <rPr>
        <sz val="10"/>
        <rFont val="나눔고딕"/>
        <family val="2"/>
      </rPr>
      <t xml:space="preserve">가지 프로그램 만들기</t>
    </r>
  </si>
  <si>
    <r>
      <rPr>
        <sz val="10"/>
        <rFont val="나눔고딕"/>
        <family val="2"/>
      </rPr>
      <t xml:space="preserve">된다</t>
    </r>
    <r>
      <rPr>
        <sz val="10"/>
        <rFont val="Arial"/>
        <family val="0"/>
        <charset val="1"/>
      </rPr>
      <t xml:space="preserve">! </t>
    </r>
    <r>
      <rPr>
        <sz val="10"/>
        <rFont val="나눔고딕"/>
        <family val="2"/>
      </rPr>
      <t xml:space="preserve">미리캔버스</t>
    </r>
    <r>
      <rPr>
        <sz val="10"/>
        <rFont val="Arial"/>
        <family val="0"/>
        <charset val="1"/>
      </rPr>
      <t xml:space="preserve">&amp;</t>
    </r>
    <r>
      <rPr>
        <sz val="10"/>
        <rFont val="나눔고딕"/>
        <family val="2"/>
      </rPr>
      <t xml:space="preserve">캔바 디자인 수업</t>
    </r>
  </si>
  <si>
    <r>
      <rPr>
        <sz val="10"/>
        <rFont val="나눔고딕"/>
        <family val="2"/>
      </rPr>
      <t xml:space="preserve">방구석 다람쥐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배가을</t>
    </r>
    <r>
      <rPr>
        <sz val="10"/>
        <rFont val="Arial"/>
        <family val="0"/>
        <charset val="1"/>
      </rPr>
      <t xml:space="preserve">)</t>
    </r>
  </si>
  <si>
    <t xml:space="preserve">요즘 바이브 코딩 클로드 코드 완벽 가이드</t>
  </si>
  <si>
    <r>
      <rPr>
        <sz val="10"/>
        <rFont val="나눔고딕"/>
        <family val="2"/>
      </rPr>
      <t xml:space="preserve">요즘 교사를 위한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디지털 수업 설계 가이드 </t>
    </r>
    <r>
      <rPr>
        <sz val="10"/>
        <rFont val="Arial"/>
        <family val="0"/>
        <charset val="1"/>
      </rPr>
      <t xml:space="preserve">with 2022 </t>
    </r>
    <r>
      <rPr>
        <sz val="10"/>
        <rFont val="나눔고딕"/>
        <family val="2"/>
      </rPr>
      <t xml:space="preserve">개정 교육과정</t>
    </r>
  </si>
  <si>
    <r>
      <rPr>
        <sz val="10"/>
        <rFont val="나눔고딕"/>
        <family val="2"/>
      </rPr>
      <t xml:space="preserve">김진관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김상섭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이대형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이상선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윤신영</t>
    </r>
  </si>
  <si>
    <t xml:space="preserve">모두의 딥러닝</t>
  </si>
  <si>
    <r>
      <rPr>
        <sz val="10"/>
        <rFont val="나눔고딕"/>
        <family val="2"/>
      </rPr>
      <t xml:space="preserve">구글 시트로 스마트한 학교 만들기 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</rPr>
      <t xml:space="preserve">교사를 위한 스프레드시트 활용 가이드</t>
    </r>
  </si>
  <si>
    <r>
      <rPr>
        <sz val="10"/>
        <rFont val="나눔고딕"/>
        <family val="2"/>
      </rPr>
      <t xml:space="preserve">지미정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장성진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유병선</t>
    </r>
  </si>
  <si>
    <r>
      <rPr>
        <sz val="10"/>
        <rFont val="나눔고딕"/>
        <family val="2"/>
      </rPr>
      <t xml:space="preserve">마법 같은 영상 제작을 위한 스마트폰 촬영 및 편집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캡컷</t>
    </r>
  </si>
  <si>
    <t xml:space="preserve">김지희</t>
  </si>
  <si>
    <t xml:space="preserve">선생님을 위한 노션</t>
  </si>
  <si>
    <t xml:space="preserve">디자인 구구단</t>
  </si>
  <si>
    <t xml:space="preserve">에이핫</t>
  </si>
  <si>
    <t xml:space="preserve">혼자 공부하는 네트워크</t>
  </si>
  <si>
    <t xml:space="preserve">강민철</t>
  </si>
  <si>
    <r>
      <rPr>
        <sz val="10"/>
        <rFont val="나눔고딕"/>
        <family val="2"/>
      </rPr>
      <t xml:space="preserve">친절한 </t>
    </r>
    <r>
      <rPr>
        <sz val="10"/>
        <rFont val="Arial"/>
        <family val="0"/>
        <charset val="1"/>
      </rPr>
      <t xml:space="preserve">SQL </t>
    </r>
    <r>
      <rPr>
        <sz val="10"/>
        <rFont val="나눔고딕"/>
        <family val="2"/>
      </rPr>
      <t xml:space="preserve">튜닝</t>
    </r>
  </si>
  <si>
    <t xml:space="preserve">조시형</t>
  </si>
  <si>
    <r>
      <rPr>
        <sz val="10"/>
        <rFont val="나눔고딕"/>
        <family val="2"/>
      </rPr>
      <t xml:space="preserve">디비안</t>
    </r>
    <r>
      <rPr>
        <sz val="10"/>
        <rFont val="Arial"/>
        <family val="0"/>
        <charset val="1"/>
      </rPr>
      <t xml:space="preserve">(DBian)</t>
    </r>
  </si>
  <si>
    <r>
      <rPr>
        <sz val="10"/>
        <rFont val="나눔고딕"/>
        <family val="2"/>
      </rPr>
      <t xml:space="preserve">그림으로 배우는 생성형 </t>
    </r>
    <r>
      <rPr>
        <sz val="10"/>
        <rFont val="Arial"/>
        <family val="0"/>
        <charset val="1"/>
      </rPr>
      <t xml:space="preserve">AI</t>
    </r>
  </si>
  <si>
    <r>
      <rPr>
        <sz val="10"/>
        <rFont val="나눔고딕"/>
        <family val="2"/>
      </rPr>
      <t xml:space="preserve">프리양카 베르가디아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발리아파 락슈마난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류광 역</t>
    </r>
  </si>
  <si>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주 완성 초등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웹툰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투닝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망고툰</t>
    </r>
  </si>
  <si>
    <t xml:space="preserve">한송이 글</t>
  </si>
  <si>
    <t xml:space="preserve">서사원주니어</t>
  </si>
  <si>
    <r>
      <rPr>
        <sz val="10"/>
        <rFont val="나눔고딕"/>
        <family val="2"/>
      </rPr>
      <t xml:space="preserve">코딩 자율학습 </t>
    </r>
    <r>
      <rPr>
        <sz val="10"/>
        <rFont val="Arial"/>
        <family val="0"/>
        <charset val="1"/>
      </rPr>
      <t xml:space="preserve">FastAPI </t>
    </r>
    <r>
      <rPr>
        <sz val="10"/>
        <rFont val="나눔고딕"/>
        <family val="2"/>
      </rPr>
      <t xml:space="preserve">파이썬 백엔드 개발 입문</t>
    </r>
  </si>
  <si>
    <t xml:space="preserve">신동현</t>
  </si>
  <si>
    <t xml:space="preserve">알고 나면 무조건 써먹는 실무 엑셀</t>
  </si>
  <si>
    <t xml:space="preserve">정훈희</t>
  </si>
  <si>
    <t xml:space="preserve">몰입을 설계하는 게임 기획</t>
  </si>
  <si>
    <r>
      <rPr>
        <sz val="10"/>
        <rFont val="나눔고딕"/>
        <family val="2"/>
      </rPr>
      <t xml:space="preserve">쉬웨이훙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권유라 역</t>
    </r>
  </si>
  <si>
    <t xml:space="preserve">소프트웨어 설계의 결합 균형</t>
  </si>
  <si>
    <r>
      <rPr>
        <sz val="10"/>
        <rFont val="나눔고딕"/>
        <family val="2"/>
      </rPr>
      <t xml:space="preserve">블라드 코노노프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장연호 역</t>
    </r>
  </si>
  <si>
    <r>
      <rPr>
        <sz val="10"/>
        <rFont val="나눔고딕"/>
        <family val="2"/>
      </rPr>
      <t xml:space="preserve">그림으로 이해하는 </t>
    </r>
    <r>
      <rPr>
        <sz val="10"/>
        <rFont val="Arial"/>
        <family val="0"/>
        <charset val="1"/>
      </rPr>
      <t xml:space="preserve">AWS </t>
    </r>
    <r>
      <rPr>
        <sz val="10"/>
        <rFont val="나눔고딕"/>
        <family val="2"/>
      </rPr>
      <t xml:space="preserve">구조와 기술</t>
    </r>
  </si>
  <si>
    <r>
      <rPr>
        <sz val="10"/>
        <rFont val="나눔고딕"/>
        <family val="2"/>
      </rPr>
      <t xml:space="preserve">오가사와라 시게타카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박광수 역</t>
    </r>
  </si>
  <si>
    <r>
      <rPr>
        <sz val="10"/>
        <rFont val="Arial"/>
        <family val="0"/>
        <charset val="1"/>
      </rPr>
      <t xml:space="preserve">LUVIT♥ </t>
    </r>
    <r>
      <rPr>
        <sz val="10"/>
        <rFont val="나눔고딕"/>
        <family val="2"/>
      </rPr>
      <t xml:space="preserve">클로드와 함께하는 </t>
    </r>
    <r>
      <rPr>
        <sz val="10"/>
        <rFont val="Arial"/>
        <family val="0"/>
        <charset val="1"/>
      </rPr>
      <t xml:space="preserve">LLM </t>
    </r>
    <r>
      <rPr>
        <sz val="10"/>
        <rFont val="나눔고딕"/>
        <family val="2"/>
      </rPr>
      <t xml:space="preserve">프로젝트</t>
    </r>
  </si>
  <si>
    <t xml:space="preserve">이승우</t>
  </si>
  <si>
    <r>
      <rPr>
        <sz val="10"/>
        <rFont val="Arial"/>
        <family val="0"/>
        <charset val="1"/>
      </rPr>
      <t xml:space="preserve">30</t>
    </r>
    <r>
      <rPr>
        <sz val="10"/>
        <rFont val="나눔고딕"/>
        <family val="2"/>
      </rPr>
      <t xml:space="preserve">가지 예제로 따라 하며 배우는 </t>
    </r>
    <r>
      <rPr>
        <sz val="10"/>
        <rFont val="Arial"/>
        <family val="0"/>
        <charset val="1"/>
      </rPr>
      <t xml:space="preserve">ComfyUI </t>
    </r>
    <r>
      <rPr>
        <sz val="10"/>
        <rFont val="나눔고딕"/>
        <family val="2"/>
      </rPr>
      <t xml:space="preserve">클라우드</t>
    </r>
  </si>
  <si>
    <r>
      <rPr>
        <sz val="10"/>
        <rFont val="나눔고딕"/>
        <family val="2"/>
      </rPr>
      <t xml:space="preserve">여승호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신무경</t>
    </r>
  </si>
  <si>
    <t xml:space="preserve">이펙티브 파이썬</t>
  </si>
  <si>
    <r>
      <rPr>
        <sz val="10"/>
        <rFont val="나눔고딕"/>
        <family val="2"/>
      </rPr>
      <t xml:space="preserve">브렛 슬라킨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오현석 역</t>
    </r>
  </si>
  <si>
    <t xml:space="preserve">슬기로운 교사 생활 구글 클래스룸 수업 활용법</t>
  </si>
  <si>
    <t xml:space="preserve">유수근</t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</si>
  <si>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게임 개발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코덱스</t>
    </r>
  </si>
  <si>
    <r>
      <rPr>
        <sz val="10"/>
        <rFont val="나눔고딕"/>
        <family val="2"/>
      </rPr>
      <t xml:space="preserve">정윤지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유리링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</si>
  <si>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맛있는 디자인 포토샵</t>
    </r>
    <r>
      <rPr>
        <sz val="10"/>
        <rFont val="Arial"/>
        <family val="0"/>
        <charset val="1"/>
      </rPr>
      <t xml:space="preserve">&amp;</t>
    </r>
    <r>
      <rPr>
        <sz val="10"/>
        <rFont val="나눔고딕"/>
        <family val="2"/>
      </rPr>
      <t xml:space="preserve">일러스트레이터 </t>
    </r>
    <r>
      <rPr>
        <sz val="10"/>
        <rFont val="Arial"/>
        <family val="0"/>
        <charset val="1"/>
      </rPr>
      <t xml:space="preserve">CC 2026</t>
    </r>
  </si>
  <si>
    <r>
      <rPr>
        <sz val="10"/>
        <rFont val="나눔고딕"/>
        <family val="2"/>
      </rPr>
      <t xml:space="preserve">박정아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윤이사라</t>
    </r>
  </si>
  <si>
    <r>
      <rPr>
        <sz val="10"/>
        <rFont val="Arial"/>
        <family val="0"/>
        <charset val="1"/>
      </rPr>
      <t xml:space="preserve">LLM</t>
    </r>
    <r>
      <rPr>
        <sz val="10"/>
        <rFont val="나눔고딕"/>
        <family val="2"/>
      </rPr>
      <t xml:space="preserve">을 위한 프롬프트 엔지니어링</t>
    </r>
  </si>
  <si>
    <r>
      <rPr>
        <sz val="10"/>
        <rFont val="나눔고딕"/>
        <family val="2"/>
      </rPr>
      <t xml:space="preserve">존 베리먼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앨버트 지글러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김정인 역</t>
    </r>
  </si>
  <si>
    <r>
      <rPr>
        <sz val="10"/>
        <rFont val="나눔고딕"/>
        <family val="2"/>
      </rPr>
      <t xml:space="preserve">대한민국 교육 르네상스 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</rPr>
      <t xml:space="preserve">대전환시대 교육의 본질을 탐하다</t>
    </r>
  </si>
  <si>
    <r>
      <rPr>
        <sz val="10"/>
        <rFont val="나눔고딕"/>
        <family val="2"/>
      </rPr>
      <t xml:space="preserve">지미정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김진관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윤신영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박미지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윤여옥 저 외 </t>
    </r>
    <r>
      <rPr>
        <sz val="10"/>
        <rFont val="Arial"/>
        <family val="0"/>
        <charset val="1"/>
      </rPr>
      <t xml:space="preserve">10</t>
    </r>
    <r>
      <rPr>
        <sz val="10"/>
        <rFont val="나눔고딕"/>
        <family val="2"/>
      </rPr>
      <t xml:space="preserve">명 정보 더 보기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감추기 지미정 김진관 윤신영 박미지 윤여옥 김희수 박선정 강원빈 이대형 서지나 서동욱 하나 남궁정 임보라 김하연</t>
    </r>
  </si>
  <si>
    <r>
      <rPr>
        <sz val="10"/>
        <rFont val="나눔고딕"/>
        <family val="2"/>
      </rPr>
      <t xml:space="preserve">챗</t>
    </r>
    <r>
      <rPr>
        <sz val="10"/>
        <rFont val="Arial"/>
        <family val="0"/>
        <charset val="1"/>
      </rPr>
      <t xml:space="preserve">GPT·</t>
    </r>
    <r>
      <rPr>
        <sz val="10"/>
        <rFont val="나눔고딕"/>
        <family val="2"/>
      </rPr>
      <t xml:space="preserve">퍼플렉시티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클로드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코파일럿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제미나이 다 잘함</t>
    </r>
  </si>
  <si>
    <t xml:space="preserve">이호정</t>
  </si>
  <si>
    <t xml:space="preserve">업무와 일상을 정리하는 새로운 방법 노션</t>
  </si>
  <si>
    <t xml:space="preserve">전시진</t>
  </si>
  <si>
    <r>
      <rPr>
        <sz val="10"/>
        <rFont val="나눔고딕"/>
        <family val="2"/>
      </rPr>
      <t xml:space="preserve">핸즈온 </t>
    </r>
    <r>
      <rPr>
        <sz val="10"/>
        <rFont val="Arial"/>
        <family val="0"/>
        <charset val="1"/>
      </rPr>
      <t xml:space="preserve">LLM</t>
    </r>
  </si>
  <si>
    <r>
      <rPr>
        <sz val="10"/>
        <rFont val="나눔고딕"/>
        <family val="2"/>
      </rPr>
      <t xml:space="preserve">제이 알아마르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마르턴 흐루턴도르스트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박해선 역</t>
    </r>
  </si>
  <si>
    <r>
      <rPr>
        <sz val="10"/>
        <rFont val="Arial"/>
        <family val="0"/>
        <charset val="1"/>
      </rPr>
      <t xml:space="preserve">Do it! </t>
    </r>
    <r>
      <rPr>
        <sz val="10"/>
        <rFont val="나눔고딕"/>
        <family val="2"/>
      </rPr>
      <t xml:space="preserve">오토캐드 </t>
    </r>
    <r>
      <rPr>
        <sz val="10"/>
        <rFont val="Arial"/>
        <family val="0"/>
        <charset val="1"/>
      </rPr>
      <t xml:space="preserve">2026</t>
    </r>
  </si>
  <si>
    <t xml:space="preserve">박한울</t>
  </si>
  <si>
    <r>
      <rPr>
        <sz val="10"/>
        <rFont val="Arial"/>
        <family val="0"/>
        <charset val="1"/>
      </rPr>
      <t xml:space="preserve">RAG </t>
    </r>
    <r>
      <rPr>
        <sz val="10"/>
        <rFont val="나눔고딕"/>
        <family val="2"/>
      </rPr>
      <t xml:space="preserve">마스터 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</rPr>
      <t xml:space="preserve">랭체인으로 완성하는 </t>
    </r>
    <r>
      <rPr>
        <sz val="10"/>
        <rFont val="Arial"/>
        <family val="0"/>
        <charset val="1"/>
      </rPr>
      <t xml:space="preserve">LLM </t>
    </r>
    <r>
      <rPr>
        <sz val="10"/>
        <rFont val="나눔고딕"/>
        <family val="2"/>
      </rPr>
      <t xml:space="preserve">서비스</t>
    </r>
  </si>
  <si>
    <r>
      <rPr>
        <sz val="10"/>
        <rFont val="나눔고딕"/>
        <family val="2"/>
      </rPr>
      <t xml:space="preserve">브라이스 유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조경아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박수진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김재웅</t>
    </r>
  </si>
  <si>
    <r>
      <rPr>
        <sz val="10"/>
        <rFont val="나눔고딕"/>
        <family val="2"/>
      </rPr>
      <t xml:space="preserve">와그작 한글 </t>
    </r>
    <r>
      <rPr>
        <sz val="10"/>
        <rFont val="Arial"/>
        <family val="0"/>
        <charset val="1"/>
      </rPr>
      <t xml:space="preserve">2022 AI+</t>
    </r>
    <r>
      <rPr>
        <sz val="10"/>
        <rFont val="나눔고딕"/>
        <family val="2"/>
      </rPr>
      <t xml:space="preserve">인터넷</t>
    </r>
  </si>
  <si>
    <t xml:space="preserve">놀이교육콘텐츠랩</t>
  </si>
  <si>
    <t xml:space="preserve">무조건 쿠팡에서 팔아라 그래야 산다</t>
  </si>
  <si>
    <r>
      <rPr>
        <sz val="10"/>
        <rFont val="나눔고딕"/>
        <family val="2"/>
      </rPr>
      <t xml:space="preserve">하지혜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오대장</t>
    </r>
  </si>
  <si>
    <t xml:space="preserve">우리네삶</t>
  </si>
  <si>
    <r>
      <rPr>
        <sz val="10"/>
        <rFont val="나눔고딕"/>
        <family val="2"/>
      </rPr>
      <t xml:space="preserve">인공지능이 다 해주는 브루 </t>
    </r>
    <r>
      <rPr>
        <sz val="10"/>
        <rFont val="Arial"/>
        <family val="0"/>
        <charset val="1"/>
      </rPr>
      <t xml:space="preserve">Vrew </t>
    </r>
    <r>
      <rPr>
        <sz val="10"/>
        <rFont val="나눔고딕"/>
        <family val="2"/>
      </rPr>
      <t xml:space="preserve">영상 편집</t>
    </r>
  </si>
  <si>
    <r>
      <rPr>
        <sz val="10"/>
        <rFont val="나눔고딕"/>
        <family val="2"/>
      </rPr>
      <t xml:space="preserve">지현이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브루 개발팀 감수</t>
    </r>
  </si>
  <si>
    <r>
      <rPr>
        <sz val="10"/>
        <rFont val="Arial"/>
        <family val="0"/>
        <charset val="1"/>
      </rPr>
      <t xml:space="preserve">Must Have Tucker</t>
    </r>
    <r>
      <rPr>
        <sz val="10"/>
        <rFont val="나눔고딕"/>
        <family val="2"/>
      </rPr>
      <t xml:space="preserve">의 </t>
    </r>
    <r>
      <rPr>
        <sz val="10"/>
        <rFont val="Arial"/>
        <family val="0"/>
        <charset val="1"/>
      </rPr>
      <t xml:space="preserve">Go </t>
    </r>
    <r>
      <rPr>
        <sz val="10"/>
        <rFont val="나눔고딕"/>
        <family val="2"/>
      </rPr>
      <t xml:space="preserve">언어 프로그래밍 </t>
    </r>
    <r>
      <rPr>
        <sz val="10"/>
        <rFont val="Arial"/>
        <family val="0"/>
        <charset val="1"/>
      </rPr>
      <t xml:space="preserve">(2</t>
    </r>
    <r>
      <rPr>
        <sz val="10"/>
        <rFont val="나눔고딕"/>
        <family val="2"/>
      </rPr>
      <t xml:space="preserve">판</t>
    </r>
    <r>
      <rPr>
        <sz val="10"/>
        <rFont val="Arial"/>
        <family val="0"/>
        <charset val="1"/>
      </rPr>
      <t xml:space="preserve">)</t>
    </r>
  </si>
  <si>
    <t xml:space="preserve">공봉식</t>
  </si>
  <si>
    <t xml:space="preserve">게임 기획의 정석</t>
  </si>
  <si>
    <r>
      <rPr>
        <sz val="10"/>
        <rFont val="나눔고딕"/>
        <family val="2"/>
      </rPr>
      <t xml:space="preserve">타이난 실베스터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오영욱 역</t>
    </r>
  </si>
  <si>
    <t xml:space="preserve">스타비즈</t>
  </si>
  <si>
    <r>
      <rPr>
        <sz val="10"/>
        <rFont val="나눔고딕"/>
        <family val="2"/>
      </rPr>
      <t xml:space="preserve">혼자 공부하는 </t>
    </r>
    <r>
      <rPr>
        <sz val="10"/>
        <rFont val="Arial"/>
        <family val="0"/>
        <charset val="1"/>
      </rPr>
      <t xml:space="preserve">C </t>
    </r>
    <r>
      <rPr>
        <sz val="10"/>
        <rFont val="나눔고딕"/>
        <family val="2"/>
      </rPr>
      <t xml:space="preserve">언어</t>
    </r>
  </si>
  <si>
    <t xml:space="preserve">서현우</t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</si>
  <si>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지도책</t>
    </r>
  </si>
  <si>
    <r>
      <rPr>
        <sz val="10"/>
        <rFont val="나눔고딕"/>
        <family val="2"/>
      </rPr>
      <t xml:space="preserve">케이트 크로퍼드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노승영 역</t>
    </r>
  </si>
  <si>
    <t xml:space="preserve">소소의책</t>
  </si>
  <si>
    <r>
      <rPr>
        <sz val="10"/>
        <rFont val="나눔고딕"/>
        <family val="2"/>
      </rPr>
      <t xml:space="preserve">혼자 공부하는 컴퓨터 구조</t>
    </r>
    <r>
      <rPr>
        <sz val="10"/>
        <rFont val="Arial"/>
        <family val="0"/>
        <charset val="1"/>
      </rPr>
      <t xml:space="preserve">+</t>
    </r>
    <r>
      <rPr>
        <sz val="10"/>
        <rFont val="나눔고딕"/>
        <family val="2"/>
      </rPr>
      <t xml:space="preserve">운영체제</t>
    </r>
  </si>
  <si>
    <t xml:space="preserve">양자 컴퓨터 원리와 수학적 기초</t>
  </si>
  <si>
    <r>
      <rPr>
        <sz val="10"/>
        <rFont val="나눔고딕"/>
        <family val="2"/>
      </rPr>
      <t xml:space="preserve">크리스 베른하트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이정문 역</t>
    </r>
  </si>
  <si>
    <t xml:space="preserve">에이콘출판사</t>
  </si>
  <si>
    <t xml:space="preserve">중국 휴머노이드 로봇</t>
  </si>
  <si>
    <t xml:space="preserve">김종문</t>
  </si>
  <si>
    <t xml:space="preserve">이것이 멀티 에이전트다</t>
  </si>
  <si>
    <t xml:space="preserve">서지영</t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</si>
  <si>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국부론</t>
    </r>
  </si>
  <si>
    <t xml:space="preserve">이승현</t>
  </si>
  <si>
    <t xml:space="preserve">가상 면접 사례로 배우는 대규모 시스템 설계 기초</t>
  </si>
  <si>
    <r>
      <rPr>
        <sz val="10"/>
        <rFont val="나눔고딕"/>
        <family val="2"/>
      </rPr>
      <t xml:space="preserve">알렉스 쉬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이병준 역</t>
    </r>
  </si>
  <si>
    <t xml:space="preserve">클로드 코워크</t>
  </si>
  <si>
    <t xml:space="preserve">신승희</t>
  </si>
  <si>
    <r>
      <rPr>
        <sz val="10"/>
        <rFont val="Arial"/>
        <family val="0"/>
        <charset val="1"/>
      </rPr>
      <t xml:space="preserve">AI, </t>
    </r>
    <r>
      <rPr>
        <sz val="10"/>
        <rFont val="나눔고딕"/>
        <family val="2"/>
      </rPr>
      <t xml:space="preserve">글쓰기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저작권</t>
    </r>
  </si>
  <si>
    <t xml:space="preserve">정지우</t>
  </si>
  <si>
    <t xml:space="preserve">마름모</t>
  </si>
  <si>
    <r>
      <rPr>
        <sz val="10"/>
        <rFont val="나눔고딕"/>
        <family val="2"/>
      </rPr>
      <t xml:space="preserve">요즘 예체능 수업을 위한 에듀테크 활용법 </t>
    </r>
    <r>
      <rPr>
        <sz val="10"/>
        <rFont val="Arial"/>
        <family val="0"/>
        <charset val="1"/>
      </rPr>
      <t xml:space="preserve">223</t>
    </r>
    <r>
      <rPr>
        <sz val="10"/>
        <rFont val="나눔고딕"/>
        <family val="2"/>
      </rPr>
      <t xml:space="preserve">제</t>
    </r>
  </si>
  <si>
    <t xml:space="preserve">박래혁</t>
  </si>
  <si>
    <r>
      <rPr>
        <sz val="10"/>
        <rFont val="나눔고딕"/>
        <family val="2"/>
      </rPr>
      <t xml:space="preserve">프로 일잘러의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실무 바이블</t>
    </r>
  </si>
  <si>
    <r>
      <rPr>
        <sz val="10"/>
        <rFont val="나눔고딕"/>
        <family val="2"/>
      </rPr>
      <t xml:space="preserve">양일동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이안정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박희현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나한주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이나윤 저 외 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명 정보 더 보기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감추기 양일동 이안정 박희현 나한주 이나윤 임채용 임효경</t>
    </r>
  </si>
  <si>
    <t xml:space="preserve">교육과학사</t>
  </si>
  <si>
    <r>
      <rPr>
        <sz val="10"/>
        <rFont val="나눔고딕"/>
        <family val="2"/>
      </rPr>
      <t xml:space="preserve">바이브 코딩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구글 안티그래비티</t>
    </r>
  </si>
  <si>
    <t xml:space="preserve">노성환</t>
  </si>
  <si>
    <r>
      <rPr>
        <sz val="10"/>
        <rFont val="나눔고딕"/>
        <family val="2"/>
      </rPr>
      <t xml:space="preserve">요즘 교실 혁신의 공식 </t>
    </r>
    <r>
      <rPr>
        <sz val="10"/>
        <rFont val="Arial"/>
        <family val="0"/>
        <charset val="1"/>
      </rPr>
      <t xml:space="preserve">AI·</t>
    </r>
    <r>
      <rPr>
        <sz val="10"/>
        <rFont val="나눔고딕"/>
        <family val="2"/>
      </rPr>
      <t xml:space="preserve">에듀테크 활용법 </t>
    </r>
    <r>
      <rPr>
        <sz val="10"/>
        <rFont val="Arial"/>
        <family val="0"/>
        <charset val="1"/>
      </rPr>
      <t xml:space="preserve">with 2022 </t>
    </r>
    <r>
      <rPr>
        <sz val="10"/>
        <rFont val="나눔고딕"/>
        <family val="2"/>
      </rPr>
      <t xml:space="preserve">개정 교육과정</t>
    </r>
  </si>
  <si>
    <t xml:space="preserve">진제헌</t>
  </si>
  <si>
    <r>
      <rPr>
        <sz val="10"/>
        <rFont val="나눔고딕"/>
        <family val="2"/>
      </rPr>
      <t xml:space="preserve">된다</t>
    </r>
    <r>
      <rPr>
        <sz val="10"/>
        <rFont val="Arial"/>
        <family val="0"/>
        <charset val="1"/>
      </rPr>
      <t xml:space="preserve">! AI </t>
    </r>
    <r>
      <rPr>
        <sz val="10"/>
        <rFont val="나눔고딕"/>
        <family val="2"/>
      </rPr>
      <t xml:space="preserve">디자인 </t>
    </r>
    <r>
      <rPr>
        <sz val="10"/>
        <rFont val="Arial"/>
        <family val="0"/>
        <charset val="1"/>
      </rPr>
      <t xml:space="preserve">2026</t>
    </r>
  </si>
  <si>
    <t xml:space="preserve">김희재</t>
  </si>
  <si>
    <r>
      <rPr>
        <sz val="10"/>
        <rFont val="나눔고딕"/>
        <family val="2"/>
      </rPr>
      <t xml:space="preserve">한 권으로 끝내는 피지컬 </t>
    </r>
    <r>
      <rPr>
        <sz val="10"/>
        <rFont val="Arial"/>
        <family val="0"/>
        <charset val="1"/>
      </rPr>
      <t xml:space="preserve">AI ROS2 </t>
    </r>
    <r>
      <rPr>
        <sz val="10"/>
        <rFont val="나눔고딕"/>
        <family val="2"/>
      </rPr>
      <t xml:space="preserve">입문</t>
    </r>
    <r>
      <rPr>
        <sz val="10"/>
        <rFont val="Arial"/>
        <family val="0"/>
        <charset val="1"/>
      </rPr>
      <t xml:space="preserve">+</t>
    </r>
    <r>
      <rPr>
        <sz val="10"/>
        <rFont val="나눔고딕"/>
        <family val="2"/>
      </rPr>
      <t xml:space="preserve">실전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종합편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</si>
  <si>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서민우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전현희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이현아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박찬호</t>
    </r>
  </si>
  <si>
    <r>
      <rPr>
        <sz val="10"/>
        <rFont val="나눔고딕"/>
        <family val="2"/>
      </rPr>
      <t xml:space="preserve">젠스파크 </t>
    </r>
    <r>
      <rPr>
        <sz val="10"/>
        <rFont val="Arial"/>
        <family val="0"/>
        <charset val="1"/>
      </rPr>
      <t xml:space="preserve">Genspark AI </t>
    </r>
    <r>
      <rPr>
        <sz val="10"/>
        <rFont val="나눔고딕"/>
        <family val="2"/>
      </rPr>
      <t xml:space="preserve">콘텐츠 공장</t>
    </r>
  </si>
  <si>
    <t xml:space="preserve">조영빈</t>
  </si>
  <si>
    <r>
      <rPr>
        <sz val="10"/>
        <rFont val="나눔고딕"/>
        <family val="2"/>
      </rPr>
      <t xml:space="preserve">맛있는 디자인 피그마 </t>
    </r>
    <r>
      <rPr>
        <sz val="10"/>
        <rFont val="Arial"/>
        <family val="0"/>
        <charset val="1"/>
      </rPr>
      <t xml:space="preserve">with AI</t>
    </r>
  </si>
  <si>
    <t xml:space="preserve">이영주</t>
  </si>
  <si>
    <r>
      <rPr>
        <sz val="10"/>
        <rFont val="나눔고딕"/>
        <family val="2"/>
      </rPr>
      <t xml:space="preserve">된다</t>
    </r>
    <r>
      <rPr>
        <sz val="10"/>
        <rFont val="Arial"/>
        <family val="0"/>
        <charset val="1"/>
      </rPr>
      <t xml:space="preserve">! </t>
    </r>
    <r>
      <rPr>
        <sz val="10"/>
        <rFont val="나눔고딕"/>
        <family val="2"/>
      </rPr>
      <t xml:space="preserve">링크드인 활용법</t>
    </r>
  </si>
  <si>
    <t xml:space="preserve">변재일</t>
  </si>
  <si>
    <r>
      <rPr>
        <sz val="10"/>
        <rFont val="나눔고딕"/>
        <family val="2"/>
      </rPr>
      <t xml:space="preserve">포토샵 </t>
    </r>
    <r>
      <rPr>
        <sz val="10"/>
        <rFont val="Arial"/>
        <family val="0"/>
        <charset val="1"/>
      </rPr>
      <t xml:space="preserve">&amp; </t>
    </r>
    <r>
      <rPr>
        <sz val="10"/>
        <rFont val="나눔고딕"/>
        <family val="2"/>
      </rPr>
      <t xml:space="preserve">일러스트레이터 </t>
    </r>
    <r>
      <rPr>
        <sz val="10"/>
        <rFont val="Arial"/>
        <family val="0"/>
        <charset val="1"/>
      </rPr>
      <t xml:space="preserve">&amp; </t>
    </r>
    <r>
      <rPr>
        <sz val="10"/>
        <rFont val="나눔고딕"/>
        <family val="2"/>
      </rPr>
      <t xml:space="preserve">인디자인 </t>
    </r>
    <r>
      <rPr>
        <sz val="10"/>
        <rFont val="Arial"/>
        <family val="0"/>
        <charset val="1"/>
      </rPr>
      <t xml:space="preserve">CC 2026</t>
    </r>
  </si>
  <si>
    <r>
      <rPr>
        <sz val="10"/>
        <rFont val="나눔고딕"/>
        <family val="2"/>
      </rPr>
      <t xml:space="preserve">김경미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최리진</t>
    </r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</si>
  <si>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로봇 구조 교과서</t>
    </r>
  </si>
  <si>
    <t xml:space="preserve">유승남</t>
  </si>
  <si>
    <t xml:space="preserve">보누스</t>
  </si>
  <si>
    <t xml:space="preserve">유리링의 실전 게임 시스템 기획</t>
  </si>
  <si>
    <r>
      <rPr>
        <sz val="10"/>
        <rFont val="나눔고딕"/>
        <family val="2"/>
      </rPr>
      <t xml:space="preserve">직장인을 위한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실무 엑셀</t>
    </r>
  </si>
  <si>
    <t xml:space="preserve">선양미</t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</si>
  <si>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팀원이 다 해줌</t>
    </r>
  </si>
  <si>
    <t xml:space="preserve">이나현</t>
  </si>
  <si>
    <t xml:space="preserve">파이썬으로 시작하는 인공지능 기초 수업</t>
  </si>
  <si>
    <r>
      <rPr>
        <sz val="10"/>
        <rFont val="나눔고딕"/>
        <family val="2"/>
      </rPr>
      <t xml:space="preserve">채상미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우범윤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이준용</t>
    </r>
  </si>
  <si>
    <t xml:space="preserve">학교 업무가 쉬워지는 구글 스프레드시트 실전 가이드북</t>
  </si>
  <si>
    <r>
      <rPr>
        <sz val="10"/>
        <rFont val="나눔고딕"/>
        <family val="2"/>
      </rPr>
      <t xml:space="preserve">김동호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민동수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박준택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오보람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윤수진 저 외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명 정보 더 보기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감추기 김동호 민동수 박준택 오보람 윤수진 나혜진</t>
    </r>
  </si>
  <si>
    <r>
      <rPr>
        <sz val="10"/>
        <rFont val="나눔고딕"/>
        <family val="2"/>
      </rPr>
      <t xml:space="preserve">씨마스</t>
    </r>
    <r>
      <rPr>
        <sz val="10"/>
        <rFont val="Arial"/>
        <family val="0"/>
        <charset val="1"/>
      </rPr>
      <t xml:space="preserve">21</t>
    </r>
  </si>
  <si>
    <r>
      <rPr>
        <sz val="10"/>
        <rFont val="나눔고딕"/>
        <family val="2"/>
      </rPr>
      <t xml:space="preserve">만들면서 배우는 </t>
    </r>
    <r>
      <rPr>
        <sz val="10"/>
        <rFont val="Arial"/>
        <family val="0"/>
        <charset val="1"/>
      </rPr>
      <t xml:space="preserve">40</t>
    </r>
    <r>
      <rPr>
        <sz val="10"/>
        <rFont val="나눔고딕"/>
        <family val="2"/>
      </rPr>
      <t xml:space="preserve">개의 엔트리 게임 </t>
    </r>
    <r>
      <rPr>
        <sz val="10"/>
        <rFont val="Arial"/>
        <family val="0"/>
        <charset val="1"/>
      </rPr>
      <t xml:space="preserve">+ </t>
    </r>
    <r>
      <rPr>
        <sz val="10"/>
        <rFont val="나눔고딕"/>
        <family val="2"/>
      </rPr>
      <t xml:space="preserve">인공지능 게임</t>
    </r>
  </si>
  <si>
    <r>
      <rPr>
        <sz val="10"/>
        <rFont val="나눔고딕"/>
        <family val="2"/>
      </rPr>
      <t xml:space="preserve">전진아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김수연</t>
    </r>
  </si>
  <si>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에이전트 시대 젠스파크 </t>
    </r>
    <r>
      <rPr>
        <sz val="10"/>
        <rFont val="Arial"/>
        <family val="0"/>
        <charset val="1"/>
      </rPr>
      <t xml:space="preserve">AI 300</t>
    </r>
    <r>
      <rPr>
        <sz val="10"/>
        <rFont val="나눔고딕"/>
        <family val="2"/>
      </rPr>
      <t xml:space="preserve">배 활용법</t>
    </r>
  </si>
  <si>
    <r>
      <rPr>
        <sz val="10"/>
        <rFont val="나눔고딕"/>
        <family val="2"/>
      </rPr>
      <t xml:space="preserve">최재용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권혁용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나병인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노지영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신진주 저 외 </t>
    </r>
    <r>
      <rPr>
        <sz val="10"/>
        <rFont val="Arial"/>
        <family val="0"/>
        <charset val="1"/>
      </rPr>
      <t xml:space="preserve">5</t>
    </r>
    <r>
      <rPr>
        <sz val="10"/>
        <rFont val="나눔고딕"/>
        <family val="2"/>
      </rPr>
      <t xml:space="preserve">명 정보 더 보기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감추기 최재용 권혁용 나병인 노지영 신진주 유미경 장선경 전상권 정현정 김진선</t>
    </r>
  </si>
  <si>
    <r>
      <rPr>
        <sz val="10"/>
        <rFont val="나눔고딕"/>
        <family val="2"/>
      </rPr>
      <t xml:space="preserve">된다</t>
    </r>
    <r>
      <rPr>
        <sz val="10"/>
        <rFont val="Arial"/>
        <family val="0"/>
        <charset val="1"/>
      </rPr>
      <t xml:space="preserve">! </t>
    </r>
    <r>
      <rPr>
        <sz val="10"/>
        <rFont val="나눔고딕"/>
        <family val="2"/>
      </rPr>
      <t xml:space="preserve">하루 만에 만드는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사진 </t>
    </r>
    <r>
      <rPr>
        <sz val="10"/>
        <rFont val="Arial"/>
        <family val="0"/>
        <charset val="1"/>
      </rPr>
      <t xml:space="preserve">&amp; </t>
    </r>
    <r>
      <rPr>
        <sz val="10"/>
        <rFont val="나눔고딕"/>
        <family val="2"/>
      </rPr>
      <t xml:space="preserve">이미지</t>
    </r>
  </si>
  <si>
    <t xml:space="preserve">김원석</t>
  </si>
  <si>
    <r>
      <rPr>
        <sz val="10"/>
        <rFont val="나눔고딕"/>
        <family val="2"/>
      </rPr>
      <t xml:space="preserve">오늘을 남기는 기록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스마트폰 사진 촬영</t>
    </r>
    <r>
      <rPr>
        <sz val="10"/>
        <rFont val="Arial"/>
        <family val="0"/>
        <charset val="1"/>
      </rPr>
      <t xml:space="preserve">&amp;</t>
    </r>
    <r>
      <rPr>
        <sz val="10"/>
        <rFont val="나눔고딕"/>
        <family val="2"/>
      </rPr>
      <t xml:space="preserve">보정</t>
    </r>
  </si>
  <si>
    <t xml:space="preserve">민썸</t>
  </si>
  <si>
    <r>
      <rPr>
        <sz val="10"/>
        <rFont val="Arial"/>
        <family val="0"/>
        <charset val="1"/>
      </rPr>
      <t xml:space="preserve">PostgreSQL DBA</t>
    </r>
    <r>
      <rPr>
        <sz val="10"/>
        <rFont val="나눔고딕"/>
        <family val="2"/>
      </rPr>
      <t xml:space="preserve">를 위한 </t>
    </r>
    <r>
      <rPr>
        <sz val="10"/>
        <rFont val="Arial"/>
        <family val="0"/>
        <charset val="1"/>
      </rPr>
      <t xml:space="preserve">Admin </t>
    </r>
    <r>
      <rPr>
        <sz val="10"/>
        <rFont val="나눔고딕"/>
        <family val="2"/>
      </rPr>
      <t xml:space="preserve">이야기</t>
    </r>
  </si>
  <si>
    <r>
      <rPr>
        <sz val="10"/>
        <rFont val="나눔고딕"/>
        <family val="2"/>
      </rPr>
      <t xml:space="preserve">김시연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최두원</t>
    </r>
  </si>
  <si>
    <t xml:space="preserve">디자인 감각 제대로 키우는 법</t>
  </si>
  <si>
    <r>
      <rPr>
        <sz val="10"/>
        <rFont val="나눔고딕"/>
        <family val="2"/>
      </rPr>
      <t xml:space="preserve">가마타 다카시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김현미 역</t>
    </r>
  </si>
  <si>
    <r>
      <rPr>
        <sz val="10"/>
        <rFont val="Arial"/>
        <family val="0"/>
        <charset val="1"/>
      </rPr>
      <t xml:space="preserve">M365 </t>
    </r>
    <r>
      <rPr>
        <sz val="10"/>
        <rFont val="나눔고딕"/>
        <family val="2"/>
      </rPr>
      <t xml:space="preserve">코파일럿 무작정 따라하기</t>
    </r>
  </si>
  <si>
    <r>
      <rPr>
        <sz val="10"/>
        <rFont val="나눔고딕"/>
        <family val="2"/>
      </rPr>
      <t xml:space="preserve">김시연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서지영</t>
    </r>
  </si>
  <si>
    <r>
      <rPr>
        <sz val="10"/>
        <rFont val="나눔고딕"/>
        <family val="2"/>
      </rPr>
      <t xml:space="preserve">교사를 위한 패들렛 </t>
    </r>
    <r>
      <rPr>
        <sz val="10"/>
        <rFont val="Arial"/>
        <family val="0"/>
        <charset val="1"/>
      </rPr>
      <t xml:space="preserve">Padlet</t>
    </r>
  </si>
  <si>
    <t xml:space="preserve">안익재</t>
  </si>
  <si>
    <r>
      <rPr>
        <sz val="10"/>
        <rFont val="나눔고딕"/>
        <family val="2"/>
      </rPr>
      <t xml:space="preserve">레트로의 유니티 </t>
    </r>
    <r>
      <rPr>
        <sz val="10"/>
        <rFont val="Arial"/>
        <family val="0"/>
        <charset val="1"/>
      </rPr>
      <t xml:space="preserve">6 </t>
    </r>
    <r>
      <rPr>
        <sz val="10"/>
        <rFont val="나눔고딕"/>
        <family val="2"/>
      </rPr>
      <t xml:space="preserve">게임 프로그래밍 에센스</t>
    </r>
  </si>
  <si>
    <t xml:space="preserve">이제민</t>
  </si>
  <si>
    <r>
      <rPr>
        <sz val="10"/>
        <rFont val="나눔고딕"/>
        <family val="2"/>
      </rPr>
      <t xml:space="preserve">스토리보드 그리고 </t>
    </r>
    <r>
      <rPr>
        <sz val="10"/>
        <rFont val="Arial"/>
        <family val="0"/>
        <charset val="1"/>
      </rPr>
      <t xml:space="preserve">AI</t>
    </r>
  </si>
  <si>
    <t xml:space="preserve">김종율</t>
  </si>
  <si>
    <t xml:space="preserve">게임 시나리오 기획자를 위한 안내서</t>
  </si>
  <si>
    <t xml:space="preserve">양정윤</t>
  </si>
  <si>
    <t xml:space="preserve">그림으로 이해하는 알고리즘</t>
  </si>
  <si>
    <r>
      <rPr>
        <sz val="10"/>
        <rFont val="나눔고딕"/>
        <family val="2"/>
      </rPr>
      <t xml:space="preserve">이시다 모리테루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미야자키 슈이치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이동규 역</t>
    </r>
  </si>
  <si>
    <t xml:space="preserve">혼자 공부하는 자바</t>
  </si>
  <si>
    <t xml:space="preserve">신용권</t>
  </si>
  <si>
    <t xml:space="preserve">CODE</t>
  </si>
  <si>
    <r>
      <rPr>
        <sz val="10"/>
        <rFont val="나눔고딕"/>
        <family val="2"/>
      </rPr>
      <t xml:space="preserve">찰스 펫졸드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김현규 역</t>
    </r>
  </si>
  <si>
    <r>
      <rPr>
        <sz val="10"/>
        <rFont val="나눔고딕"/>
        <family val="2"/>
      </rPr>
      <t xml:space="preserve">된다</t>
    </r>
    <r>
      <rPr>
        <sz val="10"/>
        <rFont val="Arial"/>
        <family val="0"/>
        <charset val="1"/>
      </rPr>
      <t xml:space="preserve">! 7</t>
    </r>
    <r>
      <rPr>
        <sz val="10"/>
        <rFont val="나눔고딕"/>
        <family val="2"/>
      </rPr>
      <t xml:space="preserve">일 실무 한글</t>
    </r>
  </si>
  <si>
    <t xml:space="preserve">한정희</t>
  </si>
  <si>
    <t xml:space="preserve">클립 스튜디오 입문 교실</t>
  </si>
  <si>
    <r>
      <rPr>
        <sz val="10"/>
        <rFont val="나눔고딕"/>
        <family val="2"/>
      </rPr>
      <t xml:space="preserve">사이도런치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고영자 역</t>
    </r>
  </si>
  <si>
    <t xml:space="preserve">핸즈온 머신러닝</t>
  </si>
  <si>
    <r>
      <rPr>
        <sz val="10"/>
        <rFont val="나눔고딕"/>
        <family val="2"/>
      </rPr>
      <t xml:space="preserve">오렐리앙 제롱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박해선 역</t>
    </r>
  </si>
  <si>
    <t xml:space="preserve">상상을 실현하는 로블록스 게임 만들기</t>
  </si>
  <si>
    <r>
      <rPr>
        <sz val="10"/>
        <rFont val="나눔고딕"/>
        <family val="2"/>
      </rPr>
      <t xml:space="preserve">강태훈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장준하</t>
    </r>
    <r>
      <rPr>
        <sz val="10"/>
        <rFont val="Arial"/>
        <family val="0"/>
        <charset val="1"/>
      </rPr>
      <t xml:space="preserve">, D.LAB</t>
    </r>
  </si>
  <si>
    <r>
      <rPr>
        <sz val="10"/>
        <rFont val="나눔고딕"/>
        <family val="2"/>
      </rPr>
      <t xml:space="preserve">린 스타트업 </t>
    </r>
    <r>
      <rPr>
        <sz val="10"/>
        <rFont val="Arial"/>
        <family val="0"/>
        <charset val="1"/>
      </rPr>
      <t xml:space="preserve">(10</t>
    </r>
    <r>
      <rPr>
        <sz val="10"/>
        <rFont val="나눔고딕"/>
        <family val="2"/>
      </rPr>
      <t xml:space="preserve">주년 기념판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</si>
  <si>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애시 모리아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권혜정 역</t>
    </r>
  </si>
  <si>
    <r>
      <rPr>
        <sz val="10"/>
        <rFont val="나눔고딕"/>
        <family val="2"/>
      </rPr>
      <t xml:space="preserve">혼자 공부하는 데이터 분석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파이썬</t>
    </r>
  </si>
  <si>
    <t xml:space="preserve">후니의 쉽게 쓴 시스코 네트워킹</t>
  </si>
  <si>
    <t xml:space="preserve">진강훈 등저</t>
  </si>
  <si>
    <t xml:space="preserve">성안당</t>
  </si>
  <si>
    <t xml:space="preserve">온톨로지 과학자를 위한 지식그래프</t>
  </si>
  <si>
    <r>
      <rPr>
        <sz val="10"/>
        <rFont val="나눔고딕"/>
        <family val="2"/>
      </rPr>
      <t xml:space="preserve">딘 알레망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제임스 핸들러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파비엔 갠던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김학래 역</t>
    </r>
  </si>
  <si>
    <t xml:space="preserve">한빛아카데미</t>
  </si>
  <si>
    <t xml:space="preserve">마인크래프트 최강 전략 백과</t>
  </si>
  <si>
    <r>
      <rPr>
        <sz val="10"/>
        <rFont val="나눔고딕"/>
        <family val="2"/>
      </rPr>
      <t xml:space="preserve">메건 밀러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강세중 역</t>
    </r>
  </si>
  <si>
    <t xml:space="preserve">서울문화사</t>
  </si>
  <si>
    <r>
      <rPr>
        <sz val="10"/>
        <rFont val="나눔고딕"/>
        <family val="2"/>
      </rPr>
      <t xml:space="preserve">모던 자바스크립트 </t>
    </r>
    <r>
      <rPr>
        <sz val="10"/>
        <rFont val="Arial"/>
        <family val="0"/>
        <charset val="1"/>
      </rPr>
      <t xml:space="preserve">Deep Dive</t>
    </r>
  </si>
  <si>
    <t xml:space="preserve">이웅모</t>
  </si>
  <si>
    <r>
      <rPr>
        <sz val="10"/>
        <rFont val="나눔고딕"/>
        <family val="2"/>
      </rPr>
      <t xml:space="preserve">비전공자를 위한 이해할 수 있는 </t>
    </r>
    <r>
      <rPr>
        <sz val="10"/>
        <rFont val="Arial"/>
        <family val="0"/>
        <charset val="1"/>
      </rPr>
      <t xml:space="preserve">IT </t>
    </r>
    <r>
      <rPr>
        <sz val="10"/>
        <rFont val="나눔고딕"/>
        <family val="2"/>
      </rPr>
      <t xml:space="preserve">지식</t>
    </r>
  </si>
  <si>
    <t xml:space="preserve">최원영</t>
  </si>
  <si>
    <t xml:space="preserve">티더블유아이지</t>
  </si>
  <si>
    <t xml:space="preserve">함께 자라기</t>
  </si>
  <si>
    <t xml:space="preserve">김창준</t>
  </si>
  <si>
    <r>
      <rPr>
        <sz val="10"/>
        <rFont val="Arial"/>
        <family val="0"/>
        <charset val="1"/>
      </rPr>
      <t xml:space="preserve">Clean Code </t>
    </r>
    <r>
      <rPr>
        <sz val="10"/>
        <rFont val="나눔고딕"/>
        <family val="2"/>
      </rPr>
      <t xml:space="preserve">클린 코드</t>
    </r>
  </si>
  <si>
    <r>
      <rPr>
        <sz val="10"/>
        <rFont val="나눔고딕"/>
        <family val="2"/>
      </rPr>
      <t xml:space="preserve">로버트 </t>
    </r>
    <r>
      <rPr>
        <sz val="10"/>
        <rFont val="Arial"/>
        <family val="0"/>
        <charset val="1"/>
      </rPr>
      <t xml:space="preserve">C. </t>
    </r>
    <r>
      <rPr>
        <sz val="10"/>
        <rFont val="나눔고딕"/>
        <family val="2"/>
      </rPr>
      <t xml:space="preserve">마틴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박재호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이해영 역</t>
    </r>
  </si>
  <si>
    <t xml:space="preserve">미래를 바꾼 아홉 가지 알고리즘</t>
  </si>
  <si>
    <r>
      <rPr>
        <sz val="10"/>
        <rFont val="나눔고딕"/>
        <family val="2"/>
      </rPr>
      <t xml:space="preserve">존 맥코믹 저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민병교 역</t>
    </r>
  </si>
  <si>
    <r>
      <rPr>
        <sz val="10"/>
        <rFont val="나눔고딕"/>
        <family val="2"/>
      </rPr>
      <t xml:space="preserve">일머리를 설계하는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워크플로 </t>
    </r>
    <r>
      <rPr>
        <sz val="10"/>
        <rFont val="Arial"/>
        <family val="0"/>
        <charset val="1"/>
      </rPr>
      <t xml:space="preserve">with n8n</t>
    </r>
  </si>
  <si>
    <t xml:space="preserve">이왕석</t>
  </si>
  <si>
    <r>
      <rPr>
        <sz val="10"/>
        <rFont val="나눔고딕"/>
        <family val="2"/>
      </rPr>
      <t xml:space="preserve">누구나 쉽게 시작하는 방구석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인 앱 창업</t>
    </r>
  </si>
  <si>
    <t xml:space="preserve">김건희</t>
  </si>
  <si>
    <t xml:space="preserve">엑셀로 시작하는 데이터 분석과 업무 자동화</t>
  </si>
  <si>
    <t xml:space="preserve">김철</t>
  </si>
  <si>
    <t xml:space="preserve">대체불가 나노 바나나 완전정복</t>
  </si>
  <si>
    <t xml:space="preserve">이용태</t>
  </si>
  <si>
    <r>
      <rPr>
        <sz val="10"/>
        <rFont val="Arial"/>
        <family val="0"/>
        <charset val="1"/>
      </rPr>
      <t xml:space="preserve">MCP </t>
    </r>
    <r>
      <rPr>
        <sz val="10"/>
        <rFont val="나눔고딕"/>
        <family val="2"/>
      </rPr>
      <t xml:space="preserve">실전 활용 </t>
    </r>
    <r>
      <rPr>
        <sz val="10"/>
        <rFont val="Arial"/>
        <family val="0"/>
        <charset val="1"/>
      </rPr>
      <t xml:space="preserve">&amp; </t>
    </r>
    <r>
      <rPr>
        <sz val="10"/>
        <rFont val="나눔고딕"/>
        <family val="2"/>
      </rPr>
      <t xml:space="preserve">서버 개발 핵심 가이드</t>
    </r>
  </si>
  <si>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튜터랩</t>
    </r>
  </si>
  <si>
    <t xml:space="preserve">주니어 백엔드 개발자가 반드시 알아야 할 실무 지식</t>
  </si>
  <si>
    <t xml:space="preserve">최범균</t>
  </si>
  <si>
    <r>
      <rPr>
        <sz val="10"/>
        <rFont val="나눔고딕"/>
        <family val="2"/>
      </rPr>
      <t xml:space="preserve">코파일럿</t>
    </r>
    <r>
      <rPr>
        <sz val="10"/>
        <rFont val="Arial"/>
        <family val="0"/>
        <charset val="1"/>
      </rPr>
      <t xml:space="preserve">+</t>
    </r>
    <r>
      <rPr>
        <sz val="10"/>
        <rFont val="나눔고딕"/>
        <family val="2"/>
      </rPr>
      <t xml:space="preserve">엑셀 업무자동화 정석</t>
    </r>
  </si>
  <si>
    <r>
      <rPr>
        <sz val="10"/>
        <rFont val="나눔고딕"/>
        <family val="2"/>
      </rPr>
      <t xml:space="preserve">퇴근을 앞당기는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업무 활용 루틴</t>
    </r>
  </si>
  <si>
    <t xml:space="preserve">오언주</t>
  </si>
  <si>
    <t xml:space="preserve">시대인</t>
  </si>
  <si>
    <r>
      <rPr>
        <sz val="10"/>
        <rFont val="나눔고딕"/>
        <family val="2"/>
      </rPr>
      <t xml:space="preserve">구조를 읽는 눈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도구를 지배한다</t>
    </r>
  </si>
  <si>
    <t xml:space="preserve">김도균</t>
  </si>
  <si>
    <t xml:space="preserve">ADK FIRST</t>
  </si>
  <si>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를 이기는 개발자 커리어 관리 가이드</t>
    </r>
  </si>
  <si>
    <t xml:space="preserve">강승현</t>
  </si>
  <si>
    <r>
      <rPr>
        <sz val="10"/>
        <rFont val="나눔고딕"/>
        <family val="2"/>
      </rPr>
      <t xml:space="preserve">어디서든 유튜브 프로듀싱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아이패드 파이널 컷 프로 </t>
    </r>
    <r>
      <rPr>
        <sz val="10"/>
        <rFont val="Arial"/>
        <family val="0"/>
        <charset val="1"/>
      </rPr>
      <t xml:space="preserve">+ AI</t>
    </r>
  </si>
  <si>
    <t xml:space="preserve">남시언</t>
  </si>
  <si>
    <r>
      <rPr>
        <sz val="10"/>
        <rFont val="나눔고딕"/>
        <family val="2"/>
      </rPr>
      <t xml:space="preserve">비제이퍼블릭</t>
    </r>
    <r>
      <rPr>
        <sz val="10"/>
        <rFont val="Arial"/>
        <family val="0"/>
        <charset val="1"/>
      </rPr>
      <t xml:space="preserve">(BJ</t>
    </r>
    <r>
      <rPr>
        <sz val="10"/>
        <rFont val="나눔고딕"/>
        <family val="2"/>
      </rPr>
      <t xml:space="preserve">퍼블릭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</si>
  <si>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가 일하는 법</t>
    </r>
  </si>
  <si>
    <r>
      <rPr>
        <sz val="10"/>
        <rFont val="나눔고딕"/>
        <family val="2"/>
      </rPr>
      <t xml:space="preserve">로널드 크노이젤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한선용 역</t>
    </r>
  </si>
  <si>
    <t xml:space="preserve">해상도를 높여라</t>
  </si>
  <si>
    <r>
      <rPr>
        <sz val="10"/>
        <rFont val="나눔고딕"/>
        <family val="2"/>
      </rPr>
      <t xml:space="preserve">우마다 다카아키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류두진 역</t>
    </r>
  </si>
  <si>
    <r>
      <rPr>
        <sz val="10"/>
        <rFont val="나눔고딕"/>
        <family val="2"/>
      </rPr>
      <t xml:space="preserve">피지컬 </t>
    </r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와 에이전틱 </t>
    </r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가 바꾸는 미래</t>
    </r>
  </si>
  <si>
    <r>
      <rPr>
        <sz val="10"/>
        <rFont val="나눔고딕"/>
        <family val="2"/>
      </rPr>
      <t xml:space="preserve">권오형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최재용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김보성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김은희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김재연 저 외 </t>
    </r>
    <r>
      <rPr>
        <sz val="10"/>
        <rFont val="Arial"/>
        <family val="0"/>
        <charset val="1"/>
      </rPr>
      <t xml:space="preserve">6</t>
    </r>
    <r>
      <rPr>
        <sz val="10"/>
        <rFont val="나눔고딕"/>
        <family val="2"/>
      </rPr>
      <t xml:space="preserve">명 정보 더 보기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감추기 권오형 최재용 김보성 김은희 김재연 나병인 유채린 임기정 차승희 최소은 김진선</t>
    </r>
  </si>
  <si>
    <r>
      <rPr>
        <sz val="10"/>
        <rFont val="나눔고딕"/>
        <family val="2"/>
      </rPr>
      <t xml:space="preserve">제미나이</t>
    </r>
    <r>
      <rPr>
        <sz val="10"/>
        <rFont val="Arial"/>
        <family val="0"/>
        <charset val="1"/>
      </rPr>
      <t xml:space="preserve">(Gemini) </t>
    </r>
    <r>
      <rPr>
        <sz val="10"/>
        <rFont val="나눔고딕"/>
        <family val="2"/>
      </rPr>
      <t xml:space="preserve">재미나게 활용하기</t>
    </r>
  </si>
  <si>
    <r>
      <rPr>
        <sz val="10"/>
        <rFont val="나눔고딕"/>
        <family val="2"/>
      </rPr>
      <t xml:space="preserve">강신진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서완석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오정택</t>
    </r>
  </si>
  <si>
    <r>
      <rPr>
        <sz val="10"/>
        <rFont val="Arial"/>
        <family val="0"/>
        <charset val="1"/>
      </rPr>
      <t xml:space="preserve">BOOKK(</t>
    </r>
    <r>
      <rPr>
        <sz val="10"/>
        <rFont val="나눔고딕"/>
        <family val="2"/>
      </rPr>
      <t xml:space="preserve">부크크</t>
    </r>
    <r>
      <rPr>
        <sz val="10"/>
        <rFont val="Arial"/>
        <family val="0"/>
        <charset val="1"/>
      </rPr>
      <t xml:space="preserve">)</t>
    </r>
  </si>
  <si>
    <t xml:space="preserve">그림으로 이해하는 인공지능 시대의 최신 보안 가이드</t>
  </si>
  <si>
    <t xml:space="preserve">오토코더</t>
  </si>
  <si>
    <t xml:space="preserve">위즈앤북</t>
  </si>
  <si>
    <r>
      <rPr>
        <sz val="10"/>
        <rFont val="나눔고딕"/>
        <family val="2"/>
      </rPr>
      <t xml:space="preserve">그냥 따라하다 배우는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나노바나나 </t>
    </r>
    <r>
      <rPr>
        <sz val="10"/>
        <rFont val="Arial"/>
        <family val="0"/>
        <charset val="1"/>
      </rPr>
      <t xml:space="preserve">100</t>
    </r>
    <r>
      <rPr>
        <sz val="10"/>
        <rFont val="나눔고딕"/>
        <family val="2"/>
      </rPr>
      <t xml:space="preserve">선</t>
    </r>
  </si>
  <si>
    <t xml:space="preserve">이재용</t>
  </si>
  <si>
    <r>
      <rPr>
        <sz val="10"/>
        <rFont val="나눔고딕"/>
        <family val="2"/>
      </rPr>
      <t xml:space="preserve">입상 교사만 아는 아무도 말해주지 않은 디지털교육연구대회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등급의 비밀</t>
    </r>
  </si>
  <si>
    <t xml:space="preserve">강인성</t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</si>
  <si>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프로덕트는 어떻게 만들어지는가</t>
    </r>
  </si>
  <si>
    <r>
      <rPr>
        <sz val="10"/>
        <rFont val="나눔고딕"/>
        <family val="2"/>
      </rPr>
      <t xml:space="preserve">류인태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김예림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임나정</t>
    </r>
  </si>
  <si>
    <t xml:space="preserve">돈이 들어오는 무재고 위탁판매 쇼핑몰</t>
  </si>
  <si>
    <t xml:space="preserve">전진수</t>
  </si>
  <si>
    <t xml:space="preserve">혜지원</t>
  </si>
  <si>
    <r>
      <rPr>
        <sz val="10"/>
        <rFont val="나눔고딕"/>
        <family val="2"/>
      </rPr>
      <t xml:space="preserve">새나곰의 똥손도 바로 시작하는 인스타툰 그리기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클립 스튜디오</t>
    </r>
  </si>
  <si>
    <r>
      <rPr>
        <sz val="10"/>
        <rFont val="나눔고딕"/>
        <family val="2"/>
      </rPr>
      <t xml:space="preserve">새나곰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정은아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</si>
  <si>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협업 글쓰기 실전 가이드 글쓰기는 프롬프트다</t>
    </r>
  </si>
  <si>
    <r>
      <rPr>
        <sz val="10"/>
        <rFont val="나눔고딕"/>
        <family val="2"/>
      </rPr>
      <t xml:space="preserve">코어 프런트엔드 </t>
    </r>
    <r>
      <rPr>
        <sz val="10"/>
        <rFont val="Arial"/>
        <family val="0"/>
        <charset val="1"/>
      </rPr>
      <t xml:space="preserve">UI</t>
    </r>
  </si>
  <si>
    <t xml:space="preserve">정재남</t>
  </si>
  <si>
    <r>
      <rPr>
        <sz val="10"/>
        <rFont val="나눔고딕"/>
        <family val="2"/>
      </rPr>
      <t xml:space="preserve">자율형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에이전트 서비스 구축하기</t>
    </r>
  </si>
  <si>
    <t xml:space="preserve">정금호</t>
  </si>
  <si>
    <r>
      <rPr>
        <sz val="10"/>
        <rFont val="Arial"/>
        <family val="0"/>
        <charset val="1"/>
      </rPr>
      <t xml:space="preserve">n8n </t>
    </r>
    <r>
      <rPr>
        <sz val="10"/>
        <rFont val="나눔고딕"/>
        <family val="2"/>
      </rPr>
      <t xml:space="preserve">업무 자동화 일잘러 되기</t>
    </r>
  </si>
  <si>
    <r>
      <rPr>
        <sz val="10"/>
        <rFont val="나눔고딕"/>
        <family val="2"/>
      </rPr>
      <t xml:space="preserve">메이허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에디 유</t>
    </r>
  </si>
  <si>
    <t xml:space="preserve">요즘 직장인을 위한 실무 보고서 작성 비법</t>
  </si>
  <si>
    <t xml:space="preserve">김태영</t>
  </si>
  <si>
    <t xml:space="preserve">미니멀리즘 프로그래머</t>
  </si>
  <si>
    <r>
      <rPr>
        <sz val="10"/>
        <rFont val="나눔고딕"/>
        <family val="2"/>
      </rPr>
      <t xml:space="preserve">데이비드 토머스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이민석 역</t>
    </r>
  </si>
  <si>
    <r>
      <rPr>
        <sz val="10"/>
        <rFont val="나눔고딕"/>
        <family val="2"/>
      </rPr>
      <t xml:space="preserve">멘토시리즈 진짜 포토샵</t>
    </r>
    <r>
      <rPr>
        <sz val="10"/>
        <rFont val="Arial"/>
        <family val="0"/>
        <charset val="1"/>
      </rPr>
      <t xml:space="preserve">+with AI</t>
    </r>
  </si>
  <si>
    <t xml:space="preserve">코리아교육그룹 교육연구소</t>
  </si>
  <si>
    <t xml:space="preserve">코리아교육그룹</t>
  </si>
  <si>
    <r>
      <rPr>
        <sz val="10"/>
        <rFont val="나눔고딕"/>
        <family val="2"/>
      </rPr>
      <t xml:space="preserve">에지 컴퓨팅과 피지컬 </t>
    </r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를 위한 라즈베리파이 </t>
    </r>
    <r>
      <rPr>
        <sz val="10"/>
        <rFont val="Arial"/>
        <family val="0"/>
        <charset val="1"/>
      </rPr>
      <t xml:space="preserve">5</t>
    </r>
  </si>
  <si>
    <t xml:space="preserve">허경용</t>
  </si>
  <si>
    <r>
      <rPr>
        <sz val="10"/>
        <rFont val="나눔고딕"/>
        <family val="2"/>
      </rPr>
      <t xml:space="preserve">나노바나나로 </t>
    </r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툰 제작하기</t>
    </r>
  </si>
  <si>
    <t xml:space="preserve">김한재</t>
  </si>
  <si>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로 차트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그래프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인포그래픽 한 번에 끝내기</t>
    </r>
  </si>
  <si>
    <t xml:space="preserve">이현</t>
  </si>
  <si>
    <t xml:space="preserve">천그루숲</t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</si>
  <si>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프로젝트 </t>
    </r>
    <r>
      <rPr>
        <sz val="10"/>
        <rFont val="Arial"/>
        <family val="0"/>
        <charset val="1"/>
      </rPr>
      <t xml:space="preserve">100% </t>
    </r>
    <r>
      <rPr>
        <sz val="10"/>
        <rFont val="나눔고딕"/>
        <family val="2"/>
      </rPr>
      <t xml:space="preserve">성공을 위한 체크리스트 </t>
    </r>
    <r>
      <rPr>
        <sz val="10"/>
        <rFont val="Arial"/>
        <family val="0"/>
        <charset val="1"/>
      </rPr>
      <t xml:space="preserve">17</t>
    </r>
  </si>
  <si>
    <t xml:space="preserve">유진호</t>
  </si>
  <si>
    <r>
      <rPr>
        <sz val="10"/>
        <rFont val="나눔고딕"/>
        <family val="2"/>
      </rPr>
      <t xml:space="preserve">처음 배우는 유니티 </t>
    </r>
    <r>
      <rPr>
        <sz val="10"/>
        <rFont val="Arial"/>
        <family val="0"/>
        <charset val="1"/>
      </rPr>
      <t xml:space="preserve">6 2D </t>
    </r>
    <r>
      <rPr>
        <sz val="10"/>
        <rFont val="나눔고딕"/>
        <family val="2"/>
      </rPr>
      <t xml:space="preserve">게임 만들기</t>
    </r>
  </si>
  <si>
    <r>
      <rPr>
        <sz val="10"/>
        <rFont val="나눔고딕"/>
        <family val="2"/>
      </rPr>
      <t xml:space="preserve">생성형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프롬프트 디자인 실무</t>
    </r>
  </si>
  <si>
    <r>
      <rPr>
        <sz val="10"/>
        <rFont val="나눔고딕"/>
        <family val="2"/>
      </rPr>
      <t xml:space="preserve">한국생성형</t>
    </r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연구원</t>
    </r>
  </si>
  <si>
    <t xml:space="preserve">엣시 수익화 실전 매뉴얼</t>
  </si>
  <si>
    <t xml:space="preserve">김민아</t>
  </si>
  <si>
    <r>
      <rPr>
        <sz val="10"/>
        <rFont val="Arial"/>
        <family val="0"/>
        <charset val="1"/>
      </rPr>
      <t xml:space="preserve">DB </t>
    </r>
    <r>
      <rPr>
        <sz val="10"/>
        <rFont val="나눔고딕"/>
        <family val="2"/>
      </rPr>
      <t xml:space="preserve">트랜잭션 동시성 제어</t>
    </r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</si>
  <si>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잘 쓰는 디자이너</t>
    </r>
  </si>
  <si>
    <t xml:space="preserve">전하린</t>
  </si>
  <si>
    <r>
      <rPr>
        <sz val="10"/>
        <rFont val="Arial"/>
        <family val="0"/>
        <charset val="1"/>
      </rPr>
      <t xml:space="preserve">Dify, </t>
    </r>
    <r>
      <rPr>
        <sz val="10"/>
        <rFont val="나눔고딕"/>
        <family val="2"/>
      </rPr>
      <t xml:space="preserve">코딩 없이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앱 개발의 시작</t>
    </r>
  </si>
  <si>
    <r>
      <rPr>
        <sz val="10"/>
        <rFont val="나눔고딕"/>
        <family val="2"/>
      </rPr>
      <t xml:space="preserve">멀티코어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조준희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강장묵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이상한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윤철희</t>
    </r>
  </si>
  <si>
    <r>
      <rPr>
        <sz val="10"/>
        <rFont val="나눔고딕"/>
        <family val="2"/>
      </rPr>
      <t xml:space="preserve">일 잘하는 사람은 이렇게 챗</t>
    </r>
    <r>
      <rPr>
        <sz val="10"/>
        <rFont val="Arial"/>
        <family val="0"/>
        <charset val="1"/>
      </rPr>
      <t xml:space="preserve">GPT</t>
    </r>
    <r>
      <rPr>
        <sz val="10"/>
        <rFont val="나눔고딕"/>
        <family val="2"/>
      </rPr>
      <t xml:space="preserve">를 씁니다</t>
    </r>
  </si>
  <si>
    <r>
      <rPr>
        <sz val="10"/>
        <rFont val="나눔고딕"/>
        <family val="2"/>
      </rPr>
      <t xml:space="preserve">장피엠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장병준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</si>
  <si>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파이썬만으로 시작하는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인 게임 개발</t>
    </r>
  </si>
  <si>
    <r>
      <rPr>
        <sz val="10"/>
        <rFont val="나눔고딕"/>
        <family val="2"/>
      </rPr>
      <t xml:space="preserve">히로세 츠요시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박동원 역</t>
    </r>
  </si>
  <si>
    <r>
      <rPr>
        <sz val="10"/>
        <rFont val="나눔고딕"/>
        <family val="2"/>
      </rPr>
      <t xml:space="preserve">나는 오렌지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로 인공지능한다</t>
    </r>
  </si>
  <si>
    <r>
      <rPr>
        <sz val="10"/>
        <rFont val="나눔고딕"/>
        <family val="2"/>
      </rPr>
      <t xml:space="preserve">장병철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서미란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박지훈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정종호</t>
    </r>
  </si>
  <si>
    <t xml:space="preserve">씨마스</t>
  </si>
  <si>
    <r>
      <rPr>
        <sz val="10"/>
        <rFont val="나눔고딕"/>
        <family val="2"/>
      </rPr>
      <t xml:space="preserve">요즘 바이브 코딩 제미나이 </t>
    </r>
    <r>
      <rPr>
        <sz val="10"/>
        <rFont val="Arial"/>
        <family val="0"/>
        <charset val="1"/>
      </rPr>
      <t xml:space="preserve">CLI </t>
    </r>
    <r>
      <rPr>
        <sz val="10"/>
        <rFont val="나눔고딕"/>
        <family val="2"/>
      </rPr>
      <t xml:space="preserve">완벽 가이드</t>
    </r>
  </si>
  <si>
    <t xml:space="preserve">김진환</t>
  </si>
  <si>
    <r>
      <rPr>
        <sz val="10"/>
        <rFont val="나눔고딕"/>
        <family val="2"/>
      </rPr>
      <t xml:space="preserve">이론부터 실전까지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에이전트 완벽 마스터</t>
    </r>
  </si>
  <si>
    <r>
      <rPr>
        <sz val="10"/>
        <rFont val="나눔고딕"/>
        <family val="2"/>
      </rPr>
      <t xml:space="preserve">살바토레 라이엘리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가브리엘레 이우쿨라노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에디 유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김대규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김현지 역</t>
    </r>
  </si>
  <si>
    <r>
      <rPr>
        <sz val="10"/>
        <rFont val="나눔고딕"/>
        <family val="2"/>
      </rPr>
      <t xml:space="preserve">현직교사가 만든 가장 쉬운 캔바 수업 활용</t>
    </r>
    <r>
      <rPr>
        <sz val="10"/>
        <rFont val="Arial"/>
        <family val="0"/>
        <charset val="1"/>
      </rPr>
      <t xml:space="preserve">! </t>
    </r>
    <r>
      <rPr>
        <sz val="10"/>
        <rFont val="나눔고딕"/>
        <family val="2"/>
      </rPr>
      <t xml:space="preserve">캔바로 무엇이든 만들 수 있다</t>
    </r>
  </si>
  <si>
    <r>
      <rPr>
        <sz val="10"/>
        <rFont val="나눔고딕"/>
        <family val="2"/>
      </rPr>
      <t xml:space="preserve">이서영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유상숙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양지현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이상현</t>
    </r>
  </si>
  <si>
    <r>
      <rPr>
        <sz val="10"/>
        <rFont val="나눔고딕"/>
        <family val="2"/>
      </rPr>
      <t xml:space="preserve">대체불가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영상 제작 완전정복</t>
    </r>
  </si>
  <si>
    <r>
      <rPr>
        <sz val="10"/>
        <rFont val="나눔고딕"/>
        <family val="2"/>
      </rPr>
      <t xml:space="preserve">바이브 코딩 너머 개발자 생존법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</rPr>
      <t xml:space="preserve">개발자는 사라지지 않는다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진화한다</t>
    </r>
  </si>
  <si>
    <r>
      <rPr>
        <sz val="10"/>
        <rFont val="나눔고딕"/>
        <family val="2"/>
      </rPr>
      <t xml:space="preserve">애디 오스마니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강민혁 역</t>
    </r>
  </si>
  <si>
    <t xml:space="preserve">나노 바나나</t>
  </si>
  <si>
    <r>
      <rPr>
        <sz val="10"/>
        <rFont val="나눔고딕"/>
        <family val="2"/>
      </rPr>
      <t xml:space="preserve">문수민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박범희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앤미디어</t>
    </r>
  </si>
  <si>
    <t xml:space="preserve">똑똑한 파이썬</t>
  </si>
  <si>
    <r>
      <rPr>
        <sz val="10"/>
        <rFont val="나눔고딕"/>
        <family val="2"/>
      </rPr>
      <t xml:space="preserve">황재호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황예린</t>
    </r>
  </si>
  <si>
    <t xml:space="preserve">인포앤북</t>
  </si>
  <si>
    <t xml:space="preserve">가장 상세한 엑셀 함수 대백과</t>
  </si>
  <si>
    <r>
      <rPr>
        <sz val="10"/>
        <rFont val="나눔고딕"/>
        <family val="2"/>
      </rPr>
      <t xml:space="preserve">쿠니모토 아츠코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류승우 역</t>
    </r>
  </si>
  <si>
    <t xml:space="preserve">유니티 교과서</t>
  </si>
  <si>
    <r>
      <rPr>
        <sz val="10"/>
        <rFont val="나눔고딕"/>
        <family val="2"/>
      </rPr>
      <t xml:space="preserve">김은철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기타무라 마나미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유세라 역</t>
    </r>
  </si>
  <si>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로 만드는 나만의 그림책</t>
    </r>
  </si>
  <si>
    <r>
      <rPr>
        <sz val="10"/>
        <rFont val="나눔고딕"/>
        <family val="2"/>
      </rPr>
      <t xml:space="preserve">민진홍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국난아</t>
    </r>
  </si>
  <si>
    <r>
      <rPr>
        <sz val="10"/>
        <rFont val="나눔고딕"/>
        <family val="2"/>
      </rPr>
      <t xml:space="preserve">요즘 당근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개발</t>
    </r>
  </si>
  <si>
    <t xml:space="preserve">당근 팀</t>
  </si>
  <si>
    <r>
      <rPr>
        <sz val="10"/>
        <rFont val="나눔고딕"/>
        <family val="2"/>
      </rPr>
      <t xml:space="preserve">된다</t>
    </r>
    <r>
      <rPr>
        <sz val="10"/>
        <rFont val="Arial"/>
        <family val="0"/>
        <charset val="1"/>
      </rPr>
      <t xml:space="preserve">! </t>
    </r>
    <r>
      <rPr>
        <sz val="10"/>
        <rFont val="나눔고딕"/>
        <family val="2"/>
      </rPr>
      <t xml:space="preserve">네이버 스마트스토어</t>
    </r>
  </si>
  <si>
    <t xml:space="preserve">이경근</t>
  </si>
  <si>
    <r>
      <rPr>
        <sz val="10"/>
        <rFont val="나눔고딕"/>
        <family val="2"/>
      </rPr>
      <t xml:space="preserve">처음이지만 프로처럼 쓰는 노션 </t>
    </r>
    <r>
      <rPr>
        <sz val="10"/>
        <rFont val="Arial"/>
        <family val="0"/>
        <charset val="1"/>
      </rPr>
      <t xml:space="preserve">Notion</t>
    </r>
  </si>
  <si>
    <t xml:space="preserve">박한용</t>
  </si>
  <si>
    <r>
      <rPr>
        <sz val="10"/>
        <rFont val="나눔고딕"/>
        <family val="2"/>
      </rPr>
      <t xml:space="preserve">밑바닥부터 만들면서 배우는 </t>
    </r>
    <r>
      <rPr>
        <sz val="10"/>
        <rFont val="Arial"/>
        <family val="0"/>
        <charset val="1"/>
      </rPr>
      <t xml:space="preserve">LLM</t>
    </r>
  </si>
  <si>
    <r>
      <rPr>
        <sz val="10"/>
        <rFont val="나눔고딕"/>
        <family val="2"/>
      </rPr>
      <t xml:space="preserve">세바스찬 라시카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박해선 역</t>
    </r>
  </si>
  <si>
    <r>
      <rPr>
        <sz val="10"/>
        <rFont val="나눔고딕"/>
        <family val="2"/>
      </rPr>
      <t xml:space="preserve">데이터 시각화와 탐색 </t>
    </r>
    <r>
      <rPr>
        <sz val="10"/>
        <rFont val="Arial"/>
        <family val="0"/>
        <charset val="1"/>
      </rPr>
      <t xml:space="preserve">with POWER BI 3rd</t>
    </r>
  </si>
  <si>
    <r>
      <rPr>
        <sz val="10"/>
        <rFont val="나눔고딕"/>
        <family val="2"/>
      </rPr>
      <t xml:space="preserve">마경근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서주란</t>
    </r>
  </si>
  <si>
    <t xml:space="preserve">한 걸음 앞선 개발자가 지금 꼭 알아야 할 클로드 코드</t>
  </si>
  <si>
    <r>
      <rPr>
        <sz val="10"/>
        <rFont val="나눔고딕"/>
        <family val="2"/>
      </rPr>
      <t xml:space="preserve">조훈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정찬훈</t>
    </r>
  </si>
  <si>
    <t xml:space="preserve">정지훈의 양자 컴퓨터 강의</t>
  </si>
  <si>
    <t xml:space="preserve">정지훈</t>
  </si>
  <si>
    <r>
      <rPr>
        <sz val="10"/>
        <rFont val="나눔고딕"/>
        <family val="2"/>
      </rPr>
      <t xml:space="preserve">콘텐츠 디자인은 피그마 </t>
    </r>
    <r>
      <rPr>
        <sz val="10"/>
        <rFont val="Arial"/>
        <family val="0"/>
        <charset val="1"/>
      </rPr>
      <t xml:space="preserve">with AI</t>
    </r>
  </si>
  <si>
    <t xml:space="preserve">김선영</t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</si>
  <si>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에이전트 생태계</t>
    </r>
  </si>
  <si>
    <t xml:space="preserve">조쉬</t>
  </si>
  <si>
    <t xml:space="preserve">인프라 엔지니어의 교과서</t>
  </si>
  <si>
    <r>
      <rPr>
        <sz val="10"/>
        <rFont val="나눔고딕"/>
        <family val="2"/>
      </rPr>
      <t xml:space="preserve">사노 유타카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김성훈 역</t>
    </r>
  </si>
  <si>
    <r>
      <rPr>
        <sz val="10"/>
        <rFont val="나눔고딕"/>
        <family val="2"/>
      </rPr>
      <t xml:space="preserve">좋아 보이는 것들의 비밀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컬러</t>
    </r>
  </si>
  <si>
    <t xml:space="preserve">최경원</t>
  </si>
  <si>
    <t xml:space="preserve">아이패드 드로잉으로 기록하는 일상의 조각들</t>
  </si>
  <si>
    <t xml:space="preserve">이이오</t>
  </si>
  <si>
    <t xml:space="preserve">한빛라이프</t>
  </si>
  <si>
    <r>
      <rPr>
        <sz val="10"/>
        <rFont val="나눔고딕"/>
        <family val="2"/>
      </rPr>
      <t xml:space="preserve">한글</t>
    </r>
    <r>
      <rPr>
        <sz val="10"/>
        <rFont val="Arial"/>
        <family val="0"/>
        <charset val="1"/>
      </rPr>
      <t xml:space="preserve">2022 </t>
    </r>
    <r>
      <rPr>
        <sz val="10"/>
        <rFont val="나눔고딕"/>
        <family val="2"/>
      </rPr>
      <t xml:space="preserve">작품만들기</t>
    </r>
  </si>
  <si>
    <t xml:space="preserve">창의콘텐츠연구소</t>
  </si>
  <si>
    <t xml:space="preserve">해람북스</t>
  </si>
  <si>
    <r>
      <rPr>
        <sz val="10"/>
        <rFont val="나눔고딕"/>
        <family val="2"/>
      </rPr>
      <t xml:space="preserve">와그작 파포 </t>
    </r>
    <r>
      <rPr>
        <sz val="10"/>
        <rFont val="Arial"/>
        <family val="0"/>
        <charset val="1"/>
      </rPr>
      <t xml:space="preserve">2021 AI+</t>
    </r>
    <r>
      <rPr>
        <sz val="10"/>
        <rFont val="나눔고딕"/>
        <family val="2"/>
      </rPr>
      <t xml:space="preserve">인터넷</t>
    </r>
  </si>
  <si>
    <r>
      <rPr>
        <sz val="10"/>
        <rFont val="Arial"/>
        <family val="0"/>
        <charset val="1"/>
      </rPr>
      <t xml:space="preserve">NEW </t>
    </r>
    <r>
      <rPr>
        <sz val="10"/>
        <rFont val="나눔고딕"/>
        <family val="2"/>
      </rPr>
      <t xml:space="preserve">우당탕탕 컴퓨터로 떠나는 세계여행</t>
    </r>
  </si>
  <si>
    <t xml:space="preserve">혼자 만들면서 공부하는 파이썬</t>
  </si>
  <si>
    <t xml:space="preserve">문현일</t>
  </si>
  <si>
    <r>
      <rPr>
        <sz val="10"/>
        <rFont val="나눔고딕"/>
        <family val="2"/>
      </rPr>
      <t xml:space="preserve">도덕적인 </t>
    </r>
    <r>
      <rPr>
        <sz val="10"/>
        <rFont val="Arial"/>
        <family val="0"/>
        <charset val="1"/>
      </rPr>
      <t xml:space="preserve">AI</t>
    </r>
  </si>
  <si>
    <r>
      <rPr>
        <sz val="10"/>
        <rFont val="나눔고딕"/>
        <family val="2"/>
      </rPr>
      <t xml:space="preserve">월터 시넛 암스트롱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재나 셰익 보그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빈센트 코니처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박초월 역</t>
    </r>
  </si>
  <si>
    <t xml:space="preserve">김영사</t>
  </si>
  <si>
    <t xml:space="preserve">모두를 위한 양자 컴퓨터</t>
  </si>
  <si>
    <r>
      <rPr>
        <sz val="10"/>
        <rFont val="나눔고딕"/>
        <family val="2"/>
      </rPr>
      <t xml:space="preserve">윌리엄 헐리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플로이드 스미스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류정원 역</t>
    </r>
  </si>
  <si>
    <t xml:space="preserve">누구나 아는 나만 모르는 엑셀</t>
  </si>
  <si>
    <r>
      <rPr>
        <sz val="10"/>
        <rFont val="나눔고딕"/>
        <family val="2"/>
      </rPr>
      <t xml:space="preserve">앱인벤터로 </t>
    </r>
    <r>
      <rPr>
        <sz val="10"/>
        <rFont val="Arial"/>
        <family val="0"/>
        <charset val="1"/>
      </rPr>
      <t xml:space="preserve">20</t>
    </r>
    <r>
      <rPr>
        <sz val="10"/>
        <rFont val="나눔고딕"/>
        <family val="2"/>
      </rPr>
      <t xml:space="preserve">가지 인공지능 앱 만들기 </t>
    </r>
    <r>
      <rPr>
        <sz val="10"/>
        <rFont val="Arial"/>
        <family val="0"/>
        <charset val="1"/>
      </rPr>
      <t xml:space="preserve">with ChatBot</t>
    </r>
    <r>
      <rPr>
        <sz val="10"/>
        <rFont val="나눔고딕"/>
        <family val="2"/>
      </rPr>
      <t xml:space="preserve">과 생성형</t>
    </r>
    <r>
      <rPr>
        <sz val="10"/>
        <rFont val="Arial"/>
        <family val="0"/>
        <charset val="1"/>
      </rPr>
      <t xml:space="preserve">AI</t>
    </r>
  </si>
  <si>
    <r>
      <rPr>
        <sz val="10"/>
        <rFont val="나눔고딕"/>
        <family val="2"/>
      </rPr>
      <t xml:space="preserve">김수연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전진아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장문철</t>
    </r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</si>
  <si>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영화 제작</t>
    </r>
  </si>
  <si>
    <r>
      <rPr>
        <sz val="10"/>
        <rFont val="나눔고딕"/>
        <family val="2"/>
      </rPr>
      <t xml:space="preserve">민지영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문수민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전은재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앤미디어</t>
    </r>
  </si>
  <si>
    <r>
      <rPr>
        <sz val="10"/>
        <rFont val="나눔고딕"/>
        <family val="2"/>
      </rPr>
      <t xml:space="preserve">블렌더로 애니 그림체 캐릭터를 만들어보자</t>
    </r>
    <r>
      <rPr>
        <sz val="10"/>
        <rFont val="Arial"/>
        <family val="0"/>
        <charset val="1"/>
      </rPr>
      <t xml:space="preserve">! : </t>
    </r>
    <r>
      <rPr>
        <sz val="10"/>
        <rFont val="나눔고딕"/>
        <family val="2"/>
      </rPr>
      <t xml:space="preserve">모델링편</t>
    </r>
  </si>
  <si>
    <r>
      <rPr>
        <sz val="10"/>
        <rFont val="나눔고딕"/>
        <family val="2"/>
      </rPr>
      <t xml:space="preserve">나츠모리 카츠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김모세 역</t>
    </r>
  </si>
  <si>
    <r>
      <rPr>
        <sz val="10"/>
        <rFont val="Arial"/>
        <family val="0"/>
        <charset val="1"/>
      </rPr>
      <t xml:space="preserve">AK(</t>
    </r>
    <r>
      <rPr>
        <sz val="10"/>
        <rFont val="나눔고딕"/>
        <family val="2"/>
      </rPr>
      <t xml:space="preserve">에이케이 커뮤니케이션즈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</si>
  <si>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NEW </t>
    </r>
    <r>
      <rPr>
        <sz val="10"/>
        <rFont val="나눔고딕"/>
        <family val="2"/>
      </rPr>
      <t xml:space="preserve">쪼물쪼물 내친구 </t>
    </r>
    <r>
      <rPr>
        <sz val="10"/>
        <rFont val="Arial"/>
        <family val="0"/>
        <charset val="1"/>
      </rPr>
      <t xml:space="preserve">2020/2022 </t>
    </r>
    <r>
      <rPr>
        <sz val="10"/>
        <rFont val="나눔고딕"/>
        <family val="2"/>
      </rPr>
      <t xml:space="preserve">한글왕 음식이야기</t>
    </r>
  </si>
  <si>
    <r>
      <rPr>
        <sz val="10"/>
        <rFont val="나눔고딕"/>
        <family val="2"/>
      </rPr>
      <t xml:space="preserve">이것이 취업을 위한 컴퓨터 과학이다 </t>
    </r>
    <r>
      <rPr>
        <sz val="10"/>
        <rFont val="Arial"/>
        <family val="0"/>
        <charset val="1"/>
      </rPr>
      <t xml:space="preserve">with CS </t>
    </r>
    <r>
      <rPr>
        <sz val="10"/>
        <rFont val="나눔고딕"/>
        <family val="2"/>
      </rPr>
      <t xml:space="preserve">기술 면접</t>
    </r>
  </si>
  <si>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를 위한 필수 수학</t>
    </r>
  </si>
  <si>
    <r>
      <rPr>
        <sz val="10"/>
        <rFont val="나눔고딕"/>
        <family val="2"/>
      </rPr>
      <t xml:space="preserve">할라 넬슨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안민재 역</t>
    </r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</si>
  <si>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영상 제작</t>
    </r>
  </si>
  <si>
    <r>
      <rPr>
        <sz val="10"/>
        <rFont val="Arial"/>
        <family val="0"/>
        <charset val="1"/>
      </rPr>
      <t xml:space="preserve">JVM </t>
    </r>
    <r>
      <rPr>
        <sz val="10"/>
        <rFont val="나눔고딕"/>
        <family val="2"/>
      </rPr>
      <t xml:space="preserve">밑바닥까지 파헤치기</t>
    </r>
  </si>
  <si>
    <r>
      <rPr>
        <sz val="10"/>
        <rFont val="나눔고딕"/>
        <family val="2"/>
      </rPr>
      <t xml:space="preserve">저우즈밍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개앞맵시 역</t>
    </r>
  </si>
  <si>
    <r>
      <rPr>
        <sz val="10"/>
        <rFont val="Arial"/>
        <family val="0"/>
        <charset val="1"/>
      </rPr>
      <t xml:space="preserve">UX/UI</t>
    </r>
    <r>
      <rPr>
        <sz val="10"/>
        <rFont val="나눔고딕"/>
        <family val="2"/>
      </rPr>
      <t xml:space="preserve">의 </t>
    </r>
    <r>
      <rPr>
        <sz val="10"/>
        <rFont val="Arial"/>
        <family val="0"/>
        <charset val="1"/>
      </rPr>
      <t xml:space="preserve">10</t>
    </r>
    <r>
      <rPr>
        <sz val="10"/>
        <rFont val="나눔고딕"/>
        <family val="2"/>
      </rPr>
      <t xml:space="preserve">가지 심리학 법칙</t>
    </r>
  </si>
  <si>
    <r>
      <rPr>
        <sz val="10"/>
        <rFont val="나눔고딕"/>
        <family val="2"/>
      </rPr>
      <t xml:space="preserve">존 야블론스키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이미령 역</t>
    </r>
  </si>
  <si>
    <r>
      <rPr>
        <sz val="10"/>
        <rFont val="나눔고딕"/>
        <family val="2"/>
      </rPr>
      <t xml:space="preserve">쉽게</t>
    </r>
    <r>
      <rPr>
        <sz val="10"/>
        <rFont val="Arial"/>
        <family val="0"/>
        <charset val="1"/>
      </rPr>
      <t xml:space="preserve">! </t>
    </r>
    <r>
      <rPr>
        <sz val="10"/>
        <rFont val="나눔고딕"/>
        <family val="2"/>
      </rPr>
      <t xml:space="preserve">만드는 레트로 아케이드 코딩 게임</t>
    </r>
    <r>
      <rPr>
        <sz val="10"/>
        <rFont val="Arial"/>
        <family val="0"/>
        <charset val="1"/>
      </rPr>
      <t xml:space="preserve">(with </t>
    </r>
    <r>
      <rPr>
        <sz val="10"/>
        <rFont val="나눔고딕"/>
        <family val="2"/>
      </rPr>
      <t xml:space="preserve">마이크로비트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</si>
  <si>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신승기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박다빈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아이씨뱅큐</t>
    </r>
  </si>
  <si>
    <t xml:space="preserve">아이씨뱅큐</t>
  </si>
  <si>
    <r>
      <rPr>
        <sz val="10"/>
        <rFont val="나눔고딕"/>
        <family val="2"/>
      </rPr>
      <t xml:space="preserve">된다</t>
    </r>
    <r>
      <rPr>
        <sz val="10"/>
        <rFont val="Arial"/>
        <family val="0"/>
        <charset val="1"/>
      </rPr>
      <t xml:space="preserve">! </t>
    </r>
    <r>
      <rPr>
        <sz val="10"/>
        <rFont val="나눔고딕"/>
        <family val="2"/>
      </rPr>
      <t xml:space="preserve">김메주의 유튜브 채널</t>
    </r>
    <r>
      <rPr>
        <sz val="10"/>
        <rFont val="Arial"/>
        <family val="0"/>
        <charset val="1"/>
      </rPr>
      <t xml:space="preserve">&amp;</t>
    </r>
    <r>
      <rPr>
        <sz val="10"/>
        <rFont val="나눔고딕"/>
        <family val="2"/>
      </rPr>
      <t xml:space="preserve">영상 만들기</t>
    </r>
  </si>
  <si>
    <t xml:space="preserve">김혜주</t>
  </si>
  <si>
    <t xml:space="preserve">마인크래프트 건축 아이디어 북</t>
  </si>
  <si>
    <r>
      <rPr>
        <sz val="10"/>
        <rFont val="Arial"/>
        <family val="0"/>
        <charset val="1"/>
      </rPr>
      <t xml:space="preserve">Mojang Studio </t>
    </r>
    <r>
      <rPr>
        <sz val="10"/>
        <rFont val="나눔고딕"/>
        <family val="2"/>
      </rPr>
      <t xml:space="preserve">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이주안 역</t>
    </r>
  </si>
  <si>
    <r>
      <rPr>
        <sz val="10"/>
        <rFont val="나눔고딕"/>
        <family val="2"/>
      </rPr>
      <t xml:space="preserve">수학자와 함께하는 인공지능 수학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파이썬</t>
    </r>
  </si>
  <si>
    <r>
      <rPr>
        <sz val="10"/>
        <rFont val="나눔고딕"/>
        <family val="2"/>
      </rPr>
      <t xml:space="preserve">김종락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원병선</t>
    </r>
  </si>
  <si>
    <t xml:space="preserve">모두의 네트워크 기초</t>
  </si>
  <si>
    <t xml:space="preserve">결정적 사건으로 배우는 암호학</t>
  </si>
  <si>
    <r>
      <rPr>
        <sz val="10"/>
        <rFont val="나눔고딕"/>
        <family val="2"/>
      </rPr>
      <t xml:space="preserve">윤진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이솔 그림</t>
    </r>
  </si>
  <si>
    <r>
      <rPr>
        <sz val="10"/>
        <rFont val="나눔고딕"/>
        <family val="2"/>
      </rPr>
      <t xml:space="preserve">가상 면접 사례로 배우는 대규모 시스템 설계 기초 </t>
    </r>
    <r>
      <rPr>
        <sz val="10"/>
        <rFont val="Arial"/>
        <family val="0"/>
        <charset val="1"/>
      </rPr>
      <t xml:space="preserve">2</t>
    </r>
  </si>
  <si>
    <r>
      <rPr>
        <sz val="10"/>
        <rFont val="나눔고딕"/>
        <family val="2"/>
      </rPr>
      <t xml:space="preserve">알렉스 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산 람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이병준 역</t>
    </r>
  </si>
  <si>
    <t xml:space="preserve">퇴근 후 스마트스토어로 투잡하기</t>
  </si>
  <si>
    <t xml:space="preserve">박하나</t>
  </si>
  <si>
    <t xml:space="preserve">인공지능은 왜 정치적일 수밖에 없는가</t>
  </si>
  <si>
    <r>
      <rPr>
        <sz val="10"/>
        <rFont val="나눔고딕"/>
        <family val="2"/>
      </rPr>
      <t xml:space="preserve">마크 코켈버그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배현석 역</t>
    </r>
  </si>
  <si>
    <t xml:space="preserve">견고한 데이터 엔지니어링</t>
  </si>
  <si>
    <r>
      <rPr>
        <sz val="10"/>
        <rFont val="나눔고딕"/>
        <family val="2"/>
      </rPr>
      <t xml:space="preserve">조 라이스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맷 하우슬리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김인범 역</t>
    </r>
  </si>
  <si>
    <r>
      <rPr>
        <sz val="10"/>
        <rFont val="나눔고딕"/>
        <family val="2"/>
      </rPr>
      <t xml:space="preserve">팀 개발을 위한 </t>
    </r>
    <r>
      <rPr>
        <sz val="10"/>
        <rFont val="Arial"/>
        <family val="0"/>
        <charset val="1"/>
      </rPr>
      <t xml:space="preserve">Git, GitHub </t>
    </r>
    <r>
      <rPr>
        <sz val="10"/>
        <rFont val="나눔고딕"/>
        <family val="2"/>
      </rPr>
      <t xml:space="preserve">시작하기</t>
    </r>
  </si>
  <si>
    <r>
      <rPr>
        <sz val="10"/>
        <rFont val="나눔고딕"/>
        <family val="2"/>
      </rPr>
      <t xml:space="preserve">정호영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진유림</t>
    </r>
  </si>
  <si>
    <r>
      <rPr>
        <sz val="10"/>
        <rFont val="나눔고딕"/>
        <family val="2"/>
      </rPr>
      <t xml:space="preserve">이것이 </t>
    </r>
    <r>
      <rPr>
        <sz val="10"/>
        <rFont val="Arial"/>
        <family val="0"/>
        <charset val="1"/>
      </rPr>
      <t xml:space="preserve">C#</t>
    </r>
    <r>
      <rPr>
        <sz val="10"/>
        <rFont val="나눔고딕"/>
        <family val="2"/>
      </rPr>
      <t xml:space="preserve">이다</t>
    </r>
  </si>
  <si>
    <t xml:space="preserve">박상현</t>
  </si>
  <si>
    <t xml:space="preserve">카프카 핵심 가이드</t>
  </si>
  <si>
    <r>
      <rPr>
        <sz val="10"/>
        <rFont val="나눔고딕"/>
        <family val="2"/>
      </rPr>
      <t xml:space="preserve">그웬 샤피라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토드 팔리노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라지니 시바람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크리트 페티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이동진 역</t>
    </r>
  </si>
  <si>
    <t xml:space="preserve">컴퓨터 비전과 딥러닝</t>
  </si>
  <si>
    <t xml:space="preserve">오일석</t>
  </si>
  <si>
    <r>
      <rPr>
        <sz val="10"/>
        <rFont val="나눔고딕"/>
        <family val="2"/>
      </rPr>
      <t xml:space="preserve">코딩 자율학습 나도코딩의 </t>
    </r>
    <r>
      <rPr>
        <sz val="10"/>
        <rFont val="Arial"/>
        <family val="0"/>
        <charset val="1"/>
      </rPr>
      <t xml:space="preserve">C </t>
    </r>
    <r>
      <rPr>
        <sz val="10"/>
        <rFont val="나눔고딕"/>
        <family val="2"/>
      </rPr>
      <t xml:space="preserve">언어 입문</t>
    </r>
  </si>
  <si>
    <t xml:space="preserve">자동차 인터페이스 디자인</t>
  </si>
  <si>
    <t xml:space="preserve">박수레</t>
  </si>
  <si>
    <t xml:space="preserve">실용주의 프로그래머</t>
  </si>
  <si>
    <r>
      <rPr>
        <sz val="10"/>
        <rFont val="나눔고딕"/>
        <family val="2"/>
      </rPr>
      <t xml:space="preserve">데이비드 토머스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앤드류 헌트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정지용 역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김창준 감수</t>
    </r>
  </si>
  <si>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일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로그 </t>
    </r>
    <r>
      <rPr>
        <sz val="10"/>
        <rFont val="Arial"/>
        <family val="0"/>
        <charset val="1"/>
      </rPr>
      <t xml:space="preserve">100</t>
    </r>
    <r>
      <rPr>
        <sz val="10"/>
        <rFont val="나눔고딕"/>
        <family val="2"/>
      </rPr>
      <t xml:space="preserve">일 완성 </t>
    </r>
    <r>
      <rPr>
        <sz val="10"/>
        <rFont val="Arial"/>
        <family val="0"/>
        <charset val="1"/>
      </rPr>
      <t xml:space="preserve">IT </t>
    </r>
    <r>
      <rPr>
        <sz val="10"/>
        <rFont val="나눔고딕"/>
        <family val="2"/>
      </rPr>
      <t xml:space="preserve">지식</t>
    </r>
  </si>
  <si>
    <r>
      <rPr>
        <sz val="10"/>
        <rFont val="나눔고딕"/>
        <family val="2"/>
      </rPr>
      <t xml:space="preserve">브라이언 </t>
    </r>
    <r>
      <rPr>
        <sz val="10"/>
        <rFont val="Arial"/>
        <family val="0"/>
        <charset val="1"/>
      </rPr>
      <t xml:space="preserve">W. </t>
    </r>
    <r>
      <rPr>
        <sz val="10"/>
        <rFont val="나눔고딕"/>
        <family val="2"/>
      </rPr>
      <t xml:space="preserve">커니핸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하성창 역</t>
    </r>
  </si>
  <si>
    <r>
      <rPr>
        <sz val="10"/>
        <rFont val="나눔고딕"/>
        <family val="2"/>
      </rPr>
      <t xml:space="preserve">모든 기획자와 디자이너가 알아야 할 사람에 대한 </t>
    </r>
    <r>
      <rPr>
        <sz val="10"/>
        <rFont val="Arial"/>
        <family val="0"/>
        <charset val="1"/>
      </rPr>
      <t xml:space="preserve">100</t>
    </r>
    <r>
      <rPr>
        <sz val="10"/>
        <rFont val="나눔고딕"/>
        <family val="2"/>
      </rPr>
      <t xml:space="preserve">가지 사실</t>
    </r>
  </si>
  <si>
    <r>
      <rPr>
        <sz val="10"/>
        <rFont val="나눔고딕"/>
        <family val="2"/>
      </rPr>
      <t xml:space="preserve">수잔 웨인쉔크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이재명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이예나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전이주 역</t>
    </r>
  </si>
  <si>
    <r>
      <rPr>
        <sz val="10"/>
        <rFont val="나눔고딕"/>
        <family val="2"/>
      </rPr>
      <t xml:space="preserve">혼자 공부하는 </t>
    </r>
    <r>
      <rPr>
        <sz val="10"/>
        <rFont val="Arial"/>
        <family val="0"/>
        <charset val="1"/>
      </rPr>
      <t xml:space="preserve">SQL</t>
    </r>
  </si>
  <si>
    <r>
      <rPr>
        <sz val="10"/>
        <rFont val="Arial"/>
        <family val="0"/>
        <charset val="1"/>
      </rPr>
      <t xml:space="preserve">C </t>
    </r>
    <r>
      <rPr>
        <sz val="10"/>
        <rFont val="나눔고딕"/>
        <family val="2"/>
      </rPr>
      <t xml:space="preserve">언어 콘서트</t>
    </r>
  </si>
  <si>
    <t xml:space="preserve">천인국</t>
  </si>
  <si>
    <r>
      <rPr>
        <sz val="10"/>
        <rFont val="나눔고딕"/>
        <family val="2"/>
      </rPr>
      <t xml:space="preserve">소프트웨어 테스트 전문가</t>
    </r>
    <r>
      <rPr>
        <sz val="10"/>
        <rFont val="Arial"/>
        <family val="0"/>
        <charset val="1"/>
      </rPr>
      <t xml:space="preserve">(CSTS) </t>
    </r>
    <r>
      <rPr>
        <sz val="10"/>
        <rFont val="나눔고딕"/>
        <family val="2"/>
      </rPr>
      <t xml:space="preserve">가이드</t>
    </r>
  </si>
  <si>
    <r>
      <rPr>
        <sz val="10"/>
        <rFont val="나눔고딕"/>
        <family val="2"/>
      </rPr>
      <t xml:space="preserve">한국정보통신기술협회</t>
    </r>
    <r>
      <rPr>
        <sz val="10"/>
        <rFont val="Arial"/>
        <family val="0"/>
        <charset val="1"/>
      </rPr>
      <t xml:space="preserve">(TTA)</t>
    </r>
  </si>
  <si>
    <t xml:space="preserve">홍릉</t>
  </si>
  <si>
    <t xml:space="preserve">수학대백과사전</t>
  </si>
  <si>
    <r>
      <rPr>
        <sz val="10"/>
        <rFont val="나눔고딕"/>
        <family val="2"/>
      </rPr>
      <t xml:space="preserve">구라모토 다카후미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린커넥터 역</t>
    </r>
  </si>
  <si>
    <r>
      <rPr>
        <sz val="10"/>
        <rFont val="나눔고딕"/>
        <family val="2"/>
      </rPr>
      <t xml:space="preserve">동양북스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동양</t>
    </r>
    <r>
      <rPr>
        <sz val="10"/>
        <rFont val="Arial"/>
        <family val="0"/>
        <charset val="1"/>
      </rPr>
      <t xml:space="preserve">books)</t>
    </r>
  </si>
  <si>
    <r>
      <rPr>
        <sz val="10"/>
        <rFont val="Arial"/>
        <family val="0"/>
        <charset val="1"/>
      </rPr>
      <t xml:space="preserve">Do it! </t>
    </r>
    <r>
      <rPr>
        <sz val="10"/>
        <rFont val="나눔고딕"/>
        <family val="2"/>
      </rPr>
      <t xml:space="preserve">자료구조와 함께 배우는 알고리즘 입문 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</rPr>
      <t xml:space="preserve">파이썬 편</t>
    </r>
  </si>
  <si>
    <r>
      <rPr>
        <sz val="10"/>
        <rFont val="나눔고딕"/>
        <family val="2"/>
      </rPr>
      <t xml:space="preserve">시바타 보요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강민 역</t>
    </r>
  </si>
  <si>
    <r>
      <rPr>
        <sz val="10"/>
        <rFont val="나눔고딕"/>
        <family val="2"/>
      </rPr>
      <t xml:space="preserve">한컴오피스 </t>
    </r>
    <r>
      <rPr>
        <sz val="10"/>
        <rFont val="Arial"/>
        <family val="0"/>
        <charset val="1"/>
      </rPr>
      <t xml:space="preserve">2020 </t>
    </r>
    <r>
      <rPr>
        <sz val="10"/>
        <rFont val="나눔고딕"/>
        <family val="2"/>
      </rPr>
      <t xml:space="preserve">한글</t>
    </r>
    <r>
      <rPr>
        <sz val="10"/>
        <rFont val="Arial"/>
        <family val="0"/>
        <charset val="1"/>
      </rPr>
      <t xml:space="preserve">+</t>
    </r>
    <r>
      <rPr>
        <sz val="10"/>
        <rFont val="나눔고딕"/>
        <family val="2"/>
      </rPr>
      <t xml:space="preserve">한셀</t>
    </r>
    <r>
      <rPr>
        <sz val="10"/>
        <rFont val="Arial"/>
        <family val="0"/>
        <charset val="1"/>
      </rPr>
      <t xml:space="preserve">+</t>
    </r>
    <r>
      <rPr>
        <sz val="10"/>
        <rFont val="나눔고딕"/>
        <family val="2"/>
      </rPr>
      <t xml:space="preserve">한쇼</t>
    </r>
    <r>
      <rPr>
        <sz val="10"/>
        <rFont val="Arial"/>
        <family val="0"/>
        <charset val="1"/>
      </rPr>
      <t xml:space="preserve">+</t>
    </r>
    <r>
      <rPr>
        <sz val="10"/>
        <rFont val="나눔고딕"/>
        <family val="2"/>
      </rPr>
      <t xml:space="preserve">한워드</t>
    </r>
  </si>
  <si>
    <r>
      <rPr>
        <sz val="10"/>
        <rFont val="나눔고딕"/>
        <family val="2"/>
      </rPr>
      <t xml:space="preserve">㈜한글과컴퓨터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허미현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부성순</t>
    </r>
  </si>
  <si>
    <t xml:space="preserve">핵심 데이터 모델링</t>
  </si>
  <si>
    <t xml:space="preserve">유동오</t>
  </si>
  <si>
    <t xml:space="preserve">운영체제</t>
  </si>
  <si>
    <r>
      <rPr>
        <sz val="10"/>
        <rFont val="Arial"/>
        <family val="0"/>
        <charset val="1"/>
      </rPr>
      <t xml:space="preserve">Abraham Silberschatz, Peter Baer Galvin, Greg Gagne </t>
    </r>
    <r>
      <rPr>
        <sz val="10"/>
        <rFont val="나눔고딕"/>
        <family val="2"/>
      </rPr>
      <t xml:space="preserve">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박민규 역</t>
    </r>
  </si>
  <si>
    <t xml:space="preserve">퍼스트북</t>
  </si>
  <si>
    <t xml:space="preserve">엑셀 기초</t>
  </si>
  <si>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나눔고딕"/>
        <family val="2"/>
      </rPr>
      <t xml:space="preserve">지아이에듀테크</t>
    </r>
  </si>
  <si>
    <r>
      <rPr>
        <sz val="10"/>
        <rFont val="나눔고딕"/>
        <family val="2"/>
      </rPr>
      <t xml:space="preserve">아이콕스</t>
    </r>
    <r>
      <rPr>
        <sz val="10"/>
        <rFont val="Arial"/>
        <family val="0"/>
        <charset val="1"/>
      </rPr>
      <t xml:space="preserve">(iCox)</t>
    </r>
  </si>
  <si>
    <r>
      <rPr>
        <sz val="10"/>
        <rFont val="나눔고딕"/>
        <family val="2"/>
      </rPr>
      <t xml:space="preserve">된다</t>
    </r>
    <r>
      <rPr>
        <sz val="10"/>
        <rFont val="Arial"/>
        <family val="0"/>
        <charset val="1"/>
      </rPr>
      <t xml:space="preserve">! 7</t>
    </r>
    <r>
      <rPr>
        <sz val="10"/>
        <rFont val="나눔고딕"/>
        <family val="2"/>
      </rPr>
      <t xml:space="preserve">일 실무 엑셀</t>
    </r>
  </si>
  <si>
    <t xml:space="preserve">로호의 배경 일러스트 메이킹</t>
  </si>
  <si>
    <t xml:space="preserve">고아라</t>
  </si>
  <si>
    <t xml:space="preserve">정보문화사</t>
  </si>
  <si>
    <t xml:space="preserve">인스파이어드</t>
  </si>
  <si>
    <r>
      <rPr>
        <sz val="10"/>
        <rFont val="나눔고딕"/>
        <family val="2"/>
      </rPr>
      <t xml:space="preserve">마티 케이건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황진수 역</t>
    </r>
  </si>
  <si>
    <t xml:space="preserve">데이터 중심 애플리케이션 설계</t>
  </si>
  <si>
    <r>
      <rPr>
        <sz val="10"/>
        <rFont val="나눔고딕"/>
        <family val="2"/>
      </rPr>
      <t xml:space="preserve">마틴 클레프만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정재부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김영준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이도경 역</t>
    </r>
  </si>
  <si>
    <t xml:space="preserve">린 분석</t>
  </si>
  <si>
    <r>
      <rPr>
        <sz val="10"/>
        <rFont val="나눔고딕"/>
        <family val="2"/>
      </rPr>
      <t xml:space="preserve">앨리스테어 크롤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벤저민 요스코비츠 공저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위선주 역</t>
    </r>
  </si>
  <si>
    <r>
      <rPr>
        <sz val="10"/>
        <rFont val="나눔고딕"/>
        <family val="2"/>
      </rPr>
      <t xml:space="preserve">나는 왜 개발자 말이 어려울까</t>
    </r>
    <r>
      <rPr>
        <sz val="10"/>
        <rFont val="Arial"/>
        <family val="0"/>
        <charset val="1"/>
      </rPr>
      <t xml:space="preserve">?</t>
    </r>
  </si>
  <si>
    <t xml:space="preserve">이프로</t>
  </si>
  <si>
    <t xml:space="preserve">경이로움</t>
  </si>
  <si>
    <t xml:space="preserve">처음 시작하는 바이브 코딩</t>
  </si>
  <si>
    <r>
      <rPr>
        <sz val="10"/>
        <rFont val="나눔고딕"/>
        <family val="2"/>
      </rPr>
      <t xml:space="preserve">사카이 마리코</t>
    </r>
    <r>
      <rPr>
        <sz val="10"/>
        <rFont val="Arial"/>
        <family val="0"/>
        <charset val="1"/>
      </rPr>
      <t xml:space="preserve">, KEITO </t>
    </r>
    <r>
      <rPr>
        <sz val="10"/>
        <rFont val="나눔고딕"/>
        <family val="2"/>
      </rPr>
      <t xml:space="preserve">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고범석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이한나 역</t>
    </r>
  </si>
  <si>
    <r>
      <rPr>
        <sz val="10"/>
        <rFont val="나눔고딕"/>
        <family val="2"/>
      </rPr>
      <t xml:space="preserve">바이브코딩으로 진짜 웹 서비스 하나를 끝까지 만든다</t>
    </r>
    <r>
      <rPr>
        <sz val="10"/>
        <rFont val="Arial"/>
        <family val="0"/>
        <charset val="1"/>
      </rPr>
      <t xml:space="preserve">!</t>
    </r>
  </si>
  <si>
    <r>
      <rPr>
        <sz val="10"/>
        <rFont val="나눔고딕"/>
        <family val="2"/>
      </rPr>
      <t xml:space="preserve">이상용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정동진</t>
    </r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</si>
  <si>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시대 사수 없는 마케터의 질문 수업</t>
    </r>
  </si>
  <si>
    <t xml:space="preserve">이효정</t>
  </si>
  <si>
    <r>
      <rPr>
        <sz val="10"/>
        <rFont val="나눔고딕"/>
        <family val="2"/>
      </rPr>
      <t xml:space="preserve">인스타그램 릴스 </t>
    </r>
    <r>
      <rPr>
        <sz val="10"/>
        <rFont val="Arial"/>
        <family val="0"/>
        <charset val="1"/>
      </rPr>
      <t xml:space="preserve">&amp; </t>
    </r>
    <r>
      <rPr>
        <sz val="10"/>
        <rFont val="나눔고딕"/>
        <family val="2"/>
      </rPr>
      <t xml:space="preserve">알고리즘 공략법 </t>
    </r>
    <r>
      <rPr>
        <sz val="10"/>
        <rFont val="Arial"/>
        <family val="0"/>
        <charset val="1"/>
      </rPr>
      <t xml:space="preserve">: 100</t>
    </r>
    <r>
      <rPr>
        <sz val="10"/>
        <rFont val="나눔고딕"/>
        <family val="2"/>
      </rPr>
      <t xml:space="preserve">만 조회수 만들기</t>
    </r>
  </si>
  <si>
    <t xml:space="preserve">서진원</t>
  </si>
  <si>
    <t xml:space="preserve">이은북</t>
  </si>
  <si>
    <r>
      <rPr>
        <sz val="10"/>
        <rFont val="나눔고딕"/>
        <family val="2"/>
      </rPr>
      <t xml:space="preserve">이것이 </t>
    </r>
    <r>
      <rPr>
        <sz val="10"/>
        <rFont val="Arial"/>
        <family val="0"/>
        <charset val="1"/>
      </rPr>
      <t xml:space="preserve">Spring AI</t>
    </r>
    <r>
      <rPr>
        <sz val="10"/>
        <rFont val="나눔고딕"/>
        <family val="2"/>
      </rPr>
      <t xml:space="preserve">다</t>
    </r>
  </si>
  <si>
    <r>
      <rPr>
        <sz val="10"/>
        <rFont val="나눔고딕"/>
        <family val="2"/>
      </rPr>
      <t xml:space="preserve">모던 </t>
    </r>
    <r>
      <rPr>
        <sz val="10"/>
        <rFont val="Arial"/>
        <family val="0"/>
        <charset val="1"/>
      </rPr>
      <t xml:space="preserve">API </t>
    </r>
    <r>
      <rPr>
        <sz val="10"/>
        <rFont val="나눔고딕"/>
        <family val="2"/>
      </rPr>
      <t xml:space="preserve">아키텍처 설계 전략</t>
    </r>
  </si>
  <si>
    <r>
      <rPr>
        <sz val="10"/>
        <rFont val="나눔고딕"/>
        <family val="2"/>
      </rPr>
      <t xml:space="preserve">제임스 고프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대니얼 브라이언트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매튜 어번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장현희 역</t>
    </r>
  </si>
  <si>
    <r>
      <rPr>
        <sz val="10"/>
        <rFont val="Arial"/>
        <family val="0"/>
        <charset val="1"/>
      </rPr>
      <t xml:space="preserve">2026 AI </t>
    </r>
    <r>
      <rPr>
        <sz val="10"/>
        <rFont val="나눔고딕"/>
        <family val="2"/>
      </rPr>
      <t xml:space="preserve">교육 트렌드</t>
    </r>
  </si>
  <si>
    <r>
      <rPr>
        <sz val="10"/>
        <rFont val="나눔고딕"/>
        <family val="2"/>
      </rPr>
      <t xml:space="preserve">박소이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유영걸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오유나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김영준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김정환 저 외 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명 정보 더 보기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감추기 박소이 유영걸 오유나 김영준 김정환 정나래 한창훈</t>
    </r>
  </si>
  <si>
    <t xml:space="preserve">객체지향의 사실과 오해</t>
  </si>
  <si>
    <t xml:space="preserve">조영호</t>
  </si>
  <si>
    <r>
      <rPr>
        <sz val="10"/>
        <rFont val="나눔고딕"/>
        <family val="2"/>
      </rPr>
      <t xml:space="preserve">초보도 바로 되는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콘텐츠</t>
    </r>
  </si>
  <si>
    <r>
      <rPr>
        <sz val="10"/>
        <rFont val="나눔고딕"/>
        <family val="2"/>
      </rPr>
      <t xml:space="preserve">이도혜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김인호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문정수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바울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육화영 저 외 </t>
    </r>
    <r>
      <rPr>
        <sz val="10"/>
        <rFont val="Arial"/>
        <family val="0"/>
        <charset val="1"/>
      </rPr>
      <t xml:space="preserve">7</t>
    </r>
    <r>
      <rPr>
        <sz val="10"/>
        <rFont val="나눔고딕"/>
        <family val="2"/>
      </rPr>
      <t xml:space="preserve">명 정보 더 보기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감추기 이도혜 김인호 문정수 바울 육화영 이성열 이수진 이진영 정지연 노수승 배경수 김진선</t>
    </r>
  </si>
  <si>
    <r>
      <rPr>
        <sz val="10"/>
        <rFont val="나눔고딕"/>
        <family val="2"/>
      </rPr>
      <t xml:space="preserve">데이터 과학을 위한 기초수학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파이썬</t>
    </r>
  </si>
  <si>
    <t xml:space="preserve">이병준</t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</si>
  <si>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명리학 사용법</t>
    </r>
  </si>
  <si>
    <r>
      <rPr>
        <sz val="10"/>
        <rFont val="나눔고딕"/>
        <family val="2"/>
      </rPr>
      <t xml:space="preserve">남다른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김성주</t>
    </r>
  </si>
  <si>
    <t xml:space="preserve">박영사</t>
  </si>
  <si>
    <r>
      <rPr>
        <sz val="10"/>
        <rFont val="나눔고딕"/>
        <family val="2"/>
      </rPr>
      <t xml:space="preserve">하네스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시대의 새로운 몸</t>
    </r>
  </si>
  <si>
    <t xml:space="preserve">강국진</t>
  </si>
  <si>
    <t xml:space="preserve">미래상상</t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</si>
  <si>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게임 개발 시작</t>
    </r>
  </si>
  <si>
    <t xml:space="preserve">김정태</t>
  </si>
  <si>
    <r>
      <rPr>
        <sz val="10"/>
        <rFont val="나눔고딕"/>
        <family val="2"/>
      </rPr>
      <t xml:space="preserve">결국</t>
    </r>
    <r>
      <rPr>
        <sz val="10"/>
        <rFont val="Arial"/>
        <family val="0"/>
        <charset val="1"/>
      </rPr>
      <t xml:space="preserve">, AI</t>
    </r>
    <r>
      <rPr>
        <sz val="10"/>
        <rFont val="나눔고딕"/>
        <family val="2"/>
      </rPr>
      <t xml:space="preserve">로 일하는 사람만 살아남는다</t>
    </r>
  </si>
  <si>
    <t xml:space="preserve">김형용</t>
  </si>
  <si>
    <t xml:space="preserve">콩콩 컴퍼니</t>
  </si>
  <si>
    <r>
      <rPr>
        <sz val="10"/>
        <rFont val="나눔고딕"/>
        <family val="2"/>
      </rPr>
      <t xml:space="preserve">피지컬 </t>
    </r>
    <r>
      <rPr>
        <sz val="10"/>
        <rFont val="Arial"/>
        <family val="0"/>
        <charset val="1"/>
      </rPr>
      <t xml:space="preserve">AI</t>
    </r>
  </si>
  <si>
    <r>
      <rPr>
        <sz val="10"/>
        <rFont val="나눔고딕"/>
        <family val="2"/>
      </rPr>
      <t xml:space="preserve">유형근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이정헌</t>
    </r>
  </si>
  <si>
    <r>
      <rPr>
        <sz val="10"/>
        <rFont val="Arial"/>
        <family val="0"/>
        <charset val="1"/>
      </rPr>
      <t xml:space="preserve">CMMC </t>
    </r>
    <r>
      <rPr>
        <sz val="10"/>
        <rFont val="나눔고딕"/>
        <family val="2"/>
      </rPr>
      <t xml:space="preserve">레벨 </t>
    </r>
    <r>
      <rPr>
        <sz val="10"/>
        <rFont val="Arial"/>
        <family val="0"/>
        <charset val="1"/>
      </rPr>
      <t xml:space="preserve">1 </t>
    </r>
    <r>
      <rPr>
        <sz val="10"/>
        <rFont val="나눔고딕"/>
        <family val="2"/>
      </rPr>
      <t xml:space="preserve">실무 가이드</t>
    </r>
  </si>
  <si>
    <t xml:space="preserve">이민재</t>
  </si>
  <si>
    <t xml:space="preserve">좋은땅</t>
  </si>
  <si>
    <r>
      <rPr>
        <sz val="10"/>
        <rFont val="나눔고딕"/>
        <family val="2"/>
      </rPr>
      <t xml:space="preserve">테슬라처럼 만드는 비전 자율주행 피지컬 </t>
    </r>
    <r>
      <rPr>
        <sz val="10"/>
        <rFont val="Arial"/>
        <family val="0"/>
        <charset val="1"/>
      </rPr>
      <t xml:space="preserve">AI</t>
    </r>
  </si>
  <si>
    <t xml:space="preserve">이석창</t>
  </si>
  <si>
    <t xml:space="preserve">하나면 다 된다 제미나이</t>
  </si>
  <si>
    <t xml:space="preserve">앤미디어</t>
  </si>
  <si>
    <r>
      <rPr>
        <sz val="10"/>
        <rFont val="나눔고딕"/>
        <family val="2"/>
      </rPr>
      <t xml:space="preserve">함수형 설계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객체 지향과 만나다</t>
    </r>
  </si>
  <si>
    <r>
      <rPr>
        <sz val="10"/>
        <rFont val="나눔고딕"/>
        <family val="2"/>
      </rPr>
      <t xml:space="preserve">로버트 </t>
    </r>
    <r>
      <rPr>
        <sz val="10"/>
        <rFont val="Arial"/>
        <family val="0"/>
        <charset val="1"/>
      </rPr>
      <t xml:space="preserve">C. </t>
    </r>
    <r>
      <rPr>
        <sz val="10"/>
        <rFont val="나눔고딕"/>
        <family val="2"/>
      </rPr>
      <t xml:space="preserve">마틴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장연호 역</t>
    </r>
  </si>
  <si>
    <r>
      <rPr>
        <sz val="10"/>
        <rFont val="나눔고딕"/>
        <family val="2"/>
      </rPr>
      <t xml:space="preserve">최고의 </t>
    </r>
    <r>
      <rPr>
        <sz val="10"/>
        <rFont val="Arial"/>
        <family val="0"/>
        <charset val="1"/>
      </rPr>
      <t xml:space="preserve">n8n AI </t>
    </r>
    <r>
      <rPr>
        <sz val="10"/>
        <rFont val="나눔고딕"/>
        <family val="2"/>
      </rPr>
      <t xml:space="preserve">자동화 강의</t>
    </r>
  </si>
  <si>
    <t xml:space="preserve">박정기</t>
  </si>
  <si>
    <r>
      <rPr>
        <sz val="10"/>
        <rFont val="나눔고딕"/>
        <family val="2"/>
      </rPr>
      <t xml:space="preserve">시골서 </t>
    </r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와 놀다보니 책이 됐다</t>
    </r>
  </si>
  <si>
    <t xml:space="preserve">김경래</t>
  </si>
  <si>
    <t xml:space="preserve">한문화사</t>
  </si>
  <si>
    <r>
      <rPr>
        <sz val="10"/>
        <rFont val="나눔고딕"/>
        <family val="2"/>
      </rPr>
      <t xml:space="preserve">세상을 복제하는 공장</t>
    </r>
    <r>
      <rPr>
        <sz val="10"/>
        <rFont val="Arial"/>
        <family val="0"/>
        <charset val="1"/>
      </rPr>
      <t xml:space="preserve">, Physical AI </t>
    </r>
    <r>
      <rPr>
        <sz val="10"/>
        <rFont val="나눔고딕"/>
        <family val="2"/>
      </rPr>
      <t xml:space="preserve">데이터팩토리 실습 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</rPr>
      <t xml:space="preserve">심화</t>
    </r>
  </si>
  <si>
    <t xml:space="preserve">손병희</t>
  </si>
  <si>
    <t xml:space="preserve">꾸그티처스</t>
  </si>
  <si>
    <r>
      <rPr>
        <sz val="10"/>
        <rFont val="나눔고딕"/>
        <family val="2"/>
      </rPr>
      <t xml:space="preserve">세상을 복제하는 공장</t>
    </r>
    <r>
      <rPr>
        <sz val="10"/>
        <rFont val="Arial"/>
        <family val="0"/>
        <charset val="1"/>
      </rPr>
      <t xml:space="preserve">, Physical AI </t>
    </r>
    <r>
      <rPr>
        <sz val="10"/>
        <rFont val="나눔고딕"/>
        <family val="2"/>
      </rPr>
      <t xml:space="preserve">데이터팩토리 실습 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</rPr>
      <t xml:space="preserve">기초</t>
    </r>
  </si>
  <si>
    <r>
      <rPr>
        <sz val="10"/>
        <rFont val="나눔고딕"/>
        <family val="2"/>
      </rPr>
      <t xml:space="preserve">맛있는 디자인 애프터 이펙트 </t>
    </r>
    <r>
      <rPr>
        <sz val="10"/>
        <rFont val="Arial"/>
        <family val="0"/>
        <charset val="1"/>
      </rPr>
      <t xml:space="preserve">CC 2026</t>
    </r>
  </si>
  <si>
    <t xml:space="preserve">이수정</t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</si>
  <si>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증강 독해와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드리블링 바이블 심화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활용 편</t>
    </r>
  </si>
  <si>
    <r>
      <rPr>
        <sz val="10"/>
        <rFont val="나눔고딕"/>
        <family val="2"/>
      </rPr>
      <t xml:space="preserve">나준호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성낙환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이하영</t>
    </r>
  </si>
  <si>
    <r>
      <rPr>
        <sz val="10"/>
        <rFont val="나눔고딕"/>
        <family val="2"/>
      </rPr>
      <t xml:space="preserve">하나면 다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</rPr>
      <t xml:space="preserve">된다 챗</t>
    </r>
    <r>
      <rPr>
        <sz val="10"/>
        <rFont val="Arial"/>
        <family val="0"/>
        <charset val="1"/>
      </rPr>
      <t xml:space="preserve">GPT</t>
    </r>
  </si>
  <si>
    <r>
      <rPr>
        <sz val="10"/>
        <rFont val="나눔고딕"/>
        <family val="2"/>
      </rPr>
      <t xml:space="preserve">민지영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문수민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앤미디어</t>
    </r>
  </si>
  <si>
    <r>
      <rPr>
        <sz val="10"/>
        <rFont val="Arial"/>
        <family val="0"/>
        <charset val="1"/>
      </rPr>
      <t xml:space="preserve">LangChain</t>
    </r>
    <r>
      <rPr>
        <sz val="10"/>
        <rFont val="나눔고딕"/>
        <family val="2"/>
      </rPr>
      <t xml:space="preserve">과 </t>
    </r>
    <r>
      <rPr>
        <sz val="10"/>
        <rFont val="Arial"/>
        <family val="0"/>
        <charset val="1"/>
      </rPr>
      <t xml:space="preserve">LangGraph</t>
    </r>
    <r>
      <rPr>
        <sz val="10"/>
        <rFont val="나눔고딕"/>
        <family val="2"/>
      </rPr>
      <t xml:space="preserve">로 만드는 </t>
    </r>
    <r>
      <rPr>
        <sz val="10"/>
        <rFont val="Arial"/>
        <family val="0"/>
        <charset val="1"/>
      </rPr>
      <t xml:space="preserve">LLM </t>
    </r>
    <r>
      <rPr>
        <sz val="10"/>
        <rFont val="나눔고딕"/>
        <family val="2"/>
      </rPr>
      <t xml:space="preserve">애플리케이션 </t>
    </r>
    <r>
      <rPr>
        <sz val="10"/>
        <rFont val="Arial"/>
        <family val="0"/>
        <charset val="1"/>
      </rPr>
      <t xml:space="preserve">2/e</t>
    </r>
  </si>
  <si>
    <r>
      <rPr>
        <sz val="10"/>
        <rFont val="나눔고딕"/>
        <family val="2"/>
      </rPr>
      <t xml:space="preserve">벤 아우파스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레오니드 쿨리긴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옥경석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박규성 역</t>
    </r>
  </si>
  <si>
    <r>
      <rPr>
        <sz val="10"/>
        <rFont val="나눔고딕"/>
        <family val="2"/>
      </rPr>
      <t xml:space="preserve">애플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파괴적 혁신의 시작</t>
    </r>
  </si>
  <si>
    <r>
      <rPr>
        <sz val="10"/>
        <rFont val="나눔고딕"/>
        <family val="2"/>
      </rPr>
      <t xml:space="preserve">레인 누니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오현석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박기성 역</t>
    </r>
  </si>
  <si>
    <r>
      <rPr>
        <sz val="10"/>
        <rFont val="나눔고딕"/>
        <family val="2"/>
      </rPr>
      <t xml:space="preserve">다시 찾는 디지털 서비스를 만드는 </t>
    </r>
    <r>
      <rPr>
        <sz val="10"/>
        <rFont val="Arial"/>
        <family val="0"/>
        <charset val="1"/>
      </rPr>
      <t xml:space="preserve">8</t>
    </r>
    <r>
      <rPr>
        <sz val="10"/>
        <rFont val="나눔고딕"/>
        <family val="2"/>
      </rPr>
      <t xml:space="preserve">가지 법칙</t>
    </r>
  </si>
  <si>
    <t xml:space="preserve">권혜민</t>
  </si>
  <si>
    <r>
      <rPr>
        <sz val="10"/>
        <rFont val="나눔고딕"/>
        <family val="2"/>
      </rPr>
      <t xml:space="preserve">콘텐츠 디자인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나노 바나나</t>
    </r>
  </si>
  <si>
    <t xml:space="preserve">홍순성</t>
  </si>
  <si>
    <t xml:space="preserve">예제가 가득한 제미나이 길라잡이</t>
  </si>
  <si>
    <r>
      <rPr>
        <sz val="10"/>
        <rFont val="나눔고딕"/>
        <family val="2"/>
      </rPr>
      <t xml:space="preserve">랭체인으로 구현하는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서비스 </t>
    </r>
    <r>
      <rPr>
        <sz val="10"/>
        <rFont val="Arial"/>
        <family val="0"/>
        <charset val="1"/>
      </rPr>
      <t xml:space="preserve">&amp; </t>
    </r>
    <r>
      <rPr>
        <sz val="10"/>
        <rFont val="나눔고딕"/>
        <family val="2"/>
      </rPr>
      <t xml:space="preserve">에이전트 개발 입문</t>
    </r>
  </si>
  <si>
    <r>
      <rPr>
        <sz val="10"/>
        <rFont val="Arial"/>
        <family val="0"/>
        <charset val="1"/>
      </rPr>
      <t xml:space="preserve">ML_Bear </t>
    </r>
    <r>
      <rPr>
        <sz val="10"/>
        <rFont val="나눔고딕"/>
        <family val="2"/>
      </rPr>
      <t xml:space="preserve">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손민규 역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장하렴 감수</t>
    </r>
  </si>
  <si>
    <r>
      <rPr>
        <sz val="10"/>
        <rFont val="나눔고딕"/>
        <family val="2"/>
      </rPr>
      <t xml:space="preserve">누구나 쉽게 배우는 영상 편집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캡컷 </t>
    </r>
    <r>
      <rPr>
        <sz val="10"/>
        <rFont val="Arial"/>
        <family val="0"/>
        <charset val="1"/>
      </rPr>
      <t xml:space="preserve">PC </t>
    </r>
    <r>
      <rPr>
        <sz val="10"/>
        <rFont val="나눔고딕"/>
        <family val="2"/>
      </rPr>
      <t xml:space="preserve">버전</t>
    </r>
  </si>
  <si>
    <t xml:space="preserve">김수진</t>
  </si>
  <si>
    <t xml:space="preserve">아티오</t>
  </si>
  <si>
    <r>
      <rPr>
        <sz val="10"/>
        <rFont val="나눔고딕"/>
        <family val="2"/>
      </rPr>
      <t xml:space="preserve">해달리와 함께 떠나는 신나는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여행</t>
    </r>
  </si>
  <si>
    <r>
      <rPr>
        <sz val="10"/>
        <rFont val="나눔고딕"/>
        <family val="2"/>
      </rPr>
      <t xml:space="preserve">전경아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최병찬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김진석</t>
    </r>
  </si>
  <si>
    <r>
      <rPr>
        <sz val="10"/>
        <rFont val="나눔고딕"/>
        <family val="2"/>
      </rPr>
      <t xml:space="preserve">맛있는 디자인 프리미어 프로 </t>
    </r>
    <r>
      <rPr>
        <sz val="10"/>
        <rFont val="Arial"/>
        <family val="0"/>
        <charset val="1"/>
      </rPr>
      <t xml:space="preserve">CC 2026</t>
    </r>
  </si>
  <si>
    <r>
      <rPr>
        <sz val="10"/>
        <rFont val="나눔고딕"/>
        <family val="2"/>
      </rPr>
      <t xml:space="preserve">심수진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윤성우</t>
    </r>
  </si>
  <si>
    <t xml:space="preserve">네이버 블로그 첫걸음</t>
  </si>
  <si>
    <r>
      <rPr>
        <sz val="10"/>
        <rFont val="나눔고딕"/>
        <family val="2"/>
      </rPr>
      <t xml:space="preserve">어쨌든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에이전틱 코딩</t>
    </r>
  </si>
  <si>
    <r>
      <rPr>
        <sz val="10"/>
        <rFont val="나눔고딕"/>
        <family val="2"/>
      </rPr>
      <t xml:space="preserve">코다프레스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양희은 역</t>
    </r>
  </si>
  <si>
    <r>
      <rPr>
        <sz val="10"/>
        <rFont val="Arial"/>
        <family val="0"/>
        <charset val="1"/>
      </rPr>
      <t xml:space="preserve">A2A × MCP </t>
    </r>
    <r>
      <rPr>
        <sz val="10"/>
        <rFont val="나눔고딕"/>
        <family val="2"/>
      </rPr>
      <t xml:space="preserve">멀티에이전트 오케스트레이션 실전</t>
    </r>
  </si>
  <si>
    <r>
      <rPr>
        <sz val="10"/>
        <rFont val="나눔고딕"/>
        <family val="2"/>
      </rPr>
      <t xml:space="preserve">맛있는 디자인 일러스트레이터 </t>
    </r>
    <r>
      <rPr>
        <sz val="10"/>
        <rFont val="Arial"/>
        <family val="0"/>
        <charset val="1"/>
      </rPr>
      <t xml:space="preserve">CC 2026</t>
    </r>
  </si>
  <si>
    <t xml:space="preserve">박정아</t>
  </si>
  <si>
    <r>
      <rPr>
        <sz val="10"/>
        <rFont val="나눔고딕"/>
        <family val="2"/>
      </rPr>
      <t xml:space="preserve">가상 면접 사례로 배우는 생성형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서비스 설계</t>
    </r>
  </si>
  <si>
    <r>
      <rPr>
        <sz val="10"/>
        <rFont val="나눔고딕"/>
        <family val="2"/>
      </rPr>
      <t xml:space="preserve">알리 아미니안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하오 성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김지호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조윤민 역</t>
    </r>
  </si>
  <si>
    <r>
      <rPr>
        <sz val="10"/>
        <rFont val="나눔고딕"/>
        <family val="2"/>
      </rPr>
      <t xml:space="preserve">알고리듬을 생각의 대상으로 알고리듬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생각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역설</t>
    </r>
  </si>
  <si>
    <t xml:space="preserve">임완철</t>
  </si>
  <si>
    <t xml:space="preserve">경상국립대학교출판부</t>
  </si>
  <si>
    <t xml:space="preserve">SQL TUNER for PostgreSQL</t>
  </si>
  <si>
    <t xml:space="preserve">유일환</t>
  </si>
  <si>
    <r>
      <rPr>
        <sz val="10"/>
        <rFont val="나눔고딕"/>
        <family val="2"/>
      </rPr>
      <t xml:space="preserve">나야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구글 에듀테크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질문이 답이 되는 제미나이 수업 솔루션</t>
    </r>
  </si>
  <si>
    <r>
      <rPr>
        <sz val="10"/>
        <rFont val="나눔고딕"/>
        <family val="2"/>
      </rPr>
      <t xml:space="preserve">장승아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조원정</t>
    </r>
  </si>
  <si>
    <r>
      <rPr>
        <sz val="10"/>
        <rFont val="나눔고딕"/>
        <family val="2"/>
      </rPr>
      <t xml:space="preserve">네트워크 </t>
    </r>
    <r>
      <rPr>
        <sz val="10"/>
        <rFont val="Arial"/>
        <family val="0"/>
        <charset val="1"/>
      </rPr>
      <t xml:space="preserve">· </t>
    </r>
    <r>
      <rPr>
        <sz val="10"/>
        <rFont val="나눔고딕"/>
        <family val="2"/>
      </rPr>
      <t xml:space="preserve">보안 엔지니어를 위한 챗</t>
    </r>
    <r>
      <rPr>
        <sz val="10"/>
        <rFont val="Arial"/>
        <family val="0"/>
        <charset val="1"/>
      </rPr>
      <t xml:space="preserve">GPT </t>
    </r>
    <r>
      <rPr>
        <sz val="10"/>
        <rFont val="나눔고딕"/>
        <family val="2"/>
      </rPr>
      <t xml:space="preserve">활용 기술</t>
    </r>
  </si>
  <si>
    <t xml:space="preserve">박진산</t>
  </si>
  <si>
    <r>
      <rPr>
        <sz val="10"/>
        <rFont val="나눔고딕"/>
        <family val="2"/>
      </rPr>
      <t xml:space="preserve">파이토치로 배우는 </t>
    </r>
    <r>
      <rPr>
        <sz val="10"/>
        <rFont val="Arial"/>
        <family val="0"/>
        <charset val="1"/>
      </rPr>
      <t xml:space="preserve">LLM &amp; AI</t>
    </r>
  </si>
  <si>
    <r>
      <rPr>
        <sz val="10"/>
        <rFont val="나눔고딕"/>
        <family val="2"/>
      </rPr>
      <t xml:space="preserve">로런스 모로니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박해선 역</t>
    </r>
  </si>
  <si>
    <r>
      <rPr>
        <sz val="10"/>
        <rFont val="Arial"/>
        <family val="0"/>
        <charset val="1"/>
      </rPr>
      <t xml:space="preserve">5</t>
    </r>
    <r>
      <rPr>
        <sz val="10"/>
        <rFont val="나눔고딕"/>
        <family val="2"/>
      </rPr>
      <t xml:space="preserve">분 제미나이</t>
    </r>
  </si>
  <si>
    <t xml:space="preserve">오종현</t>
  </si>
  <si>
    <t xml:space="preserve">지속 가능한 프런트엔드 엔지니어링</t>
  </si>
  <si>
    <t xml:space="preserve">이문기</t>
  </si>
  <si>
    <r>
      <rPr>
        <sz val="10"/>
        <rFont val="나눔고딕"/>
        <family val="2"/>
      </rPr>
      <t xml:space="preserve">한 권으로 끝내는 실전 </t>
    </r>
    <r>
      <rPr>
        <sz val="10"/>
        <rFont val="Arial"/>
        <family val="0"/>
        <charset val="1"/>
      </rPr>
      <t xml:space="preserve">LLM </t>
    </r>
    <r>
      <rPr>
        <sz val="10"/>
        <rFont val="나눔고딕"/>
        <family val="2"/>
      </rPr>
      <t xml:space="preserve">파인튜닝</t>
    </r>
  </si>
  <si>
    <t xml:space="preserve">강다솔</t>
  </si>
  <si>
    <r>
      <rPr>
        <sz val="10"/>
        <rFont val="나눔고딕"/>
        <family val="2"/>
      </rPr>
      <t xml:space="preserve">요즘 교사를 위한 체육 수업 에듀테크 활용법 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</rPr>
      <t xml:space="preserve">요즘 체육 수업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에듀테크로 설계하고 기록되고 성장으로 남는다</t>
    </r>
    <r>
      <rPr>
        <sz val="10"/>
        <rFont val="Arial"/>
        <family val="0"/>
        <charset val="1"/>
      </rPr>
      <t xml:space="preserve">!</t>
    </r>
  </si>
  <si>
    <r>
      <rPr>
        <sz val="10"/>
        <rFont val="나눔고딕"/>
        <family val="2"/>
      </rPr>
      <t xml:space="preserve">임우균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서지원</t>
    </r>
  </si>
  <si>
    <t xml:space="preserve">팔란티어처럼 해체하고 연결하고 장악하라</t>
  </si>
  <si>
    <t xml:space="preserve">정관영</t>
  </si>
  <si>
    <r>
      <rPr>
        <sz val="10"/>
        <rFont val="나눔고딕"/>
        <family val="2"/>
      </rPr>
      <t xml:space="preserve">금융업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플레이북</t>
    </r>
  </si>
  <si>
    <r>
      <rPr>
        <sz val="10"/>
        <rFont val="나눔고딕"/>
        <family val="2"/>
      </rPr>
      <t xml:space="preserve">임태중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김동석</t>
    </r>
  </si>
  <si>
    <t xml:space="preserve">경향비피</t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</si>
  <si>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디자인 활용백과</t>
    </r>
  </si>
  <si>
    <t xml:space="preserve">채시은</t>
  </si>
  <si>
    <t xml:space="preserve">스마트북스</t>
  </si>
  <si>
    <t xml:space="preserve">네이버 블로그 역제안 가이드</t>
  </si>
  <si>
    <r>
      <rPr>
        <sz val="10"/>
        <rFont val="나눔고딕"/>
        <family val="2"/>
      </rPr>
      <t xml:space="preserve">마케터</t>
    </r>
    <r>
      <rPr>
        <sz val="10"/>
        <rFont val="Arial"/>
        <family val="0"/>
        <charset val="1"/>
      </rPr>
      <t xml:space="preserve">C(</t>
    </r>
    <r>
      <rPr>
        <sz val="10"/>
        <rFont val="나눔고딕"/>
        <family val="2"/>
      </rPr>
      <t xml:space="preserve">김명경</t>
    </r>
    <r>
      <rPr>
        <sz val="10"/>
        <rFont val="Arial"/>
        <family val="0"/>
        <charset val="1"/>
      </rPr>
      <t xml:space="preserve">)</t>
    </r>
  </si>
  <si>
    <t xml:space="preserve">마인크래프트 블록 완벽 가이드</t>
  </si>
  <si>
    <r>
      <rPr>
        <sz val="10"/>
        <rFont val="Arial"/>
        <family val="0"/>
        <charset val="1"/>
      </rPr>
      <t xml:space="preserve">Mojang Studio </t>
    </r>
    <r>
      <rPr>
        <sz val="10"/>
        <rFont val="나눔고딕"/>
        <family val="2"/>
      </rPr>
      <t xml:space="preserve">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강세중 역</t>
    </r>
  </si>
  <si>
    <t xml:space="preserve">한 권으로 끝내는 게임 사업 게임 마케팅</t>
  </si>
  <si>
    <t xml:space="preserve">알로하팩토리</t>
  </si>
  <si>
    <r>
      <rPr>
        <sz val="10"/>
        <rFont val="나눔고딕"/>
        <family val="2"/>
      </rPr>
      <t xml:space="preserve">챗</t>
    </r>
    <r>
      <rPr>
        <sz val="10"/>
        <rFont val="Arial"/>
        <family val="0"/>
        <charset val="1"/>
      </rPr>
      <t xml:space="preserve">GPT </t>
    </r>
    <r>
      <rPr>
        <sz val="10"/>
        <rFont val="나눔고딕"/>
        <family val="2"/>
      </rPr>
      <t xml:space="preserve">구구단</t>
    </r>
  </si>
  <si>
    <r>
      <rPr>
        <sz val="10"/>
        <rFont val="나눔고딕"/>
        <family val="2"/>
      </rPr>
      <t xml:space="preserve">유경식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피치타이탄</t>
    </r>
    <r>
      <rPr>
        <sz val="10"/>
        <rFont val="Arial"/>
        <family val="0"/>
        <charset val="1"/>
      </rPr>
      <t xml:space="preserve">)</t>
    </r>
  </si>
  <si>
    <t xml:space="preserve">여의도책방</t>
  </si>
  <si>
    <t xml:space="preserve">한눈에 보이는 코딩 그림책</t>
  </si>
  <si>
    <r>
      <rPr>
        <sz val="10"/>
        <rFont val="나눔고딕"/>
        <family val="2"/>
      </rPr>
      <t xml:space="preserve">한선관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이문주</t>
    </r>
  </si>
  <si>
    <t xml:space="preserve">제로클릭</t>
  </si>
  <si>
    <t xml:space="preserve">손승완</t>
  </si>
  <si>
    <r>
      <rPr>
        <sz val="10"/>
        <rFont val="나눔고딕"/>
        <family val="2"/>
      </rPr>
      <t xml:space="preserve">포토샵</t>
    </r>
    <r>
      <rPr>
        <sz val="10"/>
        <rFont val="Arial"/>
        <family val="0"/>
        <charset val="1"/>
      </rPr>
      <t xml:space="preserve">+</t>
    </r>
    <r>
      <rPr>
        <sz val="10"/>
        <rFont val="나눔고딕"/>
        <family val="2"/>
      </rPr>
      <t xml:space="preserve">일러스트레이터 </t>
    </r>
    <r>
      <rPr>
        <sz val="10"/>
        <rFont val="Arial"/>
        <family val="0"/>
        <charset val="1"/>
      </rPr>
      <t xml:space="preserve">CC 2026 </t>
    </r>
    <r>
      <rPr>
        <sz val="10"/>
        <rFont val="나눔고딕"/>
        <family val="2"/>
      </rPr>
      <t xml:space="preserve">무작정 따라하기</t>
    </r>
  </si>
  <si>
    <r>
      <rPr>
        <sz val="10"/>
        <rFont val="나눔고딕"/>
        <family val="2"/>
      </rPr>
      <t xml:space="preserve">문수민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민지영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앤미디어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전은재</t>
    </r>
  </si>
  <si>
    <r>
      <rPr>
        <sz val="10"/>
        <rFont val="나눔고딕"/>
        <family val="2"/>
      </rPr>
      <t xml:space="preserve">된다</t>
    </r>
    <r>
      <rPr>
        <sz val="10"/>
        <rFont val="Arial"/>
        <family val="0"/>
        <charset val="1"/>
      </rPr>
      <t xml:space="preserve">! </t>
    </r>
    <r>
      <rPr>
        <sz val="10"/>
        <rFont val="나눔고딕"/>
        <family val="2"/>
      </rPr>
      <t xml:space="preserve">네이버 스마트플레이스</t>
    </r>
  </si>
  <si>
    <t xml:space="preserve">고수진</t>
  </si>
  <si>
    <r>
      <rPr>
        <sz val="10"/>
        <rFont val="나눔고딕"/>
        <family val="2"/>
      </rPr>
      <t xml:space="preserve">프롬프트를 만드는 프롬프트 </t>
    </r>
    <r>
      <rPr>
        <sz val="10"/>
        <rFont val="Arial"/>
        <family val="0"/>
        <charset val="1"/>
      </rPr>
      <t xml:space="preserve">GPTs &amp; Gems</t>
    </r>
  </si>
  <si>
    <r>
      <rPr>
        <sz val="10"/>
        <rFont val="나눔고딕"/>
        <family val="2"/>
      </rPr>
      <t xml:space="preserve">민진홍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국난아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김진수</t>
    </r>
  </si>
  <si>
    <r>
      <rPr>
        <sz val="10"/>
        <rFont val="나눔고딕"/>
        <family val="2"/>
      </rPr>
      <t xml:space="preserve">수노로 시작하는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작곡</t>
    </r>
  </si>
  <si>
    <r>
      <rPr>
        <sz val="10"/>
        <rFont val="나눔고딕"/>
        <family val="2"/>
      </rPr>
      <t xml:space="preserve">강성우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한나래</t>
    </r>
  </si>
  <si>
    <r>
      <rPr>
        <sz val="10"/>
        <rFont val="나눔고딕"/>
        <family val="2"/>
      </rPr>
      <t xml:space="preserve">올라마와 오픈소스 </t>
    </r>
    <r>
      <rPr>
        <sz val="10"/>
        <rFont val="Arial"/>
        <family val="0"/>
        <charset val="1"/>
      </rPr>
      <t xml:space="preserve">LLM</t>
    </r>
    <r>
      <rPr>
        <sz val="10"/>
        <rFont val="나눔고딕"/>
        <family val="2"/>
      </rPr>
      <t xml:space="preserve">을 활용한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에이전트 개발 입문</t>
    </r>
  </si>
  <si>
    <r>
      <rPr>
        <sz val="10"/>
        <rFont val="나눔고딕"/>
        <family val="2"/>
      </rPr>
      <t xml:space="preserve">서영배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김병규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임재봉</t>
    </r>
  </si>
  <si>
    <r>
      <rPr>
        <sz val="10"/>
        <rFont val="나눔고딕"/>
        <family val="2"/>
      </rPr>
      <t xml:space="preserve">컴퓨팅 사고와 정보과학 </t>
    </r>
    <r>
      <rPr>
        <sz val="10"/>
        <rFont val="Arial"/>
        <family val="0"/>
        <charset val="1"/>
      </rPr>
      <t xml:space="preserve">: 2025</t>
    </r>
    <r>
      <rPr>
        <sz val="10"/>
        <rFont val="나눔고딕"/>
        <family val="2"/>
      </rPr>
      <t xml:space="preserve">년도 기출문제집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중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고등학생용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</si>
  <si>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한국비버챌린지 </t>
    </r>
    <r>
      <rPr>
        <sz val="10"/>
        <rFont val="Arial"/>
        <family val="0"/>
        <charset val="1"/>
      </rPr>
      <t xml:space="preserve">(Bebras Korea)</t>
    </r>
  </si>
  <si>
    <r>
      <rPr>
        <sz val="10"/>
        <rFont val="나눔고딕"/>
        <family val="2"/>
      </rPr>
      <t xml:space="preserve">어쨌든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바이브 코딩</t>
    </r>
  </si>
  <si>
    <r>
      <rPr>
        <sz val="10"/>
        <rFont val="나눔고딕"/>
        <family val="2"/>
      </rPr>
      <t xml:space="preserve">요즘 바이브 코딩 </t>
    </r>
    <r>
      <rPr>
        <sz val="10"/>
        <rFont val="Arial"/>
        <family val="0"/>
        <charset val="1"/>
      </rPr>
      <t xml:space="preserve">v0 + </t>
    </r>
    <r>
      <rPr>
        <sz val="10"/>
        <rFont val="나눔고딕"/>
        <family val="2"/>
      </rPr>
      <t xml:space="preserve">커서 입문 </t>
    </r>
    <r>
      <rPr>
        <sz val="10"/>
        <rFont val="Arial"/>
        <family val="0"/>
        <charset val="1"/>
      </rPr>
      <t xml:space="preserve">PRD </t>
    </r>
    <r>
      <rPr>
        <sz val="10"/>
        <rFont val="나눔고딕"/>
        <family val="2"/>
      </rPr>
      <t xml:space="preserve">기획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개발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배포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일주일 완성</t>
    </r>
  </si>
  <si>
    <t xml:space="preserve">김동학</t>
  </si>
  <si>
    <r>
      <rPr>
        <sz val="10"/>
        <rFont val="Arial"/>
        <family val="0"/>
        <charset val="1"/>
      </rPr>
      <t xml:space="preserve">Google</t>
    </r>
    <r>
      <rPr>
        <sz val="10"/>
        <rFont val="나눔고딕"/>
        <family val="2"/>
      </rPr>
      <t xml:space="preserve">로 수업을 바꾸는 교사들의 시크릿</t>
    </r>
  </si>
  <si>
    <r>
      <rPr>
        <sz val="10"/>
        <rFont val="나눔고딕"/>
        <family val="2"/>
      </rPr>
      <t xml:space="preserve">정진아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권재범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김학민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박빛나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박오종 저 외 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명 정보 더 보기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감추기 정진아 권재범 김학민 박빛나 박오종 심하루 강경욱</t>
    </r>
  </si>
  <si>
    <t xml:space="preserve">교사크리에이터협회</t>
  </si>
  <si>
    <r>
      <rPr>
        <sz val="10"/>
        <rFont val="Arial"/>
        <family val="0"/>
        <charset val="1"/>
      </rPr>
      <t xml:space="preserve">[</t>
    </r>
    <r>
      <rPr>
        <sz val="10"/>
        <rFont val="나눔고딕"/>
        <family val="2"/>
      </rPr>
      <t xml:space="preserve">할 수 있다</t>
    </r>
    <r>
      <rPr>
        <sz val="10"/>
        <rFont val="Arial"/>
        <family val="0"/>
        <charset val="1"/>
      </rPr>
      <t xml:space="preserve">!] </t>
    </r>
    <r>
      <rPr>
        <sz val="10"/>
        <rFont val="나눔고딕"/>
        <family val="2"/>
      </rPr>
      <t xml:space="preserve">엑셀 </t>
    </r>
    <r>
      <rPr>
        <sz val="10"/>
        <rFont val="Arial"/>
        <family val="0"/>
        <charset val="1"/>
      </rPr>
      <t xml:space="preserve">2021 </t>
    </r>
    <r>
      <rPr>
        <sz val="10"/>
        <rFont val="나눔고딕"/>
        <family val="2"/>
      </rPr>
      <t xml:space="preserve">활용</t>
    </r>
  </si>
  <si>
    <t xml:space="preserve">장경숙</t>
  </si>
  <si>
    <r>
      <rPr>
        <sz val="10"/>
        <rFont val="나눔고딕"/>
        <family val="2"/>
      </rPr>
      <t xml:space="preserve">유니티를 활용한 </t>
    </r>
    <r>
      <rPr>
        <sz val="10"/>
        <rFont val="Arial"/>
        <family val="0"/>
        <charset val="1"/>
      </rPr>
      <t xml:space="preserve">RPG </t>
    </r>
    <r>
      <rPr>
        <sz val="10"/>
        <rFont val="나눔고딕"/>
        <family val="2"/>
      </rPr>
      <t xml:space="preserve">게임 개발</t>
    </r>
  </si>
  <si>
    <t xml:space="preserve">장세윤</t>
  </si>
  <si>
    <r>
      <rPr>
        <sz val="10"/>
        <rFont val="나눔고딕"/>
        <family val="2"/>
      </rPr>
      <t xml:space="preserve">회사에서 바로 통하는 파워포인트 </t>
    </r>
    <r>
      <rPr>
        <sz val="10"/>
        <rFont val="Arial"/>
        <family val="0"/>
        <charset val="1"/>
      </rPr>
      <t xml:space="preserve">FOR STARTERS</t>
    </r>
  </si>
  <si>
    <t xml:space="preserve">이화진</t>
  </si>
  <si>
    <r>
      <rPr>
        <sz val="10"/>
        <rFont val="나눔고딕"/>
        <family val="2"/>
      </rPr>
      <t xml:space="preserve">그로스 해킹 </t>
    </r>
    <r>
      <rPr>
        <sz val="10"/>
        <rFont val="Arial"/>
        <family val="0"/>
        <charset val="1"/>
      </rPr>
      <t xml:space="preserve">(10</t>
    </r>
    <r>
      <rPr>
        <sz val="10"/>
        <rFont val="나눔고딕"/>
        <family val="2"/>
      </rPr>
      <t xml:space="preserve">주년 기념 증보판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</si>
  <si>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라이언 홀리데이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고영혁 역</t>
    </r>
  </si>
  <si>
    <r>
      <rPr>
        <sz val="10"/>
        <rFont val="나눔고딕"/>
        <family val="2"/>
      </rPr>
      <t xml:space="preserve">키득키득 반반한 </t>
    </r>
    <r>
      <rPr>
        <sz val="10"/>
        <rFont val="Arial"/>
        <family val="0"/>
        <charset val="1"/>
      </rPr>
      <t xml:space="preserve">OA </t>
    </r>
    <r>
      <rPr>
        <sz val="10"/>
        <rFont val="나눔고딕"/>
        <family val="2"/>
      </rPr>
      <t xml:space="preserve">파워포인트</t>
    </r>
    <r>
      <rPr>
        <sz val="10"/>
        <rFont val="Arial"/>
        <family val="0"/>
        <charset val="1"/>
      </rPr>
      <t xml:space="preserve">&amp;</t>
    </r>
    <r>
      <rPr>
        <sz val="10"/>
        <rFont val="나눔고딕"/>
        <family val="2"/>
      </rPr>
      <t xml:space="preserve">한글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인터넷</t>
    </r>
    <r>
      <rPr>
        <sz val="10"/>
        <rFont val="Arial"/>
        <family val="0"/>
        <charset val="1"/>
      </rPr>
      <t xml:space="preserve">+AI</t>
    </r>
  </si>
  <si>
    <t xml:space="preserve">멘토시리즈 일러스트레이터</t>
  </si>
  <si>
    <r>
      <rPr>
        <sz val="10"/>
        <rFont val="Arial"/>
        <family val="0"/>
        <charset val="1"/>
      </rPr>
      <t xml:space="preserve">2026 AI 100 </t>
    </r>
    <r>
      <rPr>
        <sz val="10"/>
        <rFont val="나눔고딕"/>
        <family val="2"/>
      </rPr>
      <t xml:space="preserve">생존 전략 트렌드 쉴드</t>
    </r>
    <r>
      <rPr>
        <sz val="10"/>
        <rFont val="Arial"/>
        <family val="0"/>
        <charset val="1"/>
      </rPr>
      <t xml:space="preserve">(SHIELD)</t>
    </r>
  </si>
  <si>
    <r>
      <rPr>
        <sz val="10"/>
        <rFont val="나눔고딕"/>
        <family val="2"/>
      </rPr>
      <t xml:space="preserve">김미희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박명순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오세현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이경준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정원치 저 외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명 정보 더 보기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감추기 김미희 박명순 오세현 이경준 정원치 허정필</t>
    </r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</si>
  <si>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초강국의 조건</t>
    </r>
  </si>
  <si>
    <t xml:space="preserve">최윤식</t>
  </si>
  <si>
    <t xml:space="preserve">위즈덤하우스</t>
  </si>
  <si>
    <r>
      <rPr>
        <sz val="10"/>
        <rFont val="나눔고딕"/>
        <family val="2"/>
      </rPr>
      <t xml:space="preserve">회사에서 바로 통하는 엑셀 </t>
    </r>
    <r>
      <rPr>
        <sz val="10"/>
        <rFont val="Arial"/>
        <family val="0"/>
        <charset val="1"/>
      </rPr>
      <t xml:space="preserve">FOR STARTERS</t>
    </r>
  </si>
  <si>
    <t xml:space="preserve">전미진</t>
  </si>
  <si>
    <r>
      <rPr>
        <sz val="10"/>
        <rFont val="나눔고딕"/>
        <family val="2"/>
      </rPr>
      <t xml:space="preserve">리액트</t>
    </r>
    <r>
      <rPr>
        <sz val="10"/>
        <rFont val="Arial"/>
        <family val="0"/>
        <charset val="1"/>
      </rPr>
      <t xml:space="preserve">, Next.js</t>
    </r>
    <r>
      <rPr>
        <sz val="10"/>
        <rFont val="나눔고딕"/>
        <family val="2"/>
      </rPr>
      <t xml:space="preserve">로 완성하는 프론트엔드</t>
    </r>
  </si>
  <si>
    <t xml:space="preserve">강경석</t>
  </si>
  <si>
    <t xml:space="preserve">프롬프트 엔지니어링</t>
  </si>
  <si>
    <t xml:space="preserve">요즘 개발자를 위한 시스템 설계 수업</t>
  </si>
  <si>
    <r>
      <rPr>
        <sz val="10"/>
        <rFont val="나눔고딕"/>
        <family val="2"/>
      </rPr>
      <t xml:space="preserve">디렌드라 신하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테자스 초프라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양문규 역</t>
    </r>
  </si>
  <si>
    <t xml:space="preserve">크리핵티브의 한 권으로 끝내는 웹 해킹 바이블</t>
  </si>
  <si>
    <r>
      <rPr>
        <sz val="10"/>
        <rFont val="나눔고딕"/>
        <family val="2"/>
      </rPr>
      <t xml:space="preserve">하동민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크리핵티브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</si>
  <si>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블렌더 </t>
    </r>
    <r>
      <rPr>
        <sz val="10"/>
        <rFont val="Arial"/>
        <family val="0"/>
        <charset val="1"/>
      </rPr>
      <t xml:space="preserve">3D CG </t>
    </r>
    <r>
      <rPr>
        <sz val="10"/>
        <rFont val="나눔고딕"/>
        <family val="2"/>
      </rPr>
      <t xml:space="preserve">애니메이션 실전 입문</t>
    </r>
  </si>
  <si>
    <t xml:space="preserve">밑바닥부터 시작하는 웹 브라우저</t>
  </si>
  <si>
    <r>
      <rPr>
        <sz val="10"/>
        <rFont val="나눔고딕"/>
        <family val="2"/>
      </rPr>
      <t xml:space="preserve">파벨 판체카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크리스 해럴슨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이형욱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최병운 역</t>
    </r>
  </si>
  <si>
    <r>
      <rPr>
        <sz val="10"/>
        <rFont val="나눔고딕"/>
        <family val="2"/>
      </rPr>
      <t xml:space="preserve">기본 이론에서 실무 예제까지</t>
    </r>
    <r>
      <rPr>
        <sz val="10"/>
        <rFont val="Arial"/>
        <family val="0"/>
        <charset val="1"/>
      </rPr>
      <t xml:space="preserve">, HANA </t>
    </r>
    <r>
      <rPr>
        <sz val="10"/>
        <rFont val="나눔고딕"/>
        <family val="2"/>
      </rPr>
      <t xml:space="preserve">기반 </t>
    </r>
    <r>
      <rPr>
        <sz val="10"/>
        <rFont val="Arial"/>
        <family val="0"/>
        <charset val="1"/>
      </rPr>
      <t xml:space="preserve">Easy ABAP 3.0</t>
    </r>
  </si>
  <si>
    <r>
      <rPr>
        <sz val="10"/>
        <rFont val="나눔고딕"/>
        <family val="2"/>
      </rPr>
      <t xml:space="preserve">김성준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박재형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임재원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한익환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장성일</t>
    </r>
  </si>
  <si>
    <r>
      <rPr>
        <sz val="10"/>
        <rFont val="Arial"/>
        <family val="0"/>
        <charset val="1"/>
      </rPr>
      <t xml:space="preserve">LLM </t>
    </r>
    <r>
      <rPr>
        <sz val="10"/>
        <rFont val="나눔고딕"/>
        <family val="2"/>
      </rPr>
      <t xml:space="preserve">프롬프트 활용 교과서</t>
    </r>
  </si>
  <si>
    <r>
      <rPr>
        <sz val="10"/>
        <rFont val="나눔고딕"/>
        <family val="2"/>
      </rPr>
      <t xml:space="preserve">쿠지라 히코즈쿠에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김성훈 역</t>
    </r>
  </si>
  <si>
    <r>
      <rPr>
        <sz val="10"/>
        <rFont val="나눔고딕"/>
        <family val="2"/>
      </rPr>
      <t xml:space="preserve">기술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가정 교사가 만든 기술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가정 교사를 위한 찐 실전 챗</t>
    </r>
    <r>
      <rPr>
        <sz val="10"/>
        <rFont val="Arial"/>
        <family val="0"/>
        <charset val="1"/>
      </rPr>
      <t xml:space="preserve">GPT (</t>
    </r>
    <r>
      <rPr>
        <sz val="10"/>
        <rFont val="나눔고딕"/>
        <family val="2"/>
      </rPr>
      <t xml:space="preserve">생성형 </t>
    </r>
    <r>
      <rPr>
        <sz val="10"/>
        <rFont val="Arial"/>
        <family val="0"/>
        <charset val="1"/>
      </rPr>
      <t xml:space="preserve">AI (</t>
    </r>
    <r>
      <rPr>
        <sz val="10"/>
        <rFont val="나눔고딕"/>
        <family val="2"/>
      </rPr>
      <t xml:space="preserve">에듀테크</t>
    </r>
    <r>
      <rPr>
        <sz val="10"/>
        <rFont val="Arial"/>
        <family val="0"/>
        <charset val="1"/>
      </rPr>
      <t xml:space="preserve">) </t>
    </r>
    <r>
      <rPr>
        <sz val="10"/>
        <rFont val="나눔고딕"/>
        <family val="2"/>
      </rPr>
      <t xml:space="preserve">기술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가정 수업 활용하기</t>
    </r>
    <r>
      <rPr>
        <sz val="10"/>
        <rFont val="Arial"/>
        <family val="0"/>
        <charset val="1"/>
      </rPr>
      <t xml:space="preserve">!)</t>
    </r>
  </si>
  <si>
    <r>
      <rPr>
        <sz val="10"/>
        <rFont val="나눔고딕"/>
        <family val="2"/>
      </rPr>
      <t xml:space="preserve">봉우리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이호준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윤지원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김보정</t>
    </r>
  </si>
  <si>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가 바꾸는 일터의 미래</t>
    </r>
  </si>
  <si>
    <t xml:space="preserve">김성준</t>
  </si>
  <si>
    <t xml:space="preserve">포르체</t>
  </si>
  <si>
    <r>
      <rPr>
        <sz val="10"/>
        <rFont val="나눔고딕"/>
        <family val="2"/>
      </rPr>
      <t xml:space="preserve">요즘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에이전트 개발</t>
    </r>
    <r>
      <rPr>
        <sz val="10"/>
        <rFont val="Arial"/>
        <family val="0"/>
        <charset val="1"/>
      </rPr>
      <t xml:space="preserve">, LLM RAG ADK MCP LangChain A2A LangGraph</t>
    </r>
  </si>
  <si>
    <t xml:space="preserve">박승규</t>
  </si>
  <si>
    <t xml:space="preserve">쉽게 배우는 운영체제</t>
  </si>
  <si>
    <t xml:space="preserve">조성호</t>
  </si>
  <si>
    <r>
      <rPr>
        <sz val="10"/>
        <rFont val="나눔고딕"/>
        <family val="2"/>
      </rPr>
      <t xml:space="preserve">모두의 인공지능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파이썬</t>
    </r>
  </si>
  <si>
    <t xml:space="preserve">이영호</t>
  </si>
  <si>
    <r>
      <rPr>
        <sz val="10"/>
        <rFont val="나눔고딕"/>
        <family val="2"/>
      </rPr>
      <t xml:space="preserve">디자인 트렌드 아카이브 포토샵 </t>
    </r>
    <r>
      <rPr>
        <sz val="10"/>
        <rFont val="Arial"/>
        <family val="0"/>
        <charset val="1"/>
      </rPr>
      <t xml:space="preserve">&amp; </t>
    </r>
    <r>
      <rPr>
        <sz val="10"/>
        <rFont val="나눔고딕"/>
        <family val="2"/>
      </rPr>
      <t xml:space="preserve">일러스트레이터</t>
    </r>
  </si>
  <si>
    <t xml:space="preserve">노션 템플릿 상점</t>
  </si>
  <si>
    <r>
      <rPr>
        <sz val="10"/>
        <rFont val="Arial"/>
        <family val="0"/>
        <charset val="1"/>
      </rPr>
      <t xml:space="preserve">Rei </t>
    </r>
    <r>
      <rPr>
        <sz val="10"/>
        <rFont val="나눔고딕"/>
        <family val="2"/>
      </rPr>
      <t xml:space="preserve">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노슈니 감수</t>
    </r>
  </si>
  <si>
    <t xml:space="preserve">따라 하며 배우는 유니티 게임 개발</t>
  </si>
  <si>
    <r>
      <rPr>
        <sz val="10"/>
        <rFont val="나눔고딕"/>
        <family val="2"/>
      </rPr>
      <t xml:space="preserve">아라카와 다쿠야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아사노 유이치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윤준 역</t>
    </r>
  </si>
  <si>
    <r>
      <rPr>
        <sz val="10"/>
        <rFont val="나눔고딕"/>
        <family val="2"/>
      </rPr>
      <t xml:space="preserve">시작하세요</t>
    </r>
    <r>
      <rPr>
        <sz val="10"/>
        <rFont val="Arial"/>
        <family val="0"/>
        <charset val="1"/>
      </rPr>
      <t xml:space="preserve">! </t>
    </r>
    <r>
      <rPr>
        <sz val="10"/>
        <rFont val="나눔고딕"/>
        <family val="2"/>
      </rPr>
      <t xml:space="preserve">도커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쿠버네티스</t>
    </r>
  </si>
  <si>
    <t xml:space="preserve">용찬호</t>
  </si>
  <si>
    <r>
      <rPr>
        <sz val="10"/>
        <rFont val="Arial"/>
        <family val="0"/>
        <charset val="1"/>
      </rPr>
      <t xml:space="preserve">Java</t>
    </r>
    <r>
      <rPr>
        <sz val="10"/>
        <rFont val="나눔고딕"/>
        <family val="2"/>
      </rPr>
      <t xml:space="preserve">의 정석</t>
    </r>
  </si>
  <si>
    <t xml:space="preserve">남궁성</t>
  </si>
  <si>
    <t xml:space="preserve">도우출판</t>
  </si>
  <si>
    <r>
      <rPr>
        <sz val="10"/>
        <rFont val="나눔고딕"/>
        <family val="2"/>
      </rPr>
      <t xml:space="preserve">버려지는 디자인 통과되는 디자인 </t>
    </r>
    <r>
      <rPr>
        <sz val="10"/>
        <rFont val="Arial"/>
        <family val="0"/>
        <charset val="1"/>
      </rPr>
      <t xml:space="preserve">- </t>
    </r>
    <r>
      <rPr>
        <sz val="10"/>
        <rFont val="나눔고딕"/>
        <family val="2"/>
      </rPr>
      <t xml:space="preserve">편집 디자인</t>
    </r>
  </si>
  <si>
    <r>
      <rPr>
        <sz val="10"/>
        <rFont val="나눔고딕"/>
        <family val="2"/>
      </rPr>
      <t xml:space="preserve">이미정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유은진</t>
    </r>
  </si>
  <si>
    <r>
      <rPr>
        <sz val="10"/>
        <rFont val="Arial"/>
        <family val="0"/>
        <charset val="1"/>
      </rPr>
      <t xml:space="preserve">Do it! </t>
    </r>
    <r>
      <rPr>
        <sz val="10"/>
        <rFont val="나눔고딕"/>
        <family val="2"/>
      </rPr>
      <t xml:space="preserve">플러터 앱 개발</t>
    </r>
    <r>
      <rPr>
        <sz val="10"/>
        <rFont val="Arial"/>
        <family val="0"/>
        <charset val="1"/>
      </rPr>
      <t xml:space="preserve">&amp;</t>
    </r>
    <r>
      <rPr>
        <sz val="10"/>
        <rFont val="나눔고딕"/>
        <family val="2"/>
      </rPr>
      <t xml:space="preserve">출시하기</t>
    </r>
  </si>
  <si>
    <r>
      <rPr>
        <sz val="10"/>
        <rFont val="나눔고딕"/>
        <family val="2"/>
      </rPr>
      <t xml:space="preserve">이것이 스프링 부트다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자바</t>
    </r>
  </si>
  <si>
    <t xml:space="preserve">김희선</t>
  </si>
  <si>
    <r>
      <rPr>
        <sz val="10"/>
        <rFont val="나눔고딕"/>
        <family val="2"/>
      </rPr>
      <t xml:space="preserve">생성형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활용 백과사전</t>
    </r>
  </si>
  <si>
    <r>
      <rPr>
        <sz val="10"/>
        <rFont val="나눔고딕"/>
        <family val="2"/>
      </rPr>
      <t xml:space="preserve">다쿠치 카즈히로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모리시마 료코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이시타니 마사키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서수환 역</t>
    </r>
  </si>
  <si>
    <t xml:space="preserve">픽셀 아트 마스터 컬렉션</t>
  </si>
  <si>
    <r>
      <rPr>
        <sz val="10"/>
        <rFont val="Arial"/>
        <family val="0"/>
        <charset val="1"/>
      </rPr>
      <t xml:space="preserve">ZiMA, </t>
    </r>
    <r>
      <rPr>
        <sz val="10"/>
        <rFont val="나눔고딕"/>
        <family val="2"/>
      </rPr>
      <t xml:space="preserve">나나미 유키</t>
    </r>
    <r>
      <rPr>
        <sz val="10"/>
        <rFont val="Arial"/>
        <family val="0"/>
        <charset val="1"/>
      </rPr>
      <t xml:space="preserve">, asaha, </t>
    </r>
    <r>
      <rPr>
        <sz val="10"/>
        <rFont val="나눔고딕"/>
        <family val="2"/>
      </rPr>
      <t xml:space="preserve">아히루 히츠지</t>
    </r>
    <r>
      <rPr>
        <sz val="10"/>
        <rFont val="Arial"/>
        <family val="0"/>
        <charset val="1"/>
      </rPr>
      <t xml:space="preserve">, Zennyan </t>
    </r>
    <r>
      <rPr>
        <sz val="10"/>
        <rFont val="나눔고딕"/>
        <family val="2"/>
      </rPr>
      <t xml:space="preserve">저 외 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명 정보 더 보기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감추기 </t>
    </r>
    <r>
      <rPr>
        <sz val="10"/>
        <rFont val="Arial"/>
        <family val="0"/>
        <charset val="1"/>
      </rPr>
      <t xml:space="preserve">ZiMA </t>
    </r>
    <r>
      <rPr>
        <sz val="10"/>
        <rFont val="나눔고딕"/>
        <family val="2"/>
      </rPr>
      <t xml:space="preserve">나나미 유키 </t>
    </r>
    <r>
      <rPr>
        <sz val="10"/>
        <rFont val="Arial"/>
        <family val="0"/>
        <charset val="1"/>
      </rPr>
      <t xml:space="preserve">asaha </t>
    </r>
    <r>
      <rPr>
        <sz val="10"/>
        <rFont val="나눔고딕"/>
        <family val="2"/>
      </rPr>
      <t xml:space="preserve">아히루 히츠지 </t>
    </r>
    <r>
      <rPr>
        <sz val="10"/>
        <rFont val="Arial"/>
        <family val="0"/>
        <charset val="1"/>
      </rPr>
      <t xml:space="preserve">Zennyan m7kenji </t>
    </r>
    <r>
      <rPr>
        <sz val="10"/>
        <rFont val="나눔고딕"/>
        <family val="2"/>
      </rPr>
      <t xml:space="preserve">송지연</t>
    </r>
  </si>
  <si>
    <r>
      <rPr>
        <sz val="10"/>
        <rFont val="나눔고딕"/>
        <family val="2"/>
      </rPr>
      <t xml:space="preserve">선생님을 위한 교육용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챗봇 활용법</t>
    </r>
  </si>
  <si>
    <r>
      <rPr>
        <sz val="10"/>
        <rFont val="나눔고딕"/>
        <family val="2"/>
      </rPr>
      <t xml:space="preserve">임세범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박지은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나희정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조정연</t>
    </r>
  </si>
  <si>
    <r>
      <rPr>
        <sz val="10"/>
        <rFont val="Arial"/>
        <family val="0"/>
        <charset val="1"/>
      </rPr>
      <t xml:space="preserve">AX 100</t>
    </r>
    <r>
      <rPr>
        <sz val="10"/>
        <rFont val="나눔고딕"/>
        <family val="2"/>
      </rPr>
      <t xml:space="preserve">배의 법칙</t>
    </r>
  </si>
  <si>
    <t xml:space="preserve">황재선</t>
  </si>
  <si>
    <t xml:space="preserve">좋은습관연구소</t>
  </si>
  <si>
    <t xml:space="preserve">코딩 자율학습 컴퓨터 구조와 운영체제</t>
  </si>
  <si>
    <t xml:space="preserve">기술노트 알렉</t>
  </si>
  <si>
    <r>
      <rPr>
        <sz val="10"/>
        <rFont val="나눔고딕"/>
        <family val="2"/>
      </rPr>
      <t xml:space="preserve">조코딩의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비트코인 자동 매매 시스템 만들기</t>
    </r>
  </si>
  <si>
    <r>
      <rPr>
        <sz val="10"/>
        <rFont val="나눔고딕"/>
        <family val="2"/>
      </rPr>
      <t xml:space="preserve">네이버 블로그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자동화 마케팅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챗</t>
    </r>
    <r>
      <rPr>
        <sz val="10"/>
        <rFont val="Arial"/>
        <family val="0"/>
        <charset val="1"/>
      </rPr>
      <t xml:space="preserve">GPT+Zapier+Make</t>
    </r>
  </si>
  <si>
    <r>
      <rPr>
        <sz val="10"/>
        <rFont val="나눔고딕"/>
        <family val="2"/>
      </rPr>
      <t xml:space="preserve">예제로 배우는 </t>
    </r>
    <r>
      <rPr>
        <sz val="10"/>
        <rFont val="Arial"/>
        <family val="0"/>
        <charset val="1"/>
      </rPr>
      <t xml:space="preserve">C++ STL</t>
    </r>
  </si>
  <si>
    <r>
      <rPr>
        <sz val="10"/>
        <rFont val="나눔고딕"/>
        <family val="2"/>
      </rPr>
      <t xml:space="preserve">빌 와인먼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유동환 역</t>
    </r>
  </si>
  <si>
    <r>
      <rPr>
        <sz val="10"/>
        <rFont val="나눔고딕"/>
        <family val="2"/>
      </rPr>
      <t xml:space="preserve">할 수 있다</t>
    </r>
    <r>
      <rPr>
        <sz val="10"/>
        <rFont val="Arial"/>
        <family val="0"/>
        <charset val="1"/>
      </rPr>
      <t xml:space="preserve">! </t>
    </r>
    <r>
      <rPr>
        <sz val="10"/>
        <rFont val="나눔고딕"/>
        <family val="2"/>
      </rPr>
      <t xml:space="preserve">엑셀 </t>
    </r>
    <r>
      <rPr>
        <sz val="10"/>
        <rFont val="Arial"/>
        <family val="0"/>
        <charset val="1"/>
      </rPr>
      <t xml:space="preserve">2021 </t>
    </r>
    <r>
      <rPr>
        <sz val="10"/>
        <rFont val="나눔고딕"/>
        <family val="2"/>
      </rPr>
      <t xml:space="preserve">기초</t>
    </r>
  </si>
  <si>
    <t xml:space="preserve">아두이노로 만드는 스마트 자동차</t>
  </si>
  <si>
    <t xml:space="preserve">장문철</t>
  </si>
  <si>
    <t xml:space="preserve">먼슬리북스</t>
  </si>
  <si>
    <r>
      <rPr>
        <sz val="10"/>
        <rFont val="나눔고딕"/>
        <family val="2"/>
      </rPr>
      <t xml:space="preserve">교사를 위한 생성형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활용 수업</t>
    </r>
  </si>
  <si>
    <t xml:space="preserve">김종혜</t>
  </si>
  <si>
    <r>
      <rPr>
        <sz val="10"/>
        <rFont val="나눔고딕"/>
        <family val="2"/>
      </rPr>
      <t xml:space="preserve">이토록 쉬운 </t>
    </r>
    <r>
      <rPr>
        <sz val="10"/>
        <rFont val="Arial"/>
        <family val="0"/>
        <charset val="1"/>
      </rPr>
      <t xml:space="preserve">IT </t>
    </r>
    <r>
      <rPr>
        <sz val="10"/>
        <rFont val="나눔고딕"/>
        <family val="2"/>
      </rPr>
      <t xml:space="preserve">인프라 기초</t>
    </r>
  </si>
  <si>
    <t xml:space="preserve">장두환</t>
  </si>
  <si>
    <t xml:space="preserve">루비페이퍼</t>
  </si>
  <si>
    <r>
      <rPr>
        <sz val="10"/>
        <rFont val="Arial"/>
        <family val="0"/>
        <charset val="1"/>
      </rPr>
      <t xml:space="preserve">50</t>
    </r>
    <r>
      <rPr>
        <sz val="10"/>
        <rFont val="나눔고딕"/>
        <family val="2"/>
      </rPr>
      <t xml:space="preserve">개의 프로젝트로 완성하는 파이썬 업무 자동화</t>
    </r>
  </si>
  <si>
    <r>
      <rPr>
        <sz val="10"/>
        <rFont val="나눔고딕"/>
        <family val="2"/>
      </rPr>
      <t xml:space="preserve">한 권으로 끝내는 아두이노 입문</t>
    </r>
    <r>
      <rPr>
        <sz val="10"/>
        <rFont val="Arial"/>
        <family val="0"/>
        <charset val="1"/>
      </rPr>
      <t xml:space="preserve">+</t>
    </r>
    <r>
      <rPr>
        <sz val="10"/>
        <rFont val="나눔고딕"/>
        <family val="2"/>
      </rPr>
      <t xml:space="preserve">실전 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종합편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</si>
  <si>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서민우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코코랩스</t>
    </r>
  </si>
  <si>
    <r>
      <rPr>
        <sz val="10"/>
        <rFont val="나눔고딕"/>
        <family val="2"/>
      </rPr>
      <t xml:space="preserve">선생님을 위한 </t>
    </r>
    <r>
      <rPr>
        <sz val="10"/>
        <rFont val="Arial"/>
        <family val="0"/>
        <charset val="1"/>
      </rPr>
      <t xml:space="preserve">8282 </t>
    </r>
    <r>
      <rPr>
        <sz val="10"/>
        <rFont val="나눔고딕"/>
        <family val="2"/>
      </rPr>
      <t xml:space="preserve">업무 자동화 </t>
    </r>
    <r>
      <rPr>
        <sz val="10"/>
        <rFont val="Arial"/>
        <family val="0"/>
        <charset val="1"/>
      </rPr>
      <t xml:space="preserve">with AI+</t>
    </r>
    <r>
      <rPr>
        <sz val="10"/>
        <rFont val="나눔고딕"/>
        <family val="2"/>
      </rPr>
      <t xml:space="preserve">파이썬</t>
    </r>
    <r>
      <rPr>
        <sz val="10"/>
        <rFont val="Arial"/>
        <family val="0"/>
        <charset val="1"/>
      </rPr>
      <t xml:space="preserve">+</t>
    </r>
    <r>
      <rPr>
        <sz val="10"/>
        <rFont val="나눔고딕"/>
        <family val="2"/>
      </rPr>
      <t xml:space="preserve">노코드</t>
    </r>
  </si>
  <si>
    <r>
      <rPr>
        <sz val="10"/>
        <rFont val="나눔고딕"/>
        <family val="2"/>
      </rPr>
      <t xml:space="preserve">강우혁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김송희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서승희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송석리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한솔 저 외 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명 정보 더 보기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감추기 강우혁 김송희 서승희 송석리 한솔 한준구 황수빈</t>
    </r>
  </si>
  <si>
    <r>
      <rPr>
        <sz val="10"/>
        <rFont val="나눔고딕"/>
        <family val="2"/>
      </rPr>
      <t xml:space="preserve">숏폼 영상 편집 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일 만에 마스터하기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캡컷</t>
    </r>
    <r>
      <rPr>
        <sz val="10"/>
        <rFont val="Arial"/>
        <family val="0"/>
        <charset val="1"/>
      </rPr>
      <t xml:space="preserve">(Capcut)</t>
    </r>
  </si>
  <si>
    <t xml:space="preserve">김근아</t>
  </si>
  <si>
    <t xml:space="preserve">현업 기획자 마이즈가 알려주는 게임 시나리오 스쿨</t>
  </si>
  <si>
    <t xml:space="preserve">김현석</t>
  </si>
  <si>
    <t xml:space="preserve">초록비책공방</t>
  </si>
  <si>
    <r>
      <rPr>
        <sz val="10"/>
        <rFont val="나눔고딕"/>
        <family val="2"/>
      </rPr>
      <t xml:space="preserve">챗</t>
    </r>
    <r>
      <rPr>
        <sz val="10"/>
        <rFont val="Arial"/>
        <family val="0"/>
        <charset val="1"/>
      </rPr>
      <t xml:space="preserve">GPT</t>
    </r>
    <r>
      <rPr>
        <sz val="10"/>
        <rFont val="나눔고딕"/>
        <family val="2"/>
      </rPr>
      <t xml:space="preserve">와 함께 배우는 인공지능 엔트리 마스터하기</t>
    </r>
  </si>
  <si>
    <r>
      <rPr>
        <sz val="10"/>
        <rFont val="나눔고딕"/>
        <family val="2"/>
      </rPr>
      <t xml:space="preserve">김종훈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김현경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김동건 공저</t>
    </r>
  </si>
  <si>
    <r>
      <rPr>
        <sz val="10"/>
        <rFont val="나눔고딕"/>
        <family val="2"/>
      </rPr>
      <t xml:space="preserve">된다</t>
    </r>
    <r>
      <rPr>
        <sz val="10"/>
        <rFont val="Arial"/>
        <family val="0"/>
        <charset val="1"/>
      </rPr>
      <t xml:space="preserve">! </t>
    </r>
    <r>
      <rPr>
        <sz val="10"/>
        <rFont val="나눔고딕"/>
        <family val="2"/>
      </rPr>
      <t xml:space="preserve">하루 만에 준비하는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학교 수업 활용법</t>
    </r>
  </si>
  <si>
    <r>
      <rPr>
        <sz val="10"/>
        <rFont val="나눔고딕"/>
        <family val="2"/>
      </rPr>
      <t xml:space="preserve">처음 시작하는 디지털 드로잉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스케치북</t>
    </r>
  </si>
  <si>
    <t xml:space="preserve">이은지</t>
  </si>
  <si>
    <r>
      <rPr>
        <sz val="10"/>
        <rFont val="나눔고딕"/>
        <family val="2"/>
      </rPr>
      <t xml:space="preserve">코틀린으로 배우는 안드로이드 앱 개발 실전 노하우 </t>
    </r>
    <r>
      <rPr>
        <sz val="10"/>
        <rFont val="Arial"/>
        <family val="0"/>
        <charset val="1"/>
      </rPr>
      <t xml:space="preserve">2/e</t>
    </r>
  </si>
  <si>
    <r>
      <rPr>
        <sz val="10"/>
        <rFont val="나눔고딕"/>
        <family val="2"/>
      </rPr>
      <t xml:space="preserve">알렉스 포레스터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에란 부즈나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알렉산드루 덤브라반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조마르 티그칼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김윤지 역 외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명 정보 더 보기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감추기 알렉스 포레스터 에란 부즈나 알렉산드루 덤브라반 조마르 티그칼 김윤지 임태규</t>
    </r>
  </si>
  <si>
    <r>
      <rPr>
        <sz val="10"/>
        <rFont val="나눔고딕"/>
        <family val="2"/>
      </rPr>
      <t xml:space="preserve">막힘없이 </t>
    </r>
    <r>
      <rPr>
        <sz val="10"/>
        <rFont val="Arial"/>
        <family val="0"/>
        <charset val="1"/>
      </rPr>
      <t xml:space="preserve">PostgreSQL</t>
    </r>
  </si>
  <si>
    <r>
      <rPr>
        <sz val="10"/>
        <rFont val="나눔고딕"/>
        <family val="2"/>
      </rPr>
      <t xml:space="preserve">임경석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김철환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박관규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김규민</t>
    </r>
  </si>
  <si>
    <t xml:space="preserve">엑셈</t>
  </si>
  <si>
    <t xml:space="preserve">자연어 처리를 위한 허깅페이스 트랜스포머 하드 트레이닝</t>
  </si>
  <si>
    <r>
      <rPr>
        <sz val="10"/>
        <rFont val="나눔고딕"/>
        <family val="2"/>
      </rPr>
      <t xml:space="preserve">박성환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남승우</t>
    </r>
  </si>
  <si>
    <t xml:space="preserve">그로킹 알고리즘</t>
  </si>
  <si>
    <r>
      <rPr>
        <sz val="10"/>
        <rFont val="나눔고딕"/>
        <family val="2"/>
      </rPr>
      <t xml:space="preserve">아디티야 바르기바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김도형 역</t>
    </r>
  </si>
  <si>
    <r>
      <rPr>
        <sz val="10"/>
        <rFont val="나눔고딕"/>
        <family val="2"/>
      </rPr>
      <t xml:space="preserve">파이썬 업무 자동화 일잘러 되기 </t>
    </r>
    <r>
      <rPr>
        <sz val="10"/>
        <rFont val="Arial"/>
        <family val="0"/>
        <charset val="1"/>
      </rPr>
      <t xml:space="preserve">+ </t>
    </r>
    <r>
      <rPr>
        <sz val="10"/>
        <rFont val="나눔고딕"/>
        <family val="2"/>
      </rPr>
      <t xml:space="preserve">챗</t>
    </r>
    <r>
      <rPr>
        <sz val="10"/>
        <rFont val="Arial"/>
        <family val="0"/>
        <charset val="1"/>
      </rPr>
      <t xml:space="preserve">GPT</t>
    </r>
  </si>
  <si>
    <t xml:space="preserve">메이허</t>
  </si>
  <si>
    <r>
      <rPr>
        <sz val="10"/>
        <rFont val="나눔고딕"/>
        <family val="2"/>
      </rPr>
      <t xml:space="preserve">고객 경험을 업그레이드하는 </t>
    </r>
    <r>
      <rPr>
        <sz val="10"/>
        <rFont val="Arial"/>
        <family val="0"/>
        <charset val="1"/>
      </rPr>
      <t xml:space="preserve">FAQ </t>
    </r>
    <r>
      <rPr>
        <sz val="10"/>
        <rFont val="나눔고딕"/>
        <family val="2"/>
      </rPr>
      <t xml:space="preserve">작성의 기술</t>
    </r>
  </si>
  <si>
    <r>
      <rPr>
        <sz val="10"/>
        <rFont val="나눔고딕"/>
        <family val="2"/>
      </rPr>
      <t xml:space="preserve">히구치 게이이치로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박수현 역</t>
    </r>
  </si>
  <si>
    <r>
      <rPr>
        <sz val="10"/>
        <rFont val="나눔고딕"/>
        <family val="2"/>
      </rPr>
      <t xml:space="preserve">기초부터 다지는 통계학 교과서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파이썬</t>
    </r>
  </si>
  <si>
    <r>
      <rPr>
        <sz val="10"/>
        <rFont val="나눔고딕"/>
        <family val="2"/>
      </rPr>
      <t xml:space="preserve">개러스 제임스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다니엘라 위튼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트레버 헤이스티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로버트 팁시라니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조너선 테일러 저 외 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명 정보 더 보기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감추기 개러스 제임스 다니엘라 위튼 트레버 헤이스티 로버트 팁시라니 조너선 테일러 송영숙 유현조</t>
    </r>
  </si>
  <si>
    <r>
      <rPr>
        <sz val="10"/>
        <rFont val="나눔고딕"/>
        <family val="2"/>
      </rPr>
      <t xml:space="preserve">마인크래프트 건축 가이드 미니 프로젝트 </t>
    </r>
    <r>
      <rPr>
        <sz val="10"/>
        <rFont val="Arial"/>
        <family val="0"/>
        <charset val="1"/>
      </rPr>
      <t xml:space="preserve">4</t>
    </r>
  </si>
  <si>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로 이미지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영상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음악 한 번에 끝내기</t>
    </r>
  </si>
  <si>
    <r>
      <rPr>
        <sz val="10"/>
        <rFont val="Arial"/>
        <family val="0"/>
        <charset val="1"/>
      </rPr>
      <t xml:space="preserve">C++ </t>
    </r>
    <r>
      <rPr>
        <sz val="10"/>
        <rFont val="나눔고딕"/>
        <family val="2"/>
      </rPr>
      <t xml:space="preserve">스크립트를 활용한 언리얼 엔진 </t>
    </r>
    <r>
      <rPr>
        <sz val="10"/>
        <rFont val="Arial"/>
        <family val="0"/>
        <charset val="1"/>
      </rPr>
      <t xml:space="preserve">5 </t>
    </r>
    <r>
      <rPr>
        <sz val="10"/>
        <rFont val="나눔고딕"/>
        <family val="2"/>
      </rPr>
      <t xml:space="preserve">게임 개발</t>
    </r>
  </si>
  <si>
    <r>
      <rPr>
        <sz val="10"/>
        <rFont val="나눔고딕"/>
        <family val="2"/>
      </rPr>
      <t xml:space="preserve">젠유 조지 리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진석준 역</t>
    </r>
  </si>
  <si>
    <t xml:space="preserve">제가 좀 팝니다</t>
  </si>
  <si>
    <t xml:space="preserve">진민우</t>
  </si>
  <si>
    <r>
      <rPr>
        <sz val="10"/>
        <rFont val="나눔고딕"/>
        <family val="2"/>
      </rPr>
      <t xml:space="preserve">이토록 쉬운 </t>
    </r>
    <r>
      <rPr>
        <sz val="10"/>
        <rFont val="Arial"/>
        <family val="0"/>
        <charset val="1"/>
      </rPr>
      <t xml:space="preserve">RAG </t>
    </r>
    <r>
      <rPr>
        <sz val="10"/>
        <rFont val="나눔고딕"/>
        <family val="2"/>
      </rPr>
      <t xml:space="preserve">시스템 구축을 위한 랭체인 실전 가이드</t>
    </r>
  </si>
  <si>
    <t xml:space="preserve">윤성재</t>
  </si>
  <si>
    <r>
      <rPr>
        <sz val="10"/>
        <rFont val="나눔고딕"/>
        <family val="2"/>
      </rPr>
      <t xml:space="preserve">스마트스토어로 월 매출 </t>
    </r>
    <r>
      <rPr>
        <sz val="10"/>
        <rFont val="Arial"/>
        <family val="0"/>
        <charset val="1"/>
      </rPr>
      <t xml:space="preserve">5,000</t>
    </r>
    <r>
      <rPr>
        <sz val="10"/>
        <rFont val="나눔고딕"/>
        <family val="2"/>
      </rPr>
      <t xml:space="preserve">만 원 만들기</t>
    </r>
  </si>
  <si>
    <t xml:space="preserve">김대영</t>
  </si>
  <si>
    <t xml:space="preserve">푸른향기</t>
  </si>
  <si>
    <t xml:space="preserve">한 권으로 배우는 게임 프로그래밍</t>
  </si>
  <si>
    <r>
      <rPr>
        <sz val="10"/>
        <rFont val="나눔고딕"/>
        <family val="2"/>
      </rPr>
      <t xml:space="preserve">박태준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박효재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윤하연</t>
    </r>
  </si>
  <si>
    <t xml:space="preserve">이것이 우분투 리눅스다</t>
  </si>
  <si>
    <r>
      <rPr>
        <sz val="10"/>
        <rFont val="나눔고딕"/>
        <family val="2"/>
      </rPr>
      <t xml:space="preserve">우재남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박길식 감수</t>
    </r>
  </si>
  <si>
    <r>
      <rPr>
        <sz val="10"/>
        <rFont val="나눔고딕"/>
        <family val="2"/>
      </rPr>
      <t xml:space="preserve">머니코치 최준호의 네이버 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대장 마케팅</t>
    </r>
  </si>
  <si>
    <t xml:space="preserve">최준호</t>
  </si>
  <si>
    <r>
      <rPr>
        <sz val="10"/>
        <rFont val="나눔고딕"/>
        <family val="2"/>
      </rPr>
      <t xml:space="preserve">혼자 해도 프로 선생님처럼 잘 만드는 학교 수업 자료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캔바 </t>
    </r>
    <r>
      <rPr>
        <sz val="10"/>
        <rFont val="Arial"/>
        <family val="0"/>
        <charset val="1"/>
      </rPr>
      <t xml:space="preserve">Canva</t>
    </r>
  </si>
  <si>
    <r>
      <rPr>
        <sz val="10"/>
        <rFont val="나눔고딕"/>
        <family val="2"/>
      </rPr>
      <t xml:space="preserve">김태훈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김한나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김예슬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손민지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유수근</t>
    </r>
  </si>
  <si>
    <r>
      <rPr>
        <sz val="10"/>
        <rFont val="나눔고딕"/>
        <family val="2"/>
      </rPr>
      <t xml:space="preserve">규칙으로 배우는 임베디드 시스템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</rPr>
      <t xml:space="preserve">회로 설계 및 </t>
    </r>
    <r>
      <rPr>
        <sz val="10"/>
        <rFont val="Arial"/>
        <family val="0"/>
        <charset val="1"/>
      </rPr>
      <t xml:space="preserve">PCB </t>
    </r>
    <r>
      <rPr>
        <sz val="10"/>
        <rFont val="나눔고딕"/>
        <family val="2"/>
      </rPr>
      <t xml:space="preserve">설계 규칙</t>
    </r>
  </si>
  <si>
    <t xml:space="preserve">장선웅</t>
  </si>
  <si>
    <t xml:space="preserve">북랩</t>
  </si>
  <si>
    <r>
      <rPr>
        <sz val="10"/>
        <rFont val="나눔고딕"/>
        <family val="2"/>
      </rPr>
      <t xml:space="preserve">아무도 알려 주지 않는 </t>
    </r>
    <r>
      <rPr>
        <sz val="10"/>
        <rFont val="Arial"/>
        <family val="0"/>
        <charset val="1"/>
      </rPr>
      <t xml:space="preserve">PM </t>
    </r>
    <r>
      <rPr>
        <sz val="10"/>
        <rFont val="나눔고딕"/>
        <family val="2"/>
      </rPr>
      <t xml:space="preserve">필수 지식</t>
    </r>
  </si>
  <si>
    <t xml:space="preserve">최선신</t>
  </si>
  <si>
    <r>
      <rPr>
        <sz val="10"/>
        <rFont val="나눔고딕"/>
        <family val="2"/>
      </rPr>
      <t xml:space="preserve">정말 쉽네</t>
    </r>
    <r>
      <rPr>
        <sz val="10"/>
        <rFont val="Arial"/>
        <family val="0"/>
        <charset val="1"/>
      </rPr>
      <t xml:space="preserve">? </t>
    </r>
    <r>
      <rPr>
        <sz val="10"/>
        <rFont val="나눔고딕"/>
        <family val="2"/>
      </rPr>
      <t xml:space="preserve">챗</t>
    </r>
    <r>
      <rPr>
        <sz val="10"/>
        <rFont val="Arial"/>
        <family val="0"/>
        <charset val="1"/>
      </rPr>
      <t xml:space="preserve">GPT </t>
    </r>
    <r>
      <rPr>
        <sz val="10"/>
        <rFont val="나눔고딕"/>
        <family val="2"/>
      </rPr>
      <t xml:space="preserve">입문</t>
    </r>
  </si>
  <si>
    <r>
      <rPr>
        <sz val="10"/>
        <rFont val="Arial"/>
        <family val="0"/>
        <charset val="1"/>
      </rPr>
      <t xml:space="preserve">2022 </t>
    </r>
    <r>
      <rPr>
        <sz val="10"/>
        <rFont val="나눔고딕"/>
        <family val="2"/>
      </rPr>
      <t xml:space="preserve">개정 교육과정 평가</t>
    </r>
    <r>
      <rPr>
        <sz val="10"/>
        <rFont val="Arial"/>
        <family val="0"/>
        <charset val="1"/>
      </rPr>
      <t xml:space="preserve">, AI</t>
    </r>
    <r>
      <rPr>
        <sz val="10"/>
        <rFont val="나눔고딕"/>
        <family val="2"/>
      </rPr>
      <t xml:space="preserve">로 날개를 달다 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개념기반 교육과정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</si>
  <si>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지미정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오한나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노명호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권의선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김영수 저 외 </t>
    </r>
    <r>
      <rPr>
        <sz val="10"/>
        <rFont val="Arial"/>
        <family val="0"/>
        <charset val="1"/>
      </rPr>
      <t xml:space="preserve">4</t>
    </r>
    <r>
      <rPr>
        <sz val="10"/>
        <rFont val="나눔고딕"/>
        <family val="2"/>
      </rPr>
      <t xml:space="preserve">명 정보 더 보기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감추기 지미정 오한나 노명호 권의선 김영수 이진원 장희영 소민영 조보현</t>
    </r>
  </si>
  <si>
    <r>
      <rPr>
        <sz val="10"/>
        <rFont val="Arial"/>
        <family val="0"/>
        <charset val="1"/>
      </rPr>
      <t xml:space="preserve">Do it! HTML+CSS+</t>
    </r>
    <r>
      <rPr>
        <sz val="10"/>
        <rFont val="나눔고딕"/>
        <family val="2"/>
      </rPr>
      <t xml:space="preserve">자바스크립트 웹 표준의 정석</t>
    </r>
  </si>
  <si>
    <t xml:space="preserve">고경희</t>
  </si>
  <si>
    <r>
      <rPr>
        <sz val="10"/>
        <rFont val="Arial"/>
        <family val="0"/>
        <charset val="1"/>
      </rPr>
      <t xml:space="preserve">25</t>
    </r>
    <r>
      <rPr>
        <sz val="10"/>
        <rFont val="나눔고딕"/>
        <family val="2"/>
      </rPr>
      <t xml:space="preserve">가지 문제로 배우는 </t>
    </r>
    <r>
      <rPr>
        <sz val="10"/>
        <rFont val="Arial"/>
        <family val="0"/>
        <charset val="1"/>
      </rPr>
      <t xml:space="preserve">LLM </t>
    </r>
    <r>
      <rPr>
        <sz val="10"/>
        <rFont val="나눔고딕"/>
        <family val="2"/>
      </rPr>
      <t xml:space="preserve">입문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파이썬</t>
    </r>
  </si>
  <si>
    <r>
      <rPr>
        <sz val="10"/>
        <rFont val="나눔고딕"/>
        <family val="2"/>
      </rPr>
      <t xml:space="preserve">요시키 간다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임선집 역</t>
    </r>
  </si>
  <si>
    <r>
      <rPr>
        <sz val="10"/>
        <rFont val="Arial"/>
        <family val="0"/>
        <charset val="1"/>
      </rPr>
      <t xml:space="preserve">LLM</t>
    </r>
    <r>
      <rPr>
        <sz val="10"/>
        <rFont val="나눔고딕"/>
        <family val="2"/>
      </rPr>
      <t xml:space="preserve">을 활용한 실전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애플리케이션 개발</t>
    </r>
  </si>
  <si>
    <r>
      <rPr>
        <sz val="10"/>
        <rFont val="나눔고딕"/>
        <family val="2"/>
      </rPr>
      <t xml:space="preserve">허정준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정진호 그림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박재호 감수</t>
    </r>
  </si>
  <si>
    <t xml:space="preserve">색 잘 쓰는 디자이너</t>
  </si>
  <si>
    <r>
      <rPr>
        <sz val="10"/>
        <rFont val="나눔고딕"/>
        <family val="2"/>
      </rPr>
      <t xml:space="preserve">고바야시 레나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강아윤 감수</t>
    </r>
  </si>
  <si>
    <r>
      <rPr>
        <sz val="10"/>
        <rFont val="Arial"/>
        <family val="0"/>
        <charset val="1"/>
      </rPr>
      <t xml:space="preserve">10</t>
    </r>
    <r>
      <rPr>
        <sz val="10"/>
        <rFont val="나눔고딕"/>
        <family val="2"/>
      </rPr>
      <t xml:space="preserve">대를 위한 데이터과학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파이썬</t>
    </r>
  </si>
  <si>
    <r>
      <rPr>
        <sz val="10"/>
        <rFont val="나눔고딕"/>
        <family val="2"/>
      </rPr>
      <t xml:space="preserve">구덕회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권다혜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박소연</t>
    </r>
  </si>
  <si>
    <r>
      <rPr>
        <sz val="10"/>
        <rFont val="나눔고딕"/>
        <family val="2"/>
      </rPr>
      <t xml:space="preserve">잇플</t>
    </r>
    <r>
      <rPr>
        <sz val="10"/>
        <rFont val="Arial"/>
        <family val="0"/>
        <charset val="1"/>
      </rPr>
      <t xml:space="preserve">ITPLE</t>
    </r>
  </si>
  <si>
    <r>
      <rPr>
        <sz val="10"/>
        <rFont val="나눔고딕"/>
        <family val="2"/>
      </rPr>
      <t xml:space="preserve">파이썬 </t>
    </r>
    <r>
      <rPr>
        <sz val="10"/>
        <rFont val="Arial"/>
        <family val="0"/>
        <charset val="1"/>
      </rPr>
      <t xml:space="preserve">+ AI</t>
    </r>
  </si>
  <si>
    <r>
      <rPr>
        <sz val="10"/>
        <rFont val="나눔고딕"/>
        <family val="2"/>
      </rPr>
      <t xml:space="preserve">안용제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김남규</t>
    </r>
  </si>
  <si>
    <r>
      <rPr>
        <sz val="10"/>
        <rFont val="나눔고딕"/>
        <family val="2"/>
      </rPr>
      <t xml:space="preserve">오늘 바로 활용하는 챗</t>
    </r>
    <r>
      <rPr>
        <sz val="10"/>
        <rFont val="Arial"/>
        <family val="0"/>
        <charset val="1"/>
      </rPr>
      <t xml:space="preserve">GPT</t>
    </r>
  </si>
  <si>
    <r>
      <rPr>
        <sz val="10"/>
        <rFont val="나눔고딕"/>
        <family val="2"/>
      </rPr>
      <t xml:space="preserve">권은정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권지선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박준원</t>
    </r>
  </si>
  <si>
    <t xml:space="preserve">보고 혁명</t>
  </si>
  <si>
    <t xml:space="preserve">이성윤</t>
  </si>
  <si>
    <r>
      <rPr>
        <sz val="10"/>
        <rFont val="Arial"/>
        <family val="0"/>
        <charset val="1"/>
      </rPr>
      <t xml:space="preserve">Do it! </t>
    </r>
    <r>
      <rPr>
        <sz val="10"/>
        <rFont val="나눔고딕"/>
        <family val="2"/>
      </rPr>
      <t xml:space="preserve">스케치업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엔스케이프</t>
    </r>
  </si>
  <si>
    <t xml:space="preserve">최주영</t>
  </si>
  <si>
    <t xml:space="preserve">혼자 공부하는 얄팍한 코딩 지식</t>
  </si>
  <si>
    <t xml:space="preserve">고현민</t>
  </si>
  <si>
    <t xml:space="preserve">개발자를 위한 필수 수학</t>
  </si>
  <si>
    <r>
      <rPr>
        <sz val="10"/>
        <rFont val="나눔고딕"/>
        <family val="2"/>
      </rPr>
      <t xml:space="preserve">토머스 닐드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박해선 역</t>
    </r>
  </si>
  <si>
    <t xml:space="preserve">최고의 프롬프트 엔지니어링 강의</t>
  </si>
  <si>
    <t xml:space="preserve">김진중</t>
  </si>
  <si>
    <t xml:space="preserve">인공지능을 활용한 사회과학 연구방법</t>
  </si>
  <si>
    <t xml:space="preserve">김태용</t>
  </si>
  <si>
    <t xml:space="preserve">학지사</t>
  </si>
  <si>
    <t xml:space="preserve">반복되는 업무 자동화를 위한 파워 오토메이트</t>
  </si>
  <si>
    <t xml:space="preserve">장부관</t>
  </si>
  <si>
    <r>
      <rPr>
        <sz val="10"/>
        <rFont val="나눔고딕"/>
        <family val="2"/>
      </rPr>
      <t xml:space="preserve">챗</t>
    </r>
    <r>
      <rPr>
        <sz val="10"/>
        <rFont val="Arial"/>
        <family val="0"/>
        <charset val="1"/>
      </rPr>
      <t xml:space="preserve">GPT </t>
    </r>
    <r>
      <rPr>
        <sz val="10"/>
        <rFont val="나눔고딕"/>
        <family val="2"/>
      </rPr>
      <t xml:space="preserve">프롬프트 </t>
    </r>
    <r>
      <rPr>
        <sz val="10"/>
        <rFont val="Arial"/>
        <family val="0"/>
        <charset val="1"/>
      </rPr>
      <t xml:space="preserve">120% </t>
    </r>
    <r>
      <rPr>
        <sz val="10"/>
        <rFont val="나눔고딕"/>
        <family val="2"/>
      </rPr>
      <t xml:space="preserve">질문 기술</t>
    </r>
  </si>
  <si>
    <r>
      <rPr>
        <sz val="10"/>
        <rFont val="Arial"/>
        <family val="0"/>
        <charset val="1"/>
      </rPr>
      <t xml:space="preserve">ChatGPT </t>
    </r>
    <r>
      <rPr>
        <sz val="10"/>
        <rFont val="나눔고딕"/>
        <family val="2"/>
      </rPr>
      <t xml:space="preserve">비즈니스 연구회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김모세 역</t>
    </r>
  </si>
  <si>
    <r>
      <rPr>
        <sz val="10"/>
        <rFont val="나눔고딕"/>
        <family val="2"/>
      </rPr>
      <t xml:space="preserve">대격변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시대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데이터로 사고하고 데이터로 리드하라</t>
    </r>
  </si>
  <si>
    <r>
      <rPr>
        <sz val="10"/>
        <rFont val="나눔고딕"/>
        <family val="2"/>
      </rPr>
      <t xml:space="preserve">알렉스 거트맨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조던 골드마이어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최재원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장진욱 역</t>
    </r>
  </si>
  <si>
    <t xml:space="preserve">이미지 처리 바이블</t>
  </si>
  <si>
    <r>
      <rPr>
        <sz val="10"/>
        <rFont val="나눔고딕"/>
        <family val="2"/>
      </rPr>
      <t xml:space="preserve">류태선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콥스랩 연구원</t>
    </r>
  </si>
  <si>
    <t xml:space="preserve">마인크래프트 몹 완벽 가이드</t>
  </si>
  <si>
    <r>
      <rPr>
        <sz val="10"/>
        <rFont val="나눔고딕"/>
        <family val="2"/>
      </rPr>
      <t xml:space="preserve">혼자 공부하는 첫 프로그래밍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파이썬</t>
    </r>
  </si>
  <si>
    <t xml:space="preserve">인공지능 구조 원리 교과서</t>
  </si>
  <si>
    <r>
      <rPr>
        <sz val="10"/>
        <rFont val="나눔고딕"/>
        <family val="2"/>
      </rPr>
      <t xml:space="preserve">송경빈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남지우 그림</t>
    </r>
  </si>
  <si>
    <t xml:space="preserve">모던 그로스 마케팅</t>
  </si>
  <si>
    <r>
      <rPr>
        <sz val="10"/>
        <rFont val="나눔고딕"/>
        <family val="2"/>
      </rPr>
      <t xml:space="preserve">최지연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조은태</t>
    </r>
  </si>
  <si>
    <t xml:space="preserve">만들면서 배우는 워드프레스</t>
  </si>
  <si>
    <t xml:space="preserve">박현우</t>
  </si>
  <si>
    <r>
      <rPr>
        <sz val="10"/>
        <rFont val="나눔고딕"/>
        <family val="2"/>
      </rPr>
      <t xml:space="preserve">강화학습 기본과 </t>
    </r>
    <r>
      <rPr>
        <sz val="10"/>
        <rFont val="Arial"/>
        <family val="0"/>
        <charset val="1"/>
      </rPr>
      <t xml:space="preserve">PyTorch</t>
    </r>
  </si>
  <si>
    <t xml:space="preserve">추상목</t>
  </si>
  <si>
    <t xml:space="preserve">자유아카데미</t>
  </si>
  <si>
    <t xml:space="preserve">처음 만나는 인공지능</t>
  </si>
  <si>
    <r>
      <rPr>
        <sz val="10"/>
        <rFont val="나눔고딕"/>
        <family val="2"/>
      </rPr>
      <t xml:space="preserve">김대수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김경동</t>
    </r>
  </si>
  <si>
    <r>
      <rPr>
        <sz val="10"/>
        <rFont val="나눔고딕"/>
        <family val="2"/>
      </rPr>
      <t xml:space="preserve">자바의 신 </t>
    </r>
    <r>
      <rPr>
        <sz val="10"/>
        <rFont val="Arial"/>
        <family val="0"/>
        <charset val="1"/>
      </rPr>
      <t xml:space="preserve">VOL.1</t>
    </r>
  </si>
  <si>
    <t xml:space="preserve">이상민</t>
  </si>
  <si>
    <r>
      <rPr>
        <sz val="10"/>
        <rFont val="나눔고딕"/>
        <family val="2"/>
      </rPr>
      <t xml:space="preserve">된다</t>
    </r>
    <r>
      <rPr>
        <sz val="10"/>
        <rFont val="Arial"/>
        <family val="0"/>
        <charset val="1"/>
      </rPr>
      <t xml:space="preserve">! </t>
    </r>
    <r>
      <rPr>
        <sz val="10"/>
        <rFont val="나눔고딕"/>
        <family val="2"/>
      </rPr>
      <t xml:space="preserve">책 만들기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인디자인</t>
    </r>
  </si>
  <si>
    <t xml:space="preserve">김혜린</t>
  </si>
  <si>
    <r>
      <rPr>
        <sz val="10"/>
        <rFont val="나눔고딕"/>
        <family val="2"/>
      </rPr>
      <t xml:space="preserve">문제 해결을 위한 알고리즘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수학</t>
    </r>
  </si>
  <si>
    <r>
      <rPr>
        <sz val="10"/>
        <rFont val="나눔고딕"/>
        <family val="2"/>
      </rPr>
      <t xml:space="preserve">요네다 마사타카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윤인성 역</t>
    </r>
  </si>
  <si>
    <r>
      <rPr>
        <sz val="10"/>
        <rFont val="Arial"/>
        <family val="0"/>
        <charset val="1"/>
      </rPr>
      <t xml:space="preserve">“OECD </t>
    </r>
    <r>
      <rPr>
        <sz val="10"/>
        <rFont val="나눔고딕"/>
        <family val="2"/>
      </rPr>
      <t xml:space="preserve">교육 </t>
    </r>
    <r>
      <rPr>
        <sz val="10"/>
        <rFont val="Arial"/>
        <family val="0"/>
        <charset val="1"/>
      </rPr>
      <t xml:space="preserve">2030” &amp; “2022 </t>
    </r>
    <r>
      <rPr>
        <sz val="10"/>
        <rFont val="나눔고딕"/>
        <family val="2"/>
      </rPr>
      <t xml:space="preserve">개정 교육과정” 미래 교육 나침반</t>
    </r>
  </si>
  <si>
    <t xml:space="preserve">지미정</t>
  </si>
  <si>
    <t xml:space="preserve">가장 쉬운 이모티콘 만들기</t>
  </si>
  <si>
    <t xml:space="preserve">정수진</t>
  </si>
  <si>
    <t xml:space="preserve">그림으로 배우는 리눅스 구조</t>
  </si>
  <si>
    <r>
      <rPr>
        <sz val="10"/>
        <rFont val="나눔고딕"/>
        <family val="2"/>
      </rPr>
      <t xml:space="preserve">다케우치 사토루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서수환 역</t>
    </r>
  </si>
  <si>
    <r>
      <rPr>
        <sz val="10"/>
        <rFont val="나눔고딕"/>
        <family val="2"/>
      </rPr>
      <t xml:space="preserve">기술 면접 대비 </t>
    </r>
    <r>
      <rPr>
        <sz val="10"/>
        <rFont val="Arial"/>
        <family val="0"/>
        <charset val="1"/>
      </rPr>
      <t xml:space="preserve">CS </t>
    </r>
    <r>
      <rPr>
        <sz val="10"/>
        <rFont val="나눔고딕"/>
        <family val="2"/>
      </rPr>
      <t xml:space="preserve">전공 핵심요약집</t>
    </r>
  </si>
  <si>
    <t xml:space="preserve">이수진</t>
  </si>
  <si>
    <t xml:space="preserve">인공지능 수업 혁명</t>
  </si>
  <si>
    <t xml:space="preserve">신정</t>
  </si>
  <si>
    <r>
      <rPr>
        <sz val="10"/>
        <rFont val="나눔고딕"/>
        <family val="2"/>
      </rPr>
      <t xml:space="preserve">된다</t>
    </r>
    <r>
      <rPr>
        <sz val="10"/>
        <rFont val="Arial"/>
        <family val="0"/>
        <charset val="1"/>
      </rPr>
      <t xml:space="preserve">! </t>
    </r>
    <r>
      <rPr>
        <sz val="10"/>
        <rFont val="나눔고딕"/>
        <family val="2"/>
      </rPr>
      <t xml:space="preserve">하루 </t>
    </r>
    <r>
      <rPr>
        <sz val="10"/>
        <rFont val="Arial"/>
        <family val="0"/>
        <charset val="1"/>
      </rPr>
      <t xml:space="preserve">5</t>
    </r>
    <r>
      <rPr>
        <sz val="10"/>
        <rFont val="나눔고딕"/>
        <family val="2"/>
      </rPr>
      <t xml:space="preserve">분 노션 활용법</t>
    </r>
  </si>
  <si>
    <t xml:space="preserve">이다슬</t>
  </si>
  <si>
    <t xml:space="preserve">그림으로 이해하는 네트워크 구조와 기술</t>
  </si>
  <si>
    <r>
      <rPr>
        <sz val="10"/>
        <rFont val="나눔고딕"/>
        <family val="2"/>
      </rPr>
      <t xml:space="preserve">나카오 신지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김성훈 역</t>
    </r>
  </si>
  <si>
    <t xml:space="preserve">한눈에 보이는 인공지능 수학 그림책</t>
  </si>
  <si>
    <r>
      <rPr>
        <sz val="10"/>
        <rFont val="나눔고딕"/>
        <family val="2"/>
      </rPr>
      <t xml:space="preserve">한선관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정기민</t>
    </r>
  </si>
  <si>
    <t xml:space="preserve">모의 해킹으로 알아보는 리눅스 서버 해킹과 보안</t>
  </si>
  <si>
    <r>
      <rPr>
        <sz val="10"/>
        <rFont val="나눔고딕"/>
        <family val="2"/>
      </rPr>
      <t xml:space="preserve">장상근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박진산</t>
    </r>
  </si>
  <si>
    <t xml:space="preserve">엔트리로 배우는 코딩 첫걸음</t>
  </si>
  <si>
    <r>
      <rPr>
        <sz val="10"/>
        <rFont val="나눔고딕"/>
        <family val="2"/>
      </rPr>
      <t xml:space="preserve">홍유미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김진원</t>
    </r>
  </si>
  <si>
    <t xml:space="preserve">코딩이지</t>
  </si>
  <si>
    <r>
      <rPr>
        <sz val="10"/>
        <rFont val="나눔고딕"/>
        <family val="2"/>
      </rPr>
      <t xml:space="preserve">엑셀 매크로</t>
    </r>
    <r>
      <rPr>
        <sz val="10"/>
        <rFont val="Arial"/>
        <family val="0"/>
        <charset val="1"/>
      </rPr>
      <t xml:space="preserve">&amp;VBA </t>
    </r>
    <r>
      <rPr>
        <sz val="10"/>
        <rFont val="나눔고딕"/>
        <family val="2"/>
      </rPr>
      <t xml:space="preserve">바이블</t>
    </r>
  </si>
  <si>
    <t xml:space="preserve">최준선</t>
  </si>
  <si>
    <t xml:space="preserve">파이썬 라이브러리를 활용한 데이터 분석</t>
  </si>
  <si>
    <r>
      <rPr>
        <sz val="10"/>
        <rFont val="나눔고딕"/>
        <family val="2"/>
      </rPr>
      <t xml:space="preserve">웨스 맥키니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김영근 역</t>
    </r>
  </si>
  <si>
    <r>
      <rPr>
        <sz val="10"/>
        <rFont val="Arial"/>
        <family val="0"/>
        <charset val="1"/>
      </rPr>
      <t xml:space="preserve">IT </t>
    </r>
    <r>
      <rPr>
        <sz val="10"/>
        <rFont val="나눔고딕"/>
        <family val="2"/>
      </rPr>
      <t xml:space="preserve">비전공자를 위한 파이썬 업무 자동화 </t>
    </r>
    <r>
      <rPr>
        <sz val="10"/>
        <rFont val="Arial"/>
        <family val="0"/>
        <charset val="1"/>
      </rPr>
      <t xml:space="preserve">(RPA)</t>
    </r>
  </si>
  <si>
    <t xml:space="preserve">비현코</t>
  </si>
  <si>
    <t xml:space="preserve">데이터 품질의 비밀</t>
  </si>
  <si>
    <r>
      <rPr>
        <sz val="10"/>
        <rFont val="나눔고딕"/>
        <family val="2"/>
      </rPr>
      <t xml:space="preserve">바 모세스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라이어 개비쉬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몰리 보르웨르크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데이터야놀자 역</t>
    </r>
  </si>
  <si>
    <t xml:space="preserve">디코딩</t>
  </si>
  <si>
    <r>
      <rPr>
        <sz val="10"/>
        <rFont val="Arial"/>
        <family val="0"/>
        <charset val="1"/>
      </rPr>
      <t xml:space="preserve">UX </t>
    </r>
    <r>
      <rPr>
        <sz val="10"/>
        <rFont val="나눔고딕"/>
        <family val="2"/>
      </rPr>
      <t xml:space="preserve">라이터의 글쓰기 수업</t>
    </r>
  </si>
  <si>
    <r>
      <rPr>
        <sz val="10"/>
        <rFont val="나눔고딕"/>
        <family val="2"/>
      </rPr>
      <t xml:space="preserve">앤디 웰플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마이클 </t>
    </r>
    <r>
      <rPr>
        <sz val="10"/>
        <rFont val="Arial"/>
        <family val="0"/>
        <charset val="1"/>
      </rPr>
      <t xml:space="preserve">J. </t>
    </r>
    <r>
      <rPr>
        <sz val="10"/>
        <rFont val="나눔고딕"/>
        <family val="2"/>
      </rPr>
      <t xml:space="preserve">메츠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심태은 역</t>
    </r>
  </si>
  <si>
    <r>
      <rPr>
        <sz val="10"/>
        <rFont val="나눔고딕"/>
        <family val="2"/>
      </rPr>
      <t xml:space="preserve">퍼포먼스 마케팅 첫걸음 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</rPr>
      <t xml:space="preserve">취업부터 실무까지</t>
    </r>
  </si>
  <si>
    <t xml:space="preserve">이다혜</t>
  </si>
  <si>
    <r>
      <rPr>
        <sz val="10"/>
        <rFont val="나눔고딕"/>
        <family val="2"/>
      </rPr>
      <t xml:space="preserve">이것이 </t>
    </r>
    <r>
      <rPr>
        <sz val="10"/>
        <rFont val="Arial"/>
        <family val="0"/>
        <charset val="1"/>
      </rPr>
      <t xml:space="preserve">Windows Server</t>
    </r>
    <r>
      <rPr>
        <sz val="10"/>
        <rFont val="나눔고딕"/>
        <family val="2"/>
      </rPr>
      <t xml:space="preserve">다</t>
    </r>
  </si>
  <si>
    <r>
      <rPr>
        <sz val="10"/>
        <rFont val="나눔고딕"/>
        <family val="2"/>
      </rPr>
      <t xml:space="preserve">비됴클래스의 유튜브 영상 편집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프리미어 프로</t>
    </r>
  </si>
  <si>
    <t xml:space="preserve">하지원</t>
  </si>
  <si>
    <t xml:space="preserve">부모님을 위한 컴퓨터 무작정 따라하기</t>
  </si>
  <si>
    <t xml:space="preserve">곽은지</t>
  </si>
  <si>
    <r>
      <rPr>
        <sz val="10"/>
        <rFont val="나눔고딕"/>
        <family val="2"/>
      </rPr>
      <t xml:space="preserve">핵심 토픽 </t>
    </r>
    <r>
      <rPr>
        <sz val="10"/>
        <rFont val="Arial"/>
        <family val="0"/>
        <charset val="1"/>
      </rPr>
      <t xml:space="preserve">98</t>
    </r>
    <r>
      <rPr>
        <sz val="10"/>
        <rFont val="나눔고딕"/>
        <family val="2"/>
      </rPr>
      <t xml:space="preserve">개로 끝내는 정보관리기술사</t>
    </r>
  </si>
  <si>
    <t xml:space="preserve">임호진</t>
  </si>
  <si>
    <r>
      <rPr>
        <sz val="10"/>
        <rFont val="나눔고딕"/>
        <family val="2"/>
      </rPr>
      <t xml:space="preserve">포켓몬스터 레츠고</t>
    </r>
    <r>
      <rPr>
        <sz val="10"/>
        <rFont val="Arial"/>
        <family val="0"/>
        <charset val="1"/>
      </rPr>
      <t xml:space="preserve">! </t>
    </r>
    <r>
      <rPr>
        <sz val="10"/>
        <rFont val="나눔고딕"/>
        <family val="2"/>
      </rPr>
      <t xml:space="preserve">피카츄ㆍ레츠고</t>
    </r>
    <r>
      <rPr>
        <sz val="10"/>
        <rFont val="Arial"/>
        <family val="0"/>
        <charset val="1"/>
      </rPr>
      <t xml:space="preserve">! </t>
    </r>
    <r>
      <rPr>
        <sz val="10"/>
        <rFont val="나눔고딕"/>
        <family val="2"/>
      </rPr>
      <t xml:space="preserve">이브이 속성클리어모험가이드</t>
    </r>
  </si>
  <si>
    <t xml:space="preserve">편집부</t>
  </si>
  <si>
    <r>
      <rPr>
        <sz val="10"/>
        <rFont val="나눔고딕"/>
        <family val="2"/>
      </rPr>
      <t xml:space="preserve">학산문화사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단행본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</si>
  <si>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와글와글 엔트리로 레트로 게임 만들기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엔트리 활용</t>
    </r>
    <r>
      <rPr>
        <sz val="10"/>
        <rFont val="Arial"/>
        <family val="0"/>
        <charset val="1"/>
      </rPr>
      <t xml:space="preserve">)</t>
    </r>
  </si>
  <si>
    <t xml:space="preserve">코딩연구소</t>
  </si>
  <si>
    <r>
      <rPr>
        <sz val="10"/>
        <rFont val="Arial"/>
        <family val="0"/>
        <charset val="1"/>
      </rPr>
      <t xml:space="preserve">Do it! </t>
    </r>
    <r>
      <rPr>
        <sz val="10"/>
        <rFont val="나눔고딕"/>
        <family val="2"/>
      </rPr>
      <t xml:space="preserve">게임 </t>
    </r>
    <r>
      <rPr>
        <sz val="10"/>
        <rFont val="Arial"/>
        <family val="0"/>
        <charset val="1"/>
      </rPr>
      <t xml:space="preserve">10</t>
    </r>
    <r>
      <rPr>
        <sz val="10"/>
        <rFont val="나눔고딕"/>
        <family val="2"/>
      </rPr>
      <t xml:space="preserve">개 만들며 배우는 파이썬</t>
    </r>
  </si>
  <si>
    <r>
      <rPr>
        <sz val="10"/>
        <rFont val="나눔고딕"/>
        <family val="2"/>
      </rPr>
      <t xml:space="preserve">벤 포터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쉬무엘 포터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안동현 역</t>
    </r>
  </si>
  <si>
    <r>
      <rPr>
        <sz val="10"/>
        <rFont val="Arial"/>
        <family val="0"/>
        <charset val="1"/>
      </rPr>
      <t xml:space="preserve">10</t>
    </r>
    <r>
      <rPr>
        <sz val="10"/>
        <rFont val="나눔고딕"/>
        <family val="2"/>
      </rPr>
      <t xml:space="preserve">대를 위한 데이터과학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엔트리</t>
    </r>
  </si>
  <si>
    <r>
      <rPr>
        <sz val="10"/>
        <rFont val="나눔고딕"/>
        <family val="2"/>
      </rPr>
      <t xml:space="preserve">구덕회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김정은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좌하은</t>
    </r>
  </si>
  <si>
    <r>
      <rPr>
        <sz val="10"/>
        <rFont val="나눔고딕"/>
        <family val="2"/>
      </rPr>
      <t xml:space="preserve">된다</t>
    </r>
    <r>
      <rPr>
        <sz val="10"/>
        <rFont val="Arial"/>
        <family val="0"/>
        <charset val="1"/>
      </rPr>
      <t xml:space="preserve">! </t>
    </r>
    <r>
      <rPr>
        <sz val="10"/>
        <rFont val="나눔고딕"/>
        <family val="2"/>
      </rPr>
      <t xml:space="preserve">실무 엑셀 파워포인트 워드</t>
    </r>
    <r>
      <rPr>
        <sz val="10"/>
        <rFont val="Arial"/>
        <family val="0"/>
        <charset val="1"/>
      </rPr>
      <t xml:space="preserve">&amp;</t>
    </r>
    <r>
      <rPr>
        <sz val="10"/>
        <rFont val="나눔고딕"/>
        <family val="2"/>
      </rPr>
      <t xml:space="preserve">한글</t>
    </r>
  </si>
  <si>
    <r>
      <rPr>
        <sz val="10"/>
        <rFont val="나눔고딕"/>
        <family val="2"/>
      </rPr>
      <t xml:space="preserve">한정희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이충욱</t>
    </r>
  </si>
  <si>
    <r>
      <rPr>
        <sz val="10"/>
        <rFont val="나눔고딕"/>
        <family val="2"/>
      </rPr>
      <t xml:space="preserve">누구나 할 수 있는 유니티 </t>
    </r>
    <r>
      <rPr>
        <sz val="10"/>
        <rFont val="Arial"/>
        <family val="0"/>
        <charset val="1"/>
      </rPr>
      <t xml:space="preserve">2D </t>
    </r>
    <r>
      <rPr>
        <sz val="10"/>
        <rFont val="나눔고딕"/>
        <family val="2"/>
      </rPr>
      <t xml:space="preserve">게임 제작</t>
    </r>
  </si>
  <si>
    <r>
      <rPr>
        <sz val="10"/>
        <rFont val="Arial"/>
        <family val="0"/>
        <charset val="1"/>
      </rPr>
      <t xml:space="preserve">STUDIO SHIN </t>
    </r>
    <r>
      <rPr>
        <sz val="10"/>
        <rFont val="나눔고딕"/>
        <family val="2"/>
      </rPr>
      <t xml:space="preserve">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윤준 역</t>
    </r>
  </si>
  <si>
    <r>
      <rPr>
        <sz val="10"/>
        <rFont val="Arial"/>
        <family val="0"/>
        <charset val="1"/>
      </rPr>
      <t xml:space="preserve">The art of game design (</t>
    </r>
    <r>
      <rPr>
        <sz val="10"/>
        <rFont val="나눔고딕"/>
        <family val="2"/>
      </rPr>
      <t xml:space="preserve">한국어판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</si>
  <si>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윤형섭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한호성</t>
    </r>
  </si>
  <si>
    <t xml:space="preserve">홍릉과학출판사</t>
  </si>
  <si>
    <r>
      <rPr>
        <sz val="10"/>
        <rFont val="나눔고딕"/>
        <family val="2"/>
      </rPr>
      <t xml:space="preserve">이것이 자료구조</t>
    </r>
    <r>
      <rPr>
        <sz val="10"/>
        <rFont val="Arial"/>
        <family val="0"/>
        <charset val="1"/>
      </rPr>
      <t xml:space="preserve">+</t>
    </r>
    <r>
      <rPr>
        <sz val="10"/>
        <rFont val="나눔고딕"/>
        <family val="2"/>
      </rPr>
      <t xml:space="preserve">알고리즘이다 </t>
    </r>
    <r>
      <rPr>
        <sz val="10"/>
        <rFont val="Arial"/>
        <family val="0"/>
        <charset val="1"/>
      </rPr>
      <t xml:space="preserve">with C </t>
    </r>
    <r>
      <rPr>
        <sz val="10"/>
        <rFont val="나눔고딕"/>
        <family val="2"/>
      </rPr>
      <t xml:space="preserve">언어</t>
    </r>
  </si>
  <si>
    <t xml:space="preserve">청소년을 위한 교실 밖 인공지능 수업</t>
  </si>
  <si>
    <t xml:space="preserve">김현정</t>
  </si>
  <si>
    <t xml:space="preserve">궁리출판</t>
  </si>
  <si>
    <t xml:space="preserve">파이썬 텍스트 코딩 워크북</t>
  </si>
  <si>
    <r>
      <rPr>
        <sz val="10"/>
        <rFont val="나눔고딕"/>
        <family val="2"/>
      </rPr>
      <t xml:space="preserve">정재웅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김성안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박수빈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배효정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서정민 저 외 </t>
    </r>
    <r>
      <rPr>
        <sz val="10"/>
        <rFont val="Arial"/>
        <family val="0"/>
        <charset val="1"/>
      </rPr>
      <t xml:space="preserve">5</t>
    </r>
    <r>
      <rPr>
        <sz val="10"/>
        <rFont val="나눔고딕"/>
        <family val="2"/>
      </rPr>
      <t xml:space="preserve">명 정보 더 보기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감추기 정재웅 김성안 박수빈 배효정 서정민 서진원 양채윤 이민혁 장성혜 최문성</t>
    </r>
  </si>
  <si>
    <t xml:space="preserve">삼양미디어</t>
  </si>
  <si>
    <r>
      <rPr>
        <sz val="10"/>
        <rFont val="Arial"/>
        <family val="0"/>
        <charset val="1"/>
      </rPr>
      <t xml:space="preserve">Do it! </t>
    </r>
    <r>
      <rPr>
        <sz val="10"/>
        <rFont val="나눔고딕"/>
        <family val="2"/>
      </rPr>
      <t xml:space="preserve">점프 투 파이썬 라이브러리 예제 편</t>
    </r>
  </si>
  <si>
    <t xml:space="preserve">구글 엔지니어는 이렇게 일한다</t>
  </si>
  <si>
    <r>
      <rPr>
        <sz val="10"/>
        <rFont val="나눔고딕"/>
        <family val="2"/>
      </rPr>
      <t xml:space="preserve">타이터스 윈터스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톰 맨쉬렉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하이럼 라이트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개앞맵시 역</t>
    </r>
  </si>
  <si>
    <t xml:space="preserve">파이썬 머신러닝 완벽 가이드</t>
  </si>
  <si>
    <t xml:space="preserve">권철민</t>
  </si>
  <si>
    <t xml:space="preserve">헤드 퍼스트 디자인 패턴</t>
  </si>
  <si>
    <r>
      <rPr>
        <sz val="10"/>
        <rFont val="나눔고딕"/>
        <family val="2"/>
      </rPr>
      <t xml:space="preserve">에릭 프리먼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엘리자베스 롭슨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서환수 역</t>
    </r>
  </si>
  <si>
    <r>
      <rPr>
        <sz val="10"/>
        <rFont val="Arial"/>
        <family val="0"/>
        <charset val="1"/>
      </rPr>
      <t xml:space="preserve">CDT </t>
    </r>
    <r>
      <rPr>
        <sz val="10"/>
        <rFont val="나눔고딕"/>
        <family val="2"/>
      </rPr>
      <t xml:space="preserve">코딩창의개발능력 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급 엔트리</t>
    </r>
  </si>
  <si>
    <t xml:space="preserve">해람북스 기획팀</t>
  </si>
  <si>
    <t xml:space="preserve">실무 인디자인 테크닉</t>
  </si>
  <si>
    <r>
      <rPr>
        <sz val="10"/>
        <rFont val="나눔고딕"/>
        <family val="2"/>
      </rPr>
      <t xml:space="preserve">문수민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앤미디어</t>
    </r>
  </si>
  <si>
    <t xml:space="preserve">데이터베이스 개론</t>
  </si>
  <si>
    <t xml:space="preserve">김연희</t>
  </si>
  <si>
    <r>
      <rPr>
        <sz val="10"/>
        <rFont val="나눔고딕"/>
        <family val="2"/>
      </rPr>
      <t xml:space="preserve">웹 크롤링 </t>
    </r>
    <r>
      <rPr>
        <sz val="10"/>
        <rFont val="Arial"/>
        <family val="0"/>
        <charset val="1"/>
      </rPr>
      <t xml:space="preserve">&amp; </t>
    </r>
    <r>
      <rPr>
        <sz val="10"/>
        <rFont val="나눔고딕"/>
        <family val="2"/>
      </rPr>
      <t xml:space="preserve">데이터 분석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파이썬</t>
    </r>
  </si>
  <si>
    <t xml:space="preserve">프로그래머의 뇌</t>
  </si>
  <si>
    <r>
      <rPr>
        <sz val="10"/>
        <rFont val="나눔고딕"/>
        <family val="2"/>
      </rPr>
      <t xml:space="preserve">펠리너 헤르만스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차건회 역</t>
    </r>
  </si>
  <si>
    <r>
      <rPr>
        <sz val="10"/>
        <rFont val="Arial"/>
        <family val="0"/>
        <charset val="1"/>
      </rPr>
      <t xml:space="preserve">CDT </t>
    </r>
    <r>
      <rPr>
        <sz val="10"/>
        <rFont val="나눔고딕"/>
        <family val="2"/>
      </rPr>
      <t xml:space="preserve">코딩창의개발능력 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급 스크래치 </t>
    </r>
    <r>
      <rPr>
        <sz val="10"/>
        <rFont val="Arial"/>
        <family val="0"/>
        <charset val="1"/>
      </rPr>
      <t xml:space="preserve">3.0</t>
    </r>
  </si>
  <si>
    <r>
      <rPr>
        <sz val="10"/>
        <rFont val="Arial"/>
        <family val="0"/>
        <charset val="1"/>
      </rPr>
      <t xml:space="preserve">CDT </t>
    </r>
    <r>
      <rPr>
        <sz val="10"/>
        <rFont val="나눔고딕"/>
        <family val="2"/>
      </rPr>
      <t xml:space="preserve">코딩창의개발능력 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급 엔트리</t>
    </r>
  </si>
  <si>
    <t xml:space="preserve">마인크래프트 전투 핸드북</t>
  </si>
  <si>
    <r>
      <rPr>
        <sz val="10"/>
        <rFont val="나눔고딕"/>
        <family val="2"/>
      </rPr>
      <t xml:space="preserve">인벤터 </t>
    </r>
    <r>
      <rPr>
        <sz val="10"/>
        <rFont val="Arial"/>
        <family val="0"/>
        <charset val="1"/>
      </rPr>
      <t xml:space="preserve">50</t>
    </r>
    <r>
      <rPr>
        <sz val="10"/>
        <rFont val="나눔고딕"/>
        <family val="2"/>
      </rPr>
      <t xml:space="preserve">시간 완성 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조립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도면편</t>
    </r>
    <r>
      <rPr>
        <sz val="10"/>
        <rFont val="Arial"/>
        <family val="0"/>
        <charset val="1"/>
      </rPr>
      <t xml:space="preserve">)</t>
    </r>
  </si>
  <si>
    <t xml:space="preserve">신동진</t>
  </si>
  <si>
    <t xml:space="preserve">피앤피북</t>
  </si>
  <si>
    <r>
      <rPr>
        <sz val="10"/>
        <rFont val="Arial"/>
        <family val="0"/>
        <charset val="1"/>
      </rPr>
      <t xml:space="preserve">SW </t>
    </r>
    <r>
      <rPr>
        <sz val="10"/>
        <rFont val="나눔고딕"/>
        <family val="2"/>
      </rPr>
      <t xml:space="preserve">코딩자격 스크래치 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급</t>
    </r>
  </si>
  <si>
    <r>
      <rPr>
        <sz val="10"/>
        <rFont val="나눔고딕"/>
        <family val="2"/>
      </rPr>
      <t xml:space="preserve">박창수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박희숙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김세호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김석전 공저</t>
    </r>
  </si>
  <si>
    <t xml:space="preserve">광문각</t>
  </si>
  <si>
    <r>
      <rPr>
        <sz val="10"/>
        <rFont val="나눔고딕"/>
        <family val="2"/>
      </rPr>
      <t xml:space="preserve">인공지능 </t>
    </r>
    <r>
      <rPr>
        <sz val="10"/>
        <rFont val="Arial"/>
        <family val="0"/>
        <charset val="1"/>
      </rPr>
      <t xml:space="preserve">2</t>
    </r>
  </si>
  <si>
    <r>
      <rPr>
        <sz val="10"/>
        <rFont val="나눔고딕"/>
        <family val="2"/>
      </rPr>
      <t xml:space="preserve">스튜어트 러셀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피터 노빅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류광 역</t>
    </r>
  </si>
  <si>
    <r>
      <rPr>
        <sz val="10"/>
        <rFont val="나눔고딕"/>
        <family val="2"/>
      </rPr>
      <t xml:space="preserve">인공지능 </t>
    </r>
    <r>
      <rPr>
        <sz val="10"/>
        <rFont val="Arial"/>
        <family val="0"/>
        <charset val="1"/>
      </rPr>
      <t xml:space="preserve">1</t>
    </r>
  </si>
  <si>
    <t xml:space="preserve">어떻게 인간과 공존하는 인공지능을 만들 것인가</t>
  </si>
  <si>
    <r>
      <rPr>
        <sz val="10"/>
        <rFont val="나눔고딕"/>
        <family val="2"/>
      </rPr>
      <t xml:space="preserve">스튜어트 러셀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이한음 역</t>
    </r>
  </si>
  <si>
    <r>
      <rPr>
        <sz val="10"/>
        <rFont val="나눔고딕"/>
        <family val="2"/>
      </rPr>
      <t xml:space="preserve">린 </t>
    </r>
    <r>
      <rPr>
        <sz val="10"/>
        <rFont val="Arial"/>
        <family val="0"/>
        <charset val="1"/>
      </rPr>
      <t xml:space="preserve">AI</t>
    </r>
  </si>
  <si>
    <r>
      <rPr>
        <sz val="10"/>
        <rFont val="나눔고딕"/>
        <family val="2"/>
      </rPr>
      <t xml:space="preserve">로밋 파텔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박기석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최은정 역</t>
    </r>
  </si>
  <si>
    <r>
      <rPr>
        <sz val="10"/>
        <rFont val="Arial"/>
        <family val="0"/>
        <charset val="1"/>
      </rPr>
      <t xml:space="preserve">OX</t>
    </r>
    <r>
      <rPr>
        <sz val="10"/>
        <rFont val="나눔고딕"/>
        <family val="2"/>
      </rPr>
      <t xml:space="preserve">로 배우는 배경 일러스트</t>
    </r>
  </si>
  <si>
    <r>
      <rPr>
        <sz val="10"/>
        <rFont val="나눔고딕"/>
        <family val="2"/>
      </rPr>
      <t xml:space="preserve">사케하라스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김재훈 역</t>
    </r>
  </si>
  <si>
    <t xml:space="preserve">한스미디어</t>
  </si>
  <si>
    <t xml:space="preserve">웹소설 써서 먹고삽니다</t>
  </si>
  <si>
    <t xml:space="preserve">정무늬</t>
  </si>
  <si>
    <r>
      <rPr>
        <sz val="10"/>
        <rFont val="Arial"/>
        <family val="0"/>
        <charset val="1"/>
      </rPr>
      <t xml:space="preserve">Do it! </t>
    </r>
    <r>
      <rPr>
        <sz val="10"/>
        <rFont val="나눔고딕"/>
        <family val="2"/>
      </rPr>
      <t xml:space="preserve">첫 코딩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파이썬</t>
    </r>
  </si>
  <si>
    <t xml:space="preserve">정동균</t>
  </si>
  <si>
    <t xml:space="preserve">혼자 공부하는 자바스크립트</t>
  </si>
  <si>
    <t xml:space="preserve">형식언어와 오토마타</t>
  </si>
  <si>
    <r>
      <rPr>
        <sz val="10"/>
        <rFont val="Arial"/>
        <family val="0"/>
        <charset val="1"/>
      </rPr>
      <t xml:space="preserve">Peter Linz </t>
    </r>
    <r>
      <rPr>
        <sz val="10"/>
        <rFont val="나눔고딕"/>
        <family val="2"/>
      </rPr>
      <t xml:space="preserve">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김응모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엄영식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박희진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배상원 역</t>
    </r>
  </si>
  <si>
    <r>
      <rPr>
        <sz val="10"/>
        <rFont val="나눔고딕"/>
        <family val="2"/>
      </rPr>
      <t xml:space="preserve">그림으로 공부하는 </t>
    </r>
    <r>
      <rPr>
        <sz val="10"/>
        <rFont val="Arial"/>
        <family val="0"/>
        <charset val="1"/>
      </rPr>
      <t xml:space="preserve">IT </t>
    </r>
    <r>
      <rPr>
        <sz val="10"/>
        <rFont val="나눔고딕"/>
        <family val="2"/>
      </rPr>
      <t xml:space="preserve">인프라 구조</t>
    </r>
  </si>
  <si>
    <r>
      <rPr>
        <sz val="10"/>
        <rFont val="나눔고딕"/>
        <family val="2"/>
      </rPr>
      <t xml:space="preserve">야마자키 야스시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미나와 케이코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아제카츠 요헤이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사토 타카히코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김완섭 역 외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명 정보 더 보기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감추기 야마자키 야스시 미나와 케이코 아제카츠 요헤이 사토 타카히코 김완섭 오다 케이지</t>
    </r>
  </si>
  <si>
    <r>
      <rPr>
        <sz val="10"/>
        <rFont val="나눔고딕"/>
        <family val="2"/>
      </rPr>
      <t xml:space="preserve">마이크로카피 </t>
    </r>
    <r>
      <rPr>
        <sz val="10"/>
        <rFont val="Arial"/>
        <family val="0"/>
        <charset val="1"/>
      </rPr>
      <t xml:space="preserve">2/e</t>
    </r>
  </si>
  <si>
    <r>
      <rPr>
        <sz val="10"/>
        <rFont val="나눔고딕"/>
        <family val="2"/>
      </rPr>
      <t xml:space="preserve">킨너렛 이프라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변상희 역</t>
    </r>
  </si>
  <si>
    <r>
      <rPr>
        <sz val="10"/>
        <rFont val="나눔고딕"/>
        <family val="2"/>
      </rPr>
      <t xml:space="preserve">밑바닥부터 시작하는 딥러닝 </t>
    </r>
    <r>
      <rPr>
        <sz val="10"/>
        <rFont val="Arial"/>
        <family val="0"/>
        <charset val="1"/>
      </rPr>
      <t xml:space="preserve">3</t>
    </r>
  </si>
  <si>
    <t xml:space="preserve">딥러닝을 위한 선형대수학</t>
  </si>
  <si>
    <r>
      <rPr>
        <sz val="10"/>
        <rFont val="나눔고딕"/>
        <family val="2"/>
      </rPr>
      <t xml:space="preserve">길버트 스트랭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부산대학교 산업수학센터</t>
    </r>
    <r>
      <rPr>
        <sz val="10"/>
        <rFont val="Arial"/>
        <family val="0"/>
        <charset val="1"/>
      </rPr>
      <t xml:space="preserve">(FFMIMC) </t>
    </r>
    <r>
      <rPr>
        <sz val="10"/>
        <rFont val="나눔고딕"/>
        <family val="2"/>
      </rPr>
      <t xml:space="preserve">역</t>
    </r>
  </si>
  <si>
    <r>
      <rPr>
        <sz val="10"/>
        <rFont val="Arial"/>
        <family val="0"/>
        <charset val="1"/>
      </rPr>
      <t xml:space="preserve">SQL </t>
    </r>
    <r>
      <rPr>
        <sz val="10"/>
        <rFont val="나눔고딕"/>
        <family val="2"/>
      </rPr>
      <t xml:space="preserve">전문가 가이드</t>
    </r>
  </si>
  <si>
    <t xml:space="preserve">한국데이터산업진흥원</t>
  </si>
  <si>
    <t xml:space="preserve">단단한 강화학습</t>
  </si>
  <si>
    <r>
      <rPr>
        <sz val="10"/>
        <rFont val="나눔고딕"/>
        <family val="2"/>
      </rPr>
      <t xml:space="preserve">리처드 서튼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앤드류 바르토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김성우 역</t>
    </r>
  </si>
  <si>
    <t xml:space="preserve">아두이노 드론 만들고 날리고 직접 코딩하기</t>
  </si>
  <si>
    <t xml:space="preserve">서민우</t>
  </si>
  <si>
    <r>
      <rPr>
        <sz val="10"/>
        <rFont val="나눔고딕"/>
        <family val="2"/>
      </rPr>
      <t xml:space="preserve">손에 잡히는 </t>
    </r>
    <r>
      <rPr>
        <sz val="10"/>
        <rFont val="Arial"/>
        <family val="0"/>
        <charset val="1"/>
      </rPr>
      <t xml:space="preserve">10</t>
    </r>
    <r>
      <rPr>
        <sz val="10"/>
        <rFont val="나눔고딕"/>
        <family val="2"/>
      </rPr>
      <t xml:space="preserve">분 정규 표현식</t>
    </r>
  </si>
  <si>
    <r>
      <rPr>
        <sz val="10"/>
        <rFont val="나눔고딕"/>
        <family val="2"/>
      </rPr>
      <t xml:space="preserve">벤 포터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김경수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신나라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이종진 역</t>
    </r>
  </si>
  <si>
    <r>
      <rPr>
        <sz val="10"/>
        <rFont val="나눔고딕"/>
        <family val="2"/>
      </rPr>
      <t xml:space="preserve">모두의 데이터 분석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파이썬</t>
    </r>
  </si>
  <si>
    <r>
      <rPr>
        <sz val="10"/>
        <rFont val="나눔고딕"/>
        <family val="2"/>
      </rPr>
      <t xml:space="preserve">송석리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이현아</t>
    </r>
  </si>
  <si>
    <r>
      <rPr>
        <sz val="10"/>
        <rFont val="나눔고딕"/>
        <family val="2"/>
      </rPr>
      <t xml:space="preserve">밑바닥부터 시작하는 딥러닝 </t>
    </r>
    <r>
      <rPr>
        <sz val="10"/>
        <rFont val="Arial"/>
        <family val="0"/>
        <charset val="1"/>
      </rPr>
      <t xml:space="preserve">2</t>
    </r>
  </si>
  <si>
    <t xml:space="preserve">인공지능을 위한 수학</t>
  </si>
  <si>
    <r>
      <rPr>
        <sz val="10"/>
        <rFont val="나눔고딕"/>
        <family val="2"/>
      </rPr>
      <t xml:space="preserve">이시카와 아키히코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신상재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이진희 역</t>
    </r>
  </si>
  <si>
    <t xml:space="preserve">모두의 파이썬</t>
  </si>
  <si>
    <t xml:space="preserve">이승찬</t>
  </si>
  <si>
    <t xml:space="preserve">심층 학습</t>
  </si>
  <si>
    <r>
      <rPr>
        <sz val="10"/>
        <rFont val="나눔고딕"/>
        <family val="2"/>
      </rPr>
      <t xml:space="preserve">이안 굿펠로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요슈아 벤지오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에런 쿠빌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류광 역</t>
    </r>
  </si>
  <si>
    <r>
      <rPr>
        <sz val="10"/>
        <rFont val="나눔고딕"/>
        <family val="2"/>
      </rPr>
      <t xml:space="preserve">프로그래머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수학으로 생각하라</t>
    </r>
  </si>
  <si>
    <r>
      <rPr>
        <sz val="10"/>
        <rFont val="나눔고딕"/>
        <family val="2"/>
      </rPr>
      <t xml:space="preserve">유키 히로시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안동현 역</t>
    </r>
  </si>
  <si>
    <r>
      <rPr>
        <sz val="10"/>
        <rFont val="나눔고딕"/>
        <family val="2"/>
      </rPr>
      <t xml:space="preserve">블록체인 무엇인가</t>
    </r>
    <r>
      <rPr>
        <sz val="10"/>
        <rFont val="Arial"/>
        <family val="0"/>
        <charset val="1"/>
      </rPr>
      <t xml:space="preserve">?</t>
    </r>
  </si>
  <si>
    <r>
      <rPr>
        <sz val="10"/>
        <rFont val="나눔고딕"/>
        <family val="2"/>
      </rPr>
      <t xml:space="preserve">다니엘 드레셔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이병욱 역</t>
    </r>
  </si>
  <si>
    <t xml:space="preserve">마인크래프트 네더와 엔드 가이드</t>
  </si>
  <si>
    <t xml:space="preserve">Mojang Studio</t>
  </si>
  <si>
    <r>
      <rPr>
        <sz val="10"/>
        <rFont val="Arial"/>
        <family val="0"/>
        <charset val="1"/>
      </rPr>
      <t xml:space="preserve">Code Complete </t>
    </r>
    <r>
      <rPr>
        <sz val="10"/>
        <rFont val="나눔고딕"/>
        <family val="2"/>
      </rPr>
      <t xml:space="preserve">코드 컴플리트 </t>
    </r>
    <r>
      <rPr>
        <sz val="10"/>
        <rFont val="Arial"/>
        <family val="0"/>
        <charset val="1"/>
      </rPr>
      <t xml:space="preserve">2</t>
    </r>
  </si>
  <si>
    <r>
      <rPr>
        <sz val="10"/>
        <rFont val="나눔고딕"/>
        <family val="2"/>
      </rPr>
      <t xml:space="preserve">스티브 매코널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서우석 역</t>
    </r>
  </si>
  <si>
    <r>
      <rPr>
        <sz val="10"/>
        <rFont val="Arial"/>
        <family val="0"/>
        <charset val="1"/>
      </rPr>
      <t xml:space="preserve">Mano</t>
    </r>
    <r>
      <rPr>
        <sz val="10"/>
        <rFont val="나눔고딕"/>
        <family val="2"/>
      </rPr>
      <t xml:space="preserve">의 컴퓨터시스템구조</t>
    </r>
  </si>
  <si>
    <r>
      <rPr>
        <sz val="10"/>
        <rFont val="Arial"/>
        <family val="0"/>
        <charset val="1"/>
      </rPr>
      <t xml:space="preserve">M. Morris Mano </t>
    </r>
    <r>
      <rPr>
        <sz val="10"/>
        <rFont val="나눔고딕"/>
        <family val="2"/>
      </rPr>
      <t xml:space="preserve">저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김종상 역</t>
    </r>
  </si>
  <si>
    <t xml:space="preserve">프로텍미디어</t>
  </si>
  <si>
    <t xml:space="preserve">누워서 읽는 알고리즘</t>
  </si>
  <si>
    <t xml:space="preserve">임백준</t>
  </si>
  <si>
    <t xml:space="preserve">타이포그래피 교과서</t>
  </si>
  <si>
    <r>
      <rPr>
        <sz val="10"/>
        <rFont val="나눔고딕"/>
        <family val="2"/>
      </rPr>
      <t xml:space="preserve">제임스 크레이그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아이린 코롤 스칼라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윌리엄 베빙튼 공저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최문경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문지숙 공역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안상수 감수</t>
    </r>
  </si>
  <si>
    <t xml:space="preserve">안그라픽스</t>
  </si>
  <si>
    <r>
      <rPr>
        <sz val="10"/>
        <rFont val="나눔고딕"/>
        <family val="2"/>
      </rPr>
      <t xml:space="preserve">믹스 테크닉 </t>
    </r>
    <r>
      <rPr>
        <sz val="10"/>
        <rFont val="Arial"/>
        <family val="0"/>
        <charset val="1"/>
      </rPr>
      <t xml:space="preserve">99</t>
    </r>
  </si>
  <si>
    <r>
      <rPr>
        <sz val="10"/>
        <rFont val="나눔고딕"/>
        <family val="2"/>
      </rPr>
      <t xml:space="preserve">쿠즈마키 요시로 저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최정훈 감수</t>
    </r>
  </si>
  <si>
    <t xml:space="preserve">SRMUSIC</t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</si>
  <si>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바이브 코딩 마스터</t>
    </r>
  </si>
  <si>
    <r>
      <rPr>
        <sz val="10"/>
        <rFont val="나눔고딕"/>
        <family val="2"/>
      </rPr>
      <t xml:space="preserve">정의석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정윤식</t>
    </r>
  </si>
  <si>
    <r>
      <rPr>
        <sz val="10"/>
        <rFont val="나눔고딕"/>
        <family val="2"/>
      </rPr>
      <t xml:space="preserve">뼛속까지 문과생도 단번에 이해하는 쉬운 말로 풀어 쓴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기초 수학 이야기</t>
    </r>
  </si>
  <si>
    <t xml:space="preserve">이승도</t>
  </si>
  <si>
    <t xml:space="preserve">책도사</t>
  </si>
  <si>
    <r>
      <rPr>
        <sz val="10"/>
        <rFont val="나눔고딕"/>
        <family val="2"/>
      </rPr>
      <t xml:space="preserve">비개발자도 클로드 코드로 쉽게 만드는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웹 서비스</t>
    </r>
  </si>
  <si>
    <t xml:space="preserve">최원재</t>
  </si>
  <si>
    <t xml:space="preserve">게임으로 철학하기</t>
  </si>
  <si>
    <r>
      <rPr>
        <sz val="10"/>
        <rFont val="나눔고딕"/>
        <family val="2"/>
      </rPr>
      <t xml:space="preserve">주자안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정세경 역</t>
    </r>
  </si>
  <si>
    <t xml:space="preserve">현암사</t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</si>
  <si>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수학 개념만이라도 충분하다</t>
    </r>
  </si>
  <si>
    <t xml:space="preserve">김용현</t>
  </si>
  <si>
    <t xml:space="preserve">골든벨</t>
  </si>
  <si>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시대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스토리텔링의 재탄생</t>
    </r>
  </si>
  <si>
    <t xml:space="preserve">김태원</t>
  </si>
  <si>
    <t xml:space="preserve">파람북</t>
  </si>
  <si>
    <t xml:space="preserve">슈퍼휴먼 슈퍼워크</t>
  </si>
  <si>
    <r>
      <rPr>
        <sz val="10"/>
        <rFont val="나눔고딕"/>
        <family val="2"/>
      </rPr>
      <t xml:space="preserve">유호현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김진실</t>
    </r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</si>
  <si>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워커스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</rPr>
      <t xml:space="preserve">리디자인</t>
    </r>
  </si>
  <si>
    <t xml:space="preserve">김아람</t>
  </si>
  <si>
    <r>
      <rPr>
        <sz val="10"/>
        <rFont val="Arial"/>
        <family val="0"/>
        <charset val="1"/>
      </rPr>
      <t xml:space="preserve">Live2D </t>
    </r>
    <r>
      <rPr>
        <sz val="10"/>
        <rFont val="나눔고딕"/>
        <family val="2"/>
      </rPr>
      <t xml:space="preserve">모델링 </t>
    </r>
    <r>
      <rPr>
        <sz val="10"/>
        <rFont val="Arial"/>
        <family val="0"/>
        <charset val="1"/>
      </rPr>
      <t xml:space="preserve">&amp; </t>
    </r>
    <r>
      <rPr>
        <sz val="10"/>
        <rFont val="나눔고딕"/>
        <family val="2"/>
      </rPr>
      <t xml:space="preserve">애니메이션 팁</t>
    </r>
  </si>
  <si>
    <r>
      <rPr>
        <sz val="10"/>
        <rFont val="나눔고딕"/>
        <family val="2"/>
      </rPr>
      <t xml:space="preserve">카라아게마루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칸부츠히모노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노논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후미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김모세 역</t>
    </r>
  </si>
  <si>
    <r>
      <rPr>
        <sz val="10"/>
        <rFont val="나눔고딕"/>
        <family val="2"/>
      </rPr>
      <t xml:space="preserve">출근하는 디자이너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프리랜서 디자이너</t>
    </r>
  </si>
  <si>
    <t xml:space="preserve">공작슈퍼</t>
  </si>
  <si>
    <r>
      <rPr>
        <sz val="10"/>
        <rFont val="Arial"/>
        <family val="0"/>
        <charset val="1"/>
      </rPr>
      <t xml:space="preserve">UX/UI </t>
    </r>
    <r>
      <rPr>
        <sz val="10"/>
        <rFont val="나눔고딕"/>
        <family val="2"/>
      </rPr>
      <t xml:space="preserve">디자인 완벽 가이드</t>
    </r>
    <r>
      <rPr>
        <sz val="10"/>
        <rFont val="Arial"/>
        <family val="0"/>
        <charset val="1"/>
      </rPr>
      <t xml:space="preserve">: UI, </t>
    </r>
    <r>
      <rPr>
        <sz val="10"/>
        <rFont val="나눔고딕"/>
        <family val="2"/>
      </rPr>
      <t xml:space="preserve">인터랙션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프로토타이핑 편</t>
    </r>
  </si>
  <si>
    <r>
      <rPr>
        <sz val="10"/>
        <rFont val="나눔고딕"/>
        <family val="2"/>
      </rPr>
      <t xml:space="preserve">조성봉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이정은</t>
    </r>
  </si>
  <si>
    <r>
      <rPr>
        <sz val="10"/>
        <rFont val="Arial"/>
        <family val="0"/>
        <charset val="1"/>
      </rPr>
      <t xml:space="preserve">NLP</t>
    </r>
    <r>
      <rPr>
        <sz val="10"/>
        <rFont val="나눔고딕"/>
        <family val="2"/>
      </rPr>
      <t xml:space="preserve">와 </t>
    </r>
    <r>
      <rPr>
        <sz val="10"/>
        <rFont val="Arial"/>
        <family val="0"/>
        <charset val="1"/>
      </rPr>
      <t xml:space="preserve">LLM </t>
    </r>
    <r>
      <rPr>
        <sz val="10"/>
        <rFont val="나눔고딕"/>
        <family val="2"/>
      </rPr>
      <t xml:space="preserve">실전 가이드</t>
    </r>
  </si>
  <si>
    <r>
      <rPr>
        <sz val="10"/>
        <rFont val="나눔고딕"/>
        <family val="2"/>
      </rPr>
      <t xml:space="preserve">리오르 가지트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메이삼 가파리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박조은 역</t>
    </r>
  </si>
  <si>
    <r>
      <rPr>
        <sz val="10"/>
        <rFont val="나눔고딕"/>
        <family val="2"/>
      </rPr>
      <t xml:space="preserve">일러스트레이터 </t>
    </r>
    <r>
      <rPr>
        <sz val="10"/>
        <rFont val="Arial"/>
        <family val="0"/>
        <charset val="1"/>
      </rPr>
      <t xml:space="preserve">with AI</t>
    </r>
  </si>
  <si>
    <t xml:space="preserve">허준영</t>
  </si>
  <si>
    <t xml:space="preserve">길벗캠퍼스</t>
  </si>
  <si>
    <t xml:space="preserve">이펙티브 소프트웨어 테스팅</t>
  </si>
  <si>
    <r>
      <rPr>
        <sz val="10"/>
        <rFont val="나눔고딕"/>
        <family val="2"/>
      </rPr>
      <t xml:space="preserve">마우리시오 아니시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한용재 역</t>
    </r>
  </si>
  <si>
    <t xml:space="preserve">실전 카프카 개발부터 운영까지</t>
  </si>
  <si>
    <t xml:space="preserve">고승범</t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</si>
  <si>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숏폼 동영상 구글 플로우 </t>
    </r>
    <r>
      <rPr>
        <sz val="10"/>
        <rFont val="Arial"/>
        <family val="0"/>
        <charset val="1"/>
      </rPr>
      <t xml:space="preserve">FLOW </t>
    </r>
    <r>
      <rPr>
        <sz val="10"/>
        <rFont val="나눔고딕"/>
        <family val="2"/>
      </rPr>
      <t xml:space="preserve">비오</t>
    </r>
    <r>
      <rPr>
        <sz val="10"/>
        <rFont val="Arial"/>
        <family val="0"/>
        <charset val="1"/>
      </rPr>
      <t xml:space="preserve">3 VEO3 </t>
    </r>
    <r>
      <rPr>
        <sz val="10"/>
        <rFont val="나눔고딕"/>
        <family val="2"/>
      </rPr>
      <t xml:space="preserve">유튜브 쇼츠 인스타그램 릴스 틱톡 네이버 클립 인공지능 만들기 제작 책 학원강의 교재보다 좋은 </t>
    </r>
    <r>
      <rPr>
        <sz val="10"/>
        <rFont val="Arial"/>
        <family val="0"/>
        <charset val="1"/>
      </rPr>
      <t xml:space="preserve">USB </t>
    </r>
    <r>
      <rPr>
        <sz val="10"/>
        <rFont val="나눔고딕"/>
        <family val="2"/>
      </rPr>
      <t xml:space="preserve">강좌 초보 교육 사용법</t>
    </r>
  </si>
  <si>
    <t xml:space="preserve">액션미디어</t>
  </si>
  <si>
    <r>
      <rPr>
        <sz val="10"/>
        <rFont val="나눔고딕"/>
        <family val="2"/>
      </rPr>
      <t xml:space="preserve">실전 </t>
    </r>
    <r>
      <rPr>
        <sz val="10"/>
        <rFont val="Arial"/>
        <family val="0"/>
        <charset val="1"/>
      </rPr>
      <t xml:space="preserve">50</t>
    </r>
    <r>
      <rPr>
        <sz val="10"/>
        <rFont val="나눔고딕"/>
        <family val="2"/>
      </rPr>
      <t xml:space="preserve">개 프로젝트로 배우는 바이브 코딩</t>
    </r>
  </si>
  <si>
    <r>
      <rPr>
        <sz val="10"/>
        <rFont val="나눔고딕"/>
        <family val="2"/>
      </rPr>
      <t xml:space="preserve">김선철 저</t>
    </r>
    <r>
      <rPr>
        <sz val="10"/>
        <rFont val="Arial"/>
        <family val="0"/>
        <charset val="1"/>
      </rPr>
      <t xml:space="preserve">/AI </t>
    </r>
    <r>
      <rPr>
        <sz val="10"/>
        <rFont val="나눔고딕"/>
        <family val="2"/>
      </rPr>
      <t xml:space="preserve">저</t>
    </r>
    <r>
      <rPr>
        <sz val="10"/>
        <rFont val="Arial"/>
        <family val="0"/>
        <charset val="1"/>
      </rPr>
      <t xml:space="preserve">(AI</t>
    </r>
    <r>
      <rPr>
        <sz val="10"/>
        <rFont val="나눔고딕"/>
        <family val="2"/>
      </rPr>
      <t xml:space="preserve">생성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</si>
  <si>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코딩런 캐릭터코딩 파워포인트 </t>
    </r>
    <r>
      <rPr>
        <sz val="10"/>
        <rFont val="Arial"/>
        <family val="0"/>
        <charset val="1"/>
      </rPr>
      <t xml:space="preserve">&amp; </t>
    </r>
    <r>
      <rPr>
        <sz val="10"/>
        <rFont val="나눔고딕"/>
        <family val="2"/>
      </rPr>
      <t xml:space="preserve">엔트리</t>
    </r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</si>
  <si>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시대 디자인 교육의 사고 구조</t>
    </r>
  </si>
  <si>
    <t xml:space="preserve">정유섭</t>
  </si>
  <si>
    <r>
      <rPr>
        <sz val="10"/>
        <rFont val="나눔고딕"/>
        <family val="2"/>
      </rPr>
      <t xml:space="preserve">제미나이 실무 활용 가이드 </t>
    </r>
    <r>
      <rPr>
        <sz val="10"/>
        <rFont val="Arial"/>
        <family val="0"/>
        <charset val="1"/>
      </rPr>
      <t xml:space="preserve">USB</t>
    </r>
  </si>
  <si>
    <t xml:space="preserve">액션미디어 편집부</t>
  </si>
  <si>
    <r>
      <rPr>
        <sz val="10"/>
        <rFont val="나눔고딕"/>
        <family val="2"/>
      </rPr>
      <t xml:space="preserve">나도 해볼까</t>
    </r>
    <r>
      <rPr>
        <sz val="10"/>
        <rFont val="Arial"/>
        <family val="0"/>
        <charset val="1"/>
      </rPr>
      <t xml:space="preserve">? </t>
    </r>
    <r>
      <rPr>
        <sz val="10"/>
        <rFont val="나눔고딕"/>
        <family val="2"/>
      </rPr>
      <t xml:space="preserve">요즘 코인 투자</t>
    </r>
  </si>
  <si>
    <t xml:space="preserve">김규태</t>
  </si>
  <si>
    <r>
      <rPr>
        <sz val="10"/>
        <rFont val="나눔고딕"/>
        <family val="2"/>
      </rPr>
      <t xml:space="preserve">처음 시작하는 클라우드와 </t>
    </r>
    <r>
      <rPr>
        <sz val="10"/>
        <rFont val="Arial"/>
        <family val="0"/>
        <charset val="1"/>
      </rPr>
      <t xml:space="preserve">AWS</t>
    </r>
  </si>
  <si>
    <t xml:space="preserve">허유빈</t>
  </si>
  <si>
    <r>
      <rPr>
        <sz val="10"/>
        <rFont val="나눔고딕"/>
        <family val="2"/>
      </rPr>
      <t xml:space="preserve">키득키득 반반한 </t>
    </r>
    <r>
      <rPr>
        <sz val="10"/>
        <rFont val="Arial"/>
        <family val="0"/>
        <charset val="1"/>
      </rPr>
      <t xml:space="preserve">OA </t>
    </r>
    <r>
      <rPr>
        <sz val="10"/>
        <rFont val="나눔고딕"/>
        <family val="2"/>
      </rPr>
      <t xml:space="preserve">파워포인트</t>
    </r>
    <r>
      <rPr>
        <sz val="10"/>
        <rFont val="Arial"/>
        <family val="0"/>
        <charset val="1"/>
      </rPr>
      <t xml:space="preserve">+</t>
    </r>
    <r>
      <rPr>
        <sz val="10"/>
        <rFont val="나눔고딕"/>
        <family val="2"/>
      </rPr>
      <t xml:space="preserve">엑셀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인터넷</t>
    </r>
    <r>
      <rPr>
        <sz val="10"/>
        <rFont val="Arial"/>
        <family val="0"/>
        <charset val="1"/>
      </rPr>
      <t xml:space="preserve">+AI</t>
    </r>
  </si>
  <si>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로 나만의 </t>
    </r>
    <r>
      <rPr>
        <sz val="10"/>
        <rFont val="Arial"/>
        <family val="0"/>
        <charset val="1"/>
      </rPr>
      <t xml:space="preserve">3D </t>
    </r>
    <r>
      <rPr>
        <sz val="10"/>
        <rFont val="나눔고딕"/>
        <family val="2"/>
      </rPr>
      <t xml:space="preserve">애니메이션 만들기</t>
    </r>
  </si>
  <si>
    <t xml:space="preserve">김희령</t>
  </si>
  <si>
    <t xml:space="preserve">평범한 나를 능력자로 바꾸는 클로드 완전 마스터</t>
  </si>
  <si>
    <t xml:space="preserve">정의</t>
  </si>
  <si>
    <r>
      <rPr>
        <sz val="10"/>
        <rFont val="나눔고딕"/>
        <family val="2"/>
      </rPr>
      <t xml:space="preserve">죽음의 스프링 배치 </t>
    </r>
    <r>
      <rPr>
        <sz val="10"/>
        <rFont val="Arial"/>
        <family val="0"/>
        <charset val="1"/>
      </rPr>
      <t xml:space="preserve">6</t>
    </r>
  </si>
  <si>
    <t xml:space="preserve">KILL-9</t>
  </si>
  <si>
    <t xml:space="preserve">데이터 분석 오답 노트</t>
  </si>
  <si>
    <r>
      <rPr>
        <sz val="10"/>
        <rFont val="나눔고딕"/>
        <family val="2"/>
      </rPr>
      <t xml:space="preserve">주정민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허현</t>
    </r>
  </si>
  <si>
    <t xml:space="preserve">디지털 보안 전략과 인간중심보안</t>
  </si>
  <si>
    <t xml:space="preserve">김정덕</t>
  </si>
  <si>
    <t xml:space="preserve">한국학술정보</t>
  </si>
  <si>
    <r>
      <rPr>
        <sz val="10"/>
        <rFont val="나눔고딕"/>
        <family val="2"/>
      </rPr>
      <t xml:space="preserve">음악과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기술 트렌드 </t>
    </r>
    <r>
      <rPr>
        <sz val="10"/>
        <rFont val="Arial"/>
        <family val="0"/>
        <charset val="1"/>
      </rPr>
      <t xml:space="preserve">2026</t>
    </r>
  </si>
  <si>
    <r>
      <rPr>
        <sz val="10"/>
        <rFont val="나눔고딕"/>
        <family val="2"/>
      </rPr>
      <t xml:space="preserve">이주원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이지원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백설우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김순근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장용철 저 외 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명 정보 더 보기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감추기 이주원 이지원 백설우 김순근 장용철 한일명 김용호 최안식</t>
    </r>
  </si>
  <si>
    <t xml:space="preserve">팀스토리</t>
  </si>
  <si>
    <r>
      <rPr>
        <sz val="10"/>
        <rFont val="나눔고딕"/>
        <family val="2"/>
      </rPr>
      <t xml:space="preserve">매출을 만드는 데이터 분석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챗</t>
    </r>
    <r>
      <rPr>
        <sz val="10"/>
        <rFont val="Arial"/>
        <family val="0"/>
        <charset val="1"/>
      </rPr>
      <t xml:space="preserve">GPT</t>
    </r>
  </si>
  <si>
    <t xml:space="preserve">조선미</t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</si>
  <si>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사고 설계 </t>
    </r>
    <r>
      <rPr>
        <sz val="10"/>
        <rFont val="Arial"/>
        <family val="0"/>
        <charset val="1"/>
      </rPr>
      <t xml:space="preserve">M-PREP™</t>
    </r>
  </si>
  <si>
    <t xml:space="preserve">임재춘</t>
  </si>
  <si>
    <r>
      <rPr>
        <sz val="10"/>
        <rFont val="나눔고딕"/>
        <family val="2"/>
      </rPr>
      <t xml:space="preserve">북코리아</t>
    </r>
    <r>
      <rPr>
        <sz val="10"/>
        <rFont val="Arial"/>
        <family val="0"/>
        <charset val="1"/>
      </rPr>
      <t xml:space="preserve">(Bookorea)</t>
    </r>
  </si>
  <si>
    <r>
      <rPr>
        <sz val="10"/>
        <rFont val="나눔고딕"/>
        <family val="2"/>
      </rPr>
      <t xml:space="preserve">라즈베리파이와 함께하는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비전 시스템 구축 첫 걸음</t>
    </r>
  </si>
  <si>
    <r>
      <rPr>
        <sz val="10"/>
        <rFont val="나눔고딕"/>
        <family val="2"/>
      </rPr>
      <t xml:space="preserve">김기태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조주용</t>
    </r>
  </si>
  <si>
    <r>
      <rPr>
        <sz val="10"/>
        <rFont val="나눔고딕"/>
        <family val="2"/>
      </rPr>
      <t xml:space="preserve">내 손안에 일상이 되는 </t>
    </r>
    <r>
      <rPr>
        <sz val="10"/>
        <rFont val="Arial"/>
        <family val="0"/>
        <charset val="1"/>
      </rPr>
      <t xml:space="preserve">ChatGPT&amp;Gemini</t>
    </r>
  </si>
  <si>
    <r>
      <rPr>
        <sz val="10"/>
        <rFont val="나눔고딕"/>
        <family val="2"/>
      </rPr>
      <t xml:space="preserve">김아진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윤이음</t>
    </r>
  </si>
  <si>
    <t xml:space="preserve">예문랩</t>
  </si>
  <si>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로봇이 당신의 직업을 빼앗아간다</t>
    </r>
  </si>
  <si>
    <r>
      <rPr>
        <sz val="10"/>
        <rFont val="나눔고딕"/>
        <family val="2"/>
      </rPr>
      <t xml:space="preserve">고경철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박현섭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황정훈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조규남</t>
    </r>
  </si>
  <si>
    <t xml:space="preserve">크라운출판사</t>
  </si>
  <si>
    <t xml:space="preserve">백엔드 개발자 온보딩 가이드</t>
  </si>
  <si>
    <r>
      <rPr>
        <sz val="10"/>
        <rFont val="나눔고딕"/>
        <family val="2"/>
      </rPr>
      <t xml:space="preserve">이준형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김석현</t>
    </r>
  </si>
  <si>
    <r>
      <rPr>
        <sz val="10"/>
        <rFont val="나눔고딕"/>
        <family val="2"/>
      </rPr>
      <t xml:space="preserve">챗</t>
    </r>
    <r>
      <rPr>
        <sz val="10"/>
        <rFont val="Arial"/>
        <family val="0"/>
        <charset val="1"/>
      </rPr>
      <t xml:space="preserve">GPT CHAT </t>
    </r>
    <r>
      <rPr>
        <sz val="10"/>
        <rFont val="나눔고딕"/>
        <family val="2"/>
      </rPr>
      <t xml:space="preserve">입문 활용 공부 사용법과  인공지능 지피티 영어 배우기 프롬프트 수업 </t>
    </r>
    <r>
      <rPr>
        <sz val="10"/>
        <rFont val="Arial"/>
        <family val="0"/>
        <charset val="1"/>
      </rPr>
      <t xml:space="preserve">&amp; AI </t>
    </r>
    <r>
      <rPr>
        <sz val="10"/>
        <rFont val="나눔고딕"/>
        <family val="2"/>
      </rPr>
      <t xml:space="preserve">기초 책 학원강의 특강 도서 교재보다 좋은 </t>
    </r>
    <r>
      <rPr>
        <sz val="10"/>
        <rFont val="Arial"/>
        <family val="0"/>
        <charset val="1"/>
      </rPr>
      <t xml:space="preserve">USB </t>
    </r>
    <r>
      <rPr>
        <sz val="10"/>
        <rFont val="나눔고딕"/>
        <family val="2"/>
      </rPr>
      <t xml:space="preserve">강좌 교육</t>
    </r>
  </si>
  <si>
    <r>
      <rPr>
        <sz val="10"/>
        <rFont val="나눔고딕"/>
        <family val="2"/>
      </rPr>
      <t xml:space="preserve">챗</t>
    </r>
    <r>
      <rPr>
        <sz val="10"/>
        <rFont val="Arial"/>
        <family val="0"/>
        <charset val="1"/>
      </rPr>
      <t xml:space="preserve">GPT </t>
    </r>
    <r>
      <rPr>
        <sz val="10"/>
        <rFont val="나눔고딕"/>
        <family val="2"/>
      </rPr>
      <t xml:space="preserve">실무 활용 가이드 </t>
    </r>
    <r>
      <rPr>
        <sz val="10"/>
        <rFont val="Arial"/>
        <family val="0"/>
        <charset val="1"/>
      </rPr>
      <t xml:space="preserve">Chat  </t>
    </r>
    <r>
      <rPr>
        <sz val="10"/>
        <rFont val="나눔고딕"/>
        <family val="2"/>
      </rPr>
      <t xml:space="preserve">공부 사용법과 인공지능 지피티 엑셀 블로그 유튜브 </t>
    </r>
    <r>
      <rPr>
        <sz val="10"/>
        <rFont val="Arial"/>
        <family val="0"/>
        <charset val="1"/>
      </rPr>
      <t xml:space="preserve">ppt </t>
    </r>
    <r>
      <rPr>
        <sz val="10"/>
        <rFont val="나눔고딕"/>
        <family val="2"/>
      </rPr>
      <t xml:space="preserve">배우기  수업 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기초 책 학원강의 특강 도서 교재보다 좋은 </t>
    </r>
    <r>
      <rPr>
        <sz val="10"/>
        <rFont val="Arial"/>
        <family val="0"/>
        <charset val="1"/>
      </rPr>
      <t xml:space="preserve">USB </t>
    </r>
    <r>
      <rPr>
        <sz val="10"/>
        <rFont val="나눔고딕"/>
        <family val="2"/>
      </rPr>
      <t xml:space="preserve">강좌 교육</t>
    </r>
  </si>
  <si>
    <r>
      <rPr>
        <sz val="10"/>
        <rFont val="나눔고딕"/>
        <family val="2"/>
      </rPr>
      <t xml:space="preserve">네이버 키워드 검색 광고 파워링크 등록 올리는 방법과 쇼핑 마케팅 홍보 파워컨텐츠 등록 배우기</t>
    </r>
    <r>
      <rPr>
        <sz val="10"/>
        <rFont val="Arial"/>
        <family val="0"/>
        <charset val="1"/>
      </rPr>
      <t xml:space="preserve">&amp; </t>
    </r>
    <r>
      <rPr>
        <sz val="10"/>
        <rFont val="나눔고딕"/>
        <family val="2"/>
      </rPr>
      <t xml:space="preserve">책 교재 학원강의보다 좋은 </t>
    </r>
    <r>
      <rPr>
        <sz val="10"/>
        <rFont val="Arial"/>
        <family val="0"/>
        <charset val="1"/>
      </rPr>
      <t xml:space="preserve">USB </t>
    </r>
    <r>
      <rPr>
        <sz val="10"/>
        <rFont val="나눔고딕"/>
        <family val="2"/>
      </rPr>
      <t xml:space="preserve">강좌 교육</t>
    </r>
  </si>
  <si>
    <t xml:space="preserve">바이브 코딩 항해일지</t>
  </si>
  <si>
    <t xml:space="preserve">동준상</t>
  </si>
  <si>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로 가속하는 일의 효율화</t>
    </r>
  </si>
  <si>
    <r>
      <rPr>
        <sz val="10"/>
        <rFont val="나눔고딕"/>
        <family val="2"/>
      </rPr>
      <t xml:space="preserve">하이토 겐고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콘텐츠 연구소 역</t>
    </r>
  </si>
  <si>
    <t xml:space="preserve">디지털 야누스의 두 얼굴</t>
  </si>
  <si>
    <r>
      <rPr>
        <sz val="10"/>
        <rFont val="나눔고딕"/>
        <family val="2"/>
      </rPr>
      <t xml:space="preserve">김준우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김신곤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김정덕</t>
    </r>
  </si>
  <si>
    <r>
      <rPr>
        <sz val="10"/>
        <rFont val="나눔고딕"/>
        <family val="2"/>
      </rPr>
      <t xml:space="preserve">이담북스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이담</t>
    </r>
    <r>
      <rPr>
        <sz val="10"/>
        <rFont val="Arial"/>
        <family val="0"/>
        <charset val="1"/>
      </rPr>
      <t xml:space="preserve">Books)</t>
    </r>
  </si>
  <si>
    <r>
      <rPr>
        <sz val="10"/>
        <rFont val="나눔고딕"/>
        <family val="2"/>
      </rPr>
      <t xml:space="preserve">구글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제미나이</t>
    </r>
    <r>
      <rPr>
        <sz val="10"/>
        <rFont val="Arial"/>
        <family val="0"/>
        <charset val="1"/>
      </rPr>
      <t xml:space="preserve">(Gemini) 200% </t>
    </r>
    <r>
      <rPr>
        <sz val="10"/>
        <rFont val="나눔고딕"/>
        <family val="2"/>
      </rPr>
      <t xml:space="preserve">활용법</t>
    </r>
  </si>
  <si>
    <r>
      <rPr>
        <sz val="10"/>
        <rFont val="Arial"/>
        <family val="0"/>
        <charset val="1"/>
      </rPr>
      <t xml:space="preserve">F1 </t>
    </r>
    <r>
      <rPr>
        <sz val="10"/>
        <rFont val="나눔고딕"/>
        <family val="2"/>
      </rPr>
      <t xml:space="preserve">용어집 </t>
    </r>
    <r>
      <rPr>
        <sz val="10"/>
        <rFont val="Arial"/>
        <family val="0"/>
        <charset val="1"/>
      </rPr>
      <t xml:space="preserve">1211</t>
    </r>
  </si>
  <si>
    <t xml:space="preserve">윤재수</t>
  </si>
  <si>
    <r>
      <rPr>
        <sz val="10"/>
        <rFont val="나눔고딕"/>
        <family val="2"/>
      </rPr>
      <t xml:space="preserve">교사의 변화가 수업을 바꾼다</t>
    </r>
    <r>
      <rPr>
        <sz val="10"/>
        <rFont val="Arial"/>
        <family val="0"/>
        <charset val="1"/>
      </rPr>
      <t xml:space="preserve">! : </t>
    </r>
    <r>
      <rPr>
        <sz val="10"/>
        <rFont val="나눔고딕"/>
        <family val="2"/>
      </rPr>
      <t xml:space="preserve">수업을 바꾸는 교사의 </t>
    </r>
    <r>
      <rPr>
        <sz val="10"/>
        <rFont val="Arial"/>
        <family val="0"/>
        <charset val="1"/>
      </rPr>
      <t xml:space="preserve">30</t>
    </r>
    <r>
      <rPr>
        <sz val="10"/>
        <rFont val="나눔고딕"/>
        <family val="2"/>
      </rPr>
      <t xml:space="preserve">가지 이야기</t>
    </r>
  </si>
  <si>
    <t xml:space="preserve">유승재</t>
  </si>
  <si>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와 조직 문화</t>
    </r>
  </si>
  <si>
    <r>
      <rPr>
        <sz val="10"/>
        <rFont val="나눔고딕"/>
        <family val="2"/>
      </rPr>
      <t xml:space="preserve">배득형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이중학</t>
    </r>
  </si>
  <si>
    <r>
      <rPr>
        <sz val="10"/>
        <rFont val="Arial"/>
        <family val="0"/>
        <charset val="1"/>
      </rPr>
      <t xml:space="preserve">Play! SOLIDWORKS </t>
    </r>
    <r>
      <rPr>
        <sz val="10"/>
        <rFont val="나눔고딕"/>
        <family val="2"/>
      </rPr>
      <t xml:space="preserve">솔리드웍스 </t>
    </r>
    <r>
      <rPr>
        <sz val="10"/>
        <rFont val="Arial"/>
        <family val="0"/>
        <charset val="1"/>
      </rPr>
      <t xml:space="preserve">2026 Master</t>
    </r>
  </si>
  <si>
    <t xml:space="preserve">원동현</t>
  </si>
  <si>
    <t xml:space="preserve">청담북스</t>
  </si>
  <si>
    <r>
      <rPr>
        <sz val="10"/>
        <rFont val="Arial"/>
        <family val="0"/>
        <charset val="1"/>
      </rPr>
      <t xml:space="preserve">[</t>
    </r>
    <r>
      <rPr>
        <sz val="10"/>
        <rFont val="나눔고딕"/>
        <family val="2"/>
      </rPr>
      <t xml:space="preserve">할 수 있다</t>
    </r>
    <r>
      <rPr>
        <sz val="10"/>
        <rFont val="Arial"/>
        <family val="0"/>
        <charset val="1"/>
      </rPr>
      <t xml:space="preserve">!] </t>
    </r>
    <r>
      <rPr>
        <sz val="10"/>
        <rFont val="나눔고딕"/>
        <family val="2"/>
      </rPr>
      <t xml:space="preserve">파워포인트 </t>
    </r>
    <r>
      <rPr>
        <sz val="10"/>
        <rFont val="Arial"/>
        <family val="0"/>
        <charset val="1"/>
      </rPr>
      <t xml:space="preserve">2021 </t>
    </r>
    <r>
      <rPr>
        <sz val="10"/>
        <rFont val="나눔고딕"/>
        <family val="2"/>
      </rPr>
      <t xml:space="preserve">활용</t>
    </r>
  </si>
  <si>
    <t xml:space="preserve">정동임</t>
  </si>
  <si>
    <r>
      <rPr>
        <sz val="10"/>
        <rFont val="나눔고딕"/>
        <family val="2"/>
      </rPr>
      <t xml:space="preserve">큐베이스 </t>
    </r>
    <r>
      <rPr>
        <sz val="10"/>
        <rFont val="Arial"/>
        <family val="0"/>
        <charset val="1"/>
      </rPr>
      <t xml:space="preserve">15</t>
    </r>
  </si>
  <si>
    <t xml:space="preserve">최이진</t>
  </si>
  <si>
    <r>
      <rPr>
        <sz val="10"/>
        <rFont val="나눔고딕"/>
        <family val="2"/>
      </rPr>
      <t xml:space="preserve">노하우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도서출판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</si>
  <si>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피지컬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프런티어</t>
    </r>
  </si>
  <si>
    <r>
      <rPr>
        <sz val="10"/>
        <rFont val="나눔고딕"/>
        <family val="2"/>
      </rPr>
      <t xml:space="preserve">김동환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최영호</t>
    </r>
  </si>
  <si>
    <t xml:space="preserve">에이콘온</t>
  </si>
  <si>
    <r>
      <rPr>
        <sz val="10"/>
        <rFont val="나눔고딕"/>
        <family val="2"/>
      </rPr>
      <t xml:space="preserve">신비한 </t>
    </r>
    <r>
      <rPr>
        <sz val="10"/>
        <rFont val="Arial"/>
        <family val="0"/>
        <charset val="1"/>
      </rPr>
      <t xml:space="preserve">VR </t>
    </r>
    <r>
      <rPr>
        <sz val="10"/>
        <rFont val="나눔고딕"/>
        <family val="2"/>
      </rPr>
      <t xml:space="preserve">세상 딜라이텍스 스타터</t>
    </r>
  </si>
  <si>
    <r>
      <rPr>
        <sz val="10"/>
        <rFont val="Arial"/>
        <family val="0"/>
        <charset val="1"/>
      </rPr>
      <t xml:space="preserve">Do it! </t>
    </r>
    <r>
      <rPr>
        <sz val="10"/>
        <rFont val="나눔고딕"/>
        <family val="2"/>
      </rPr>
      <t xml:space="preserve">깡샘의 안드로이드 앱 프로그래밍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코틀린 ─ 개정 </t>
    </r>
    <r>
      <rPr>
        <sz val="10"/>
        <rFont val="Arial"/>
        <family val="0"/>
        <charset val="1"/>
      </rPr>
      <t xml:space="preserve">5</t>
    </r>
    <r>
      <rPr>
        <sz val="10"/>
        <rFont val="나눔고딕"/>
        <family val="2"/>
      </rPr>
      <t xml:space="preserve">판</t>
    </r>
  </si>
  <si>
    <t xml:space="preserve">강성윤</t>
  </si>
  <si>
    <r>
      <rPr>
        <sz val="10"/>
        <rFont val="나눔고딕"/>
        <family val="2"/>
      </rPr>
      <t xml:space="preserve">모두를 위한 진짜 쎈 바이브 코딩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인스타그램 클론 코딩</t>
    </r>
  </si>
  <si>
    <r>
      <rPr>
        <sz val="10"/>
        <rFont val="나눔고딕"/>
        <family val="2"/>
      </rPr>
      <t xml:space="preserve">전병우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박윤철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노마드코알라 감수</t>
    </r>
  </si>
  <si>
    <r>
      <rPr>
        <sz val="10"/>
        <rFont val="나눔고딕"/>
        <family val="2"/>
      </rPr>
      <t xml:space="preserve">현장에서 픽하는 </t>
    </r>
    <r>
      <rPr>
        <sz val="10"/>
        <rFont val="Arial"/>
        <family val="0"/>
        <charset val="1"/>
      </rPr>
      <t xml:space="preserve">IT </t>
    </r>
    <r>
      <rPr>
        <sz val="10"/>
        <rFont val="나눔고딕"/>
        <family val="2"/>
      </rPr>
      <t xml:space="preserve">서비스 개발을 위한 실무 지식</t>
    </r>
  </si>
  <si>
    <t xml:space="preserve">신보람</t>
  </si>
  <si>
    <t xml:space="preserve">공간데이터사이언스</t>
  </si>
  <si>
    <r>
      <rPr>
        <sz val="10"/>
        <rFont val="나눔고딕"/>
        <family val="2"/>
      </rPr>
      <t xml:space="preserve">에드저 페베스마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로저 비반드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이상일 역</t>
    </r>
  </si>
  <si>
    <t xml:space="preserve">푸른길</t>
  </si>
  <si>
    <r>
      <rPr>
        <sz val="10"/>
        <rFont val="나눔고딕"/>
        <family val="2"/>
      </rPr>
      <t xml:space="preserve">할 수 있다</t>
    </r>
    <r>
      <rPr>
        <sz val="10"/>
        <rFont val="Arial"/>
        <family val="0"/>
        <charset val="1"/>
      </rPr>
      <t xml:space="preserve">! </t>
    </r>
    <r>
      <rPr>
        <sz val="10"/>
        <rFont val="나눔고딕"/>
        <family val="2"/>
      </rPr>
      <t xml:space="preserve">구글 크롬 기초</t>
    </r>
    <r>
      <rPr>
        <sz val="10"/>
        <rFont val="Arial"/>
        <family val="0"/>
        <charset val="1"/>
      </rPr>
      <t xml:space="preserve">&amp;</t>
    </r>
    <r>
      <rPr>
        <sz val="10"/>
        <rFont val="나눔고딕"/>
        <family val="2"/>
      </rPr>
      <t xml:space="preserve">활용 </t>
    </r>
    <r>
      <rPr>
        <sz val="10"/>
        <rFont val="Arial"/>
        <family val="0"/>
        <charset val="1"/>
      </rPr>
      <t xml:space="preserve">with AI</t>
    </r>
  </si>
  <si>
    <r>
      <rPr>
        <sz val="10"/>
        <rFont val="Arial"/>
        <family val="0"/>
        <charset val="1"/>
      </rPr>
      <t xml:space="preserve">IT</t>
    </r>
    <r>
      <rPr>
        <sz val="10"/>
        <rFont val="나눔고딕"/>
        <family val="2"/>
      </rPr>
      <t xml:space="preserve">교재연구팀</t>
    </r>
  </si>
  <si>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와 부동산 복지</t>
    </r>
  </si>
  <si>
    <r>
      <rPr>
        <sz val="10"/>
        <rFont val="나눔고딕"/>
        <family val="2"/>
      </rPr>
      <t xml:space="preserve">김민근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박성식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백두진 감수</t>
    </r>
  </si>
  <si>
    <r>
      <rPr>
        <sz val="10"/>
        <rFont val="나눔고딕"/>
        <family val="2"/>
      </rPr>
      <t xml:space="preserve">스프링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인 액션</t>
    </r>
  </si>
  <si>
    <r>
      <rPr>
        <sz val="10"/>
        <rFont val="나눔고딕"/>
        <family val="2"/>
      </rPr>
      <t xml:space="preserve">크레이그 월즈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류광</t>
    </r>
    <r>
      <rPr>
        <sz val="10"/>
        <rFont val="Arial"/>
        <family val="0"/>
        <charset val="1"/>
      </rPr>
      <t xml:space="preserve">, 307</t>
    </r>
    <r>
      <rPr>
        <sz val="10"/>
        <rFont val="나눔고딕"/>
        <family val="2"/>
      </rPr>
      <t xml:space="preserve">번역랩 역</t>
    </r>
  </si>
  <si>
    <t xml:space="preserve">쓱 하고 싹 배우는 캔바</t>
  </si>
  <si>
    <t xml:space="preserve">안은진</t>
  </si>
  <si>
    <t xml:space="preserve">클라우드 애플리케이션 아키텍처 패턴</t>
  </si>
  <si>
    <r>
      <rPr>
        <sz val="10"/>
        <rFont val="나눔고딕"/>
        <family val="2"/>
      </rPr>
      <t xml:space="preserve">카일 브라운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바비 울프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조셉 요더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박수현 역</t>
    </r>
  </si>
  <si>
    <r>
      <rPr>
        <sz val="10"/>
        <rFont val="나눔고딕"/>
        <family val="2"/>
      </rPr>
      <t xml:space="preserve">기업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도입가이드</t>
    </r>
  </si>
  <si>
    <t xml:space="preserve">손상윤</t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</si>
  <si>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혁명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직업의 미래</t>
    </r>
  </si>
  <si>
    <t xml:space="preserve">이재광</t>
  </si>
  <si>
    <t xml:space="preserve">지식서관</t>
  </si>
  <si>
    <r>
      <rPr>
        <sz val="10"/>
        <rFont val="Arial"/>
        <family val="0"/>
        <charset val="1"/>
      </rPr>
      <t xml:space="preserve">30</t>
    </r>
    <r>
      <rPr>
        <sz val="10"/>
        <rFont val="나눔고딕"/>
        <family val="2"/>
      </rPr>
      <t xml:space="preserve">일 완성 제미나이 업무 혁명</t>
    </r>
  </si>
  <si>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싱크클럽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이재만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</si>
  <si>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디자이너와 엔지니어를 위한 모델 기반 </t>
    </r>
    <r>
      <rPr>
        <sz val="10"/>
        <rFont val="Arial"/>
        <family val="0"/>
        <charset val="1"/>
      </rPr>
      <t xml:space="preserve">UI </t>
    </r>
    <r>
      <rPr>
        <sz val="10"/>
        <rFont val="나눔고딕"/>
        <family val="2"/>
      </rPr>
      <t xml:space="preserve">디자인</t>
    </r>
  </si>
  <si>
    <r>
      <rPr>
        <sz val="10"/>
        <rFont val="나눔고딕"/>
        <family val="2"/>
      </rPr>
      <t xml:space="preserve">마루 사토리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이춘혁 역</t>
    </r>
  </si>
  <si>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가 고객을 데려오는 시대</t>
    </r>
  </si>
  <si>
    <r>
      <rPr>
        <sz val="10"/>
        <rFont val="나눔고딕"/>
        <family val="2"/>
      </rPr>
      <t xml:space="preserve">최재용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권혁용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김상순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김진수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이세라 공저 외 </t>
    </r>
    <r>
      <rPr>
        <sz val="10"/>
        <rFont val="Arial"/>
        <family val="0"/>
        <charset val="1"/>
      </rPr>
      <t xml:space="preserve">7</t>
    </r>
    <r>
      <rPr>
        <sz val="10"/>
        <rFont val="나눔고딕"/>
        <family val="2"/>
      </rPr>
      <t xml:space="preserve">명 정보 더 보기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감추기 최재용 권혁용 김상순 김진수 이세라 이은정 장선경 정현정 차승희 최동진 최소은 김진선</t>
    </r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</si>
  <si>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휴먼 코드</t>
    </r>
  </si>
  <si>
    <t xml:space="preserve">디지털포용 언론인 포럼</t>
  </si>
  <si>
    <t xml:space="preserve">서교출판사</t>
  </si>
  <si>
    <r>
      <rPr>
        <sz val="10"/>
        <rFont val="Arial"/>
        <family val="0"/>
        <charset val="1"/>
      </rPr>
      <t xml:space="preserve">Logic Pro </t>
    </r>
    <r>
      <rPr>
        <sz val="10"/>
        <rFont val="나눔고딕"/>
        <family val="2"/>
      </rPr>
      <t xml:space="preserve">로직 프로 </t>
    </r>
    <r>
      <rPr>
        <sz val="10"/>
        <rFont val="Arial"/>
        <family val="0"/>
        <charset val="1"/>
      </rPr>
      <t xml:space="preserve">12</t>
    </r>
  </si>
  <si>
    <t xml:space="preserve">초보로</t>
  </si>
  <si>
    <r>
      <rPr>
        <sz val="10"/>
        <rFont val="나눔고딕"/>
        <family val="2"/>
      </rPr>
      <t xml:space="preserve">김홍순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권현중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김민주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오승영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박지숙</t>
    </r>
  </si>
  <si>
    <r>
      <rPr>
        <sz val="10"/>
        <rFont val="나눔고딕"/>
        <family val="2"/>
      </rPr>
      <t xml:space="preserve">학업과 취업을 위한 제미나이 노트북</t>
    </r>
    <r>
      <rPr>
        <sz val="10"/>
        <rFont val="Arial"/>
        <family val="0"/>
        <charset val="1"/>
      </rPr>
      <t xml:space="preserve">LM</t>
    </r>
    <r>
      <rPr>
        <sz val="10"/>
        <rFont val="나눔고딕"/>
        <family val="2"/>
      </rPr>
      <t xml:space="preserve">으로 무엇이든 만들 수 있다</t>
    </r>
  </si>
  <si>
    <r>
      <rPr>
        <sz val="10"/>
        <rFont val="나눔고딕"/>
        <family val="2"/>
      </rPr>
      <t xml:space="preserve">전다희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황우현</t>
    </r>
  </si>
  <si>
    <r>
      <rPr>
        <sz val="10"/>
        <rFont val="나눔고딕"/>
        <family val="2"/>
      </rPr>
      <t xml:space="preserve">생성형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시대 수학 교육</t>
    </r>
  </si>
  <si>
    <r>
      <rPr>
        <sz val="10"/>
        <rFont val="나눔고딕"/>
        <family val="2"/>
      </rPr>
      <t xml:space="preserve">유주연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정민주</t>
    </r>
  </si>
  <si>
    <r>
      <rPr>
        <sz val="10"/>
        <rFont val="Arial"/>
        <family val="0"/>
        <charset val="1"/>
      </rPr>
      <t xml:space="preserve">SQL, </t>
    </r>
    <r>
      <rPr>
        <sz val="10"/>
        <rFont val="나눔고딕"/>
        <family val="2"/>
      </rPr>
      <t xml:space="preserve">이렇게 하면 된다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제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판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</si>
  <si>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미크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윤인성 역</t>
    </r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</si>
  <si>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발전과 차세대 보안 전략</t>
    </r>
  </si>
  <si>
    <r>
      <rPr>
        <sz val="10"/>
        <rFont val="나눔고딕"/>
        <family val="2"/>
      </rPr>
      <t xml:space="preserve">박종철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박유신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전준형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박휘진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이민우</t>
    </r>
  </si>
  <si>
    <r>
      <rPr>
        <sz val="10"/>
        <rFont val="나눔고딕"/>
        <family val="2"/>
      </rPr>
      <t xml:space="preserve">제미나이로 구글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이미지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영상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자동화 진짜 잘함</t>
    </r>
  </si>
  <si>
    <r>
      <rPr>
        <sz val="10"/>
        <rFont val="나눔고딕"/>
        <family val="2"/>
      </rPr>
      <t xml:space="preserve">상업용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음악제작</t>
    </r>
  </si>
  <si>
    <r>
      <rPr>
        <sz val="10"/>
        <rFont val="나눔고딕"/>
        <family val="2"/>
      </rPr>
      <t xml:space="preserve">제어시스템 보안 시리즈 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권 제어 시스템 보안의 실증 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흑백판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</si>
  <si>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김동원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한근희</t>
    </r>
  </si>
  <si>
    <r>
      <rPr>
        <sz val="10"/>
        <rFont val="나눔고딕"/>
        <family val="2"/>
      </rPr>
      <t xml:space="preserve">엔비디아 </t>
    </r>
    <r>
      <rPr>
        <sz val="10"/>
        <rFont val="Arial"/>
        <family val="0"/>
        <charset val="1"/>
      </rPr>
      <t xml:space="preserve">NCA-AIIO </t>
    </r>
    <r>
      <rPr>
        <sz val="10"/>
        <rFont val="나눔고딕"/>
        <family val="2"/>
      </rPr>
      <t xml:space="preserve">자격증 합격하기</t>
    </r>
  </si>
  <si>
    <t xml:space="preserve">백지석</t>
  </si>
  <si>
    <t xml:space="preserve">레트로의 유니티 성능 최적화</t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</si>
  <si>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시대의 질적 연구</t>
    </r>
  </si>
  <si>
    <t xml:space="preserve">김영순</t>
  </si>
  <si>
    <r>
      <rPr>
        <sz val="10"/>
        <rFont val="나눔고딕"/>
        <family val="2"/>
      </rPr>
      <t xml:space="preserve">처음 만나는 </t>
    </r>
    <r>
      <rPr>
        <sz val="10"/>
        <rFont val="Arial"/>
        <family val="0"/>
        <charset val="1"/>
      </rPr>
      <t xml:space="preserve">C#</t>
    </r>
  </si>
  <si>
    <t xml:space="preserve">이창현</t>
  </si>
  <si>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로 쉽게 자기역사 쓰기</t>
    </r>
  </si>
  <si>
    <t xml:space="preserve">진순희</t>
  </si>
  <si>
    <t xml:space="preserve">씽크스마트</t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</si>
  <si>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의료 경영</t>
    </r>
  </si>
  <si>
    <t xml:space="preserve">김하나</t>
  </si>
  <si>
    <r>
      <rPr>
        <sz val="10"/>
        <rFont val="나눔고딕"/>
        <family val="2"/>
      </rPr>
      <t xml:space="preserve">마케팅 실무에 필요한 최소한의 </t>
    </r>
    <r>
      <rPr>
        <sz val="10"/>
        <rFont val="Arial"/>
        <family val="0"/>
        <charset val="1"/>
      </rPr>
      <t xml:space="preserve">SQL&amp;</t>
    </r>
    <r>
      <rPr>
        <sz val="10"/>
        <rFont val="나눔고딕"/>
        <family val="2"/>
      </rPr>
      <t xml:space="preserve">빅쿼리 </t>
    </r>
    <r>
      <rPr>
        <sz val="10"/>
        <rFont val="Arial"/>
        <family val="0"/>
        <charset val="1"/>
      </rPr>
      <t xml:space="preserve">with AI</t>
    </r>
  </si>
  <si>
    <t xml:space="preserve">안효영</t>
  </si>
  <si>
    <r>
      <rPr>
        <sz val="10"/>
        <rFont val="Arial"/>
        <family val="0"/>
        <charset val="1"/>
      </rPr>
      <t xml:space="preserve">R</t>
    </r>
    <r>
      <rPr>
        <sz val="10"/>
        <rFont val="나눔고딕"/>
        <family val="2"/>
      </rPr>
      <t xml:space="preserve">을 활용한 베이지언 데이터 분석</t>
    </r>
  </si>
  <si>
    <t xml:space="preserve">백영민</t>
  </si>
  <si>
    <t xml:space="preserve">한나래아카데미</t>
  </si>
  <si>
    <r>
      <rPr>
        <sz val="10"/>
        <rFont val="Arial"/>
        <family val="0"/>
        <charset val="1"/>
      </rPr>
      <t xml:space="preserve">ANT</t>
    </r>
    <r>
      <rPr>
        <sz val="10"/>
        <rFont val="나눔고딕"/>
        <family val="2"/>
      </rPr>
      <t xml:space="preserve">와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영상 제작</t>
    </r>
  </si>
  <si>
    <t xml:space="preserve">권승태</t>
  </si>
  <si>
    <t xml:space="preserve">러스트 프로그래밍 입문</t>
  </si>
  <si>
    <r>
      <rPr>
        <sz val="10"/>
        <rFont val="나눔고딕"/>
        <family val="2"/>
      </rPr>
      <t xml:space="preserve">안도 카즈시게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오니시 료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토쿠나가 유스케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나카무라 켄코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야마나카 유다이 저 외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명 정보 더 보기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감추기 안도 카즈시게 오니시 료 토쿠나가 유스케 나카무라 켄코 야마나카 유다이 서수환</t>
    </r>
  </si>
  <si>
    <t xml:space="preserve">모던 자바 동시성 프로그래밍</t>
  </si>
  <si>
    <r>
      <rPr>
        <sz val="10"/>
        <rFont val="Arial"/>
        <family val="0"/>
        <charset val="1"/>
      </rPr>
      <t xml:space="preserve">ANM </t>
    </r>
    <r>
      <rPr>
        <sz val="10"/>
        <rFont val="나눔고딕"/>
        <family val="2"/>
      </rPr>
      <t xml:space="preserve">바즐루어 라만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오명운 역</t>
    </r>
  </si>
  <si>
    <r>
      <rPr>
        <sz val="10"/>
        <rFont val="나눔고딕"/>
        <family val="2"/>
      </rPr>
      <t xml:space="preserve">엑셀 대신 챗</t>
    </r>
    <r>
      <rPr>
        <sz val="10"/>
        <rFont val="Arial"/>
        <family val="0"/>
        <charset val="1"/>
      </rPr>
      <t xml:space="preserve">GPT</t>
    </r>
  </si>
  <si>
    <r>
      <rPr>
        <sz val="10"/>
        <rFont val="나눔고딕"/>
        <family val="2"/>
      </rPr>
      <t xml:space="preserve">목사님</t>
    </r>
    <r>
      <rPr>
        <sz val="10"/>
        <rFont val="Arial"/>
        <family val="0"/>
        <charset val="1"/>
      </rPr>
      <t xml:space="preserve">, AI</t>
    </r>
    <r>
      <rPr>
        <sz val="10"/>
        <rFont val="나눔고딕"/>
        <family val="2"/>
      </rPr>
      <t xml:space="preserve">와 동역하시겠습니까</t>
    </r>
    <r>
      <rPr>
        <sz val="10"/>
        <rFont val="Arial"/>
        <family val="0"/>
        <charset val="1"/>
      </rPr>
      <t xml:space="preserve">?</t>
    </r>
  </si>
  <si>
    <t xml:space="preserve">김시준</t>
  </si>
  <si>
    <t xml:space="preserve">세움북스</t>
  </si>
  <si>
    <r>
      <rPr>
        <sz val="10"/>
        <rFont val="나눔고딕"/>
        <family val="2"/>
      </rPr>
      <t xml:space="preserve">세상을 복제하는 공장</t>
    </r>
    <r>
      <rPr>
        <sz val="10"/>
        <rFont val="Arial"/>
        <family val="0"/>
        <charset val="1"/>
      </rPr>
      <t xml:space="preserve">, Physical AI </t>
    </r>
    <r>
      <rPr>
        <sz val="10"/>
        <rFont val="나눔고딕"/>
        <family val="2"/>
      </rPr>
      <t xml:space="preserve">데이터팩토리</t>
    </r>
  </si>
  <si>
    <r>
      <rPr>
        <sz val="10"/>
        <rFont val="Arial"/>
        <family val="0"/>
        <charset val="1"/>
      </rPr>
      <t xml:space="preserve">QA</t>
    </r>
    <r>
      <rPr>
        <sz val="10"/>
        <rFont val="나눔고딕"/>
        <family val="2"/>
      </rPr>
      <t xml:space="preserve">를 넘어 개발자도 알아야 할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에이전트 품질 가이드</t>
    </r>
  </si>
  <si>
    <r>
      <rPr>
        <sz val="10"/>
        <rFont val="나눔고딕"/>
        <family val="2"/>
      </rPr>
      <t xml:space="preserve">정상미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김성수</t>
    </r>
  </si>
  <si>
    <r>
      <rPr>
        <sz val="10"/>
        <rFont val="나눔고딕"/>
        <family val="2"/>
      </rPr>
      <t xml:space="preserve">생성형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완전 정복</t>
    </r>
  </si>
  <si>
    <r>
      <rPr>
        <sz val="10"/>
        <rFont val="나눔고딕"/>
        <family val="2"/>
      </rPr>
      <t xml:space="preserve">정재민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송민호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이지성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윤슬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허수영 저 외 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명 정보 더 보기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감추기 정재민 송민호 이지성 윤슬 허수영 김혜원 권순률 박은지</t>
    </r>
  </si>
  <si>
    <t xml:space="preserve">쉽고 빠르게 배우는 네이버 클라우드 플랫폼 인프라 엔지니어링</t>
  </si>
  <si>
    <r>
      <rPr>
        <sz val="10"/>
        <rFont val="나눔고딕"/>
        <family val="2"/>
      </rPr>
      <t xml:space="preserve">정낙수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강지나</t>
    </r>
  </si>
  <si>
    <t xml:space="preserve">그리와 로미의 제미나이 탐험대</t>
  </si>
  <si>
    <r>
      <rPr>
        <sz val="10"/>
        <rFont val="나눔고딕"/>
        <family val="2"/>
      </rPr>
      <t xml:space="preserve">김학민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권재범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김상현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박윤진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이민재 저 외 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명 정보 더 보기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감추기 김학민 권재범 김상현 박윤진 이민재 정진아 강지현</t>
    </r>
  </si>
  <si>
    <r>
      <rPr>
        <sz val="10"/>
        <rFont val="나눔고딕"/>
        <family val="2"/>
      </rPr>
      <t xml:space="preserve">언리얼 엔진 </t>
    </r>
    <r>
      <rPr>
        <sz val="10"/>
        <rFont val="Arial"/>
        <family val="0"/>
        <charset val="1"/>
      </rPr>
      <t xml:space="preserve">5 </t>
    </r>
    <r>
      <rPr>
        <sz val="10"/>
        <rFont val="나눔고딕"/>
        <family val="2"/>
      </rPr>
      <t xml:space="preserve">게임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개발 가이드</t>
    </r>
  </si>
  <si>
    <r>
      <rPr>
        <sz val="10"/>
        <rFont val="나눔고딕"/>
        <family val="2"/>
      </rPr>
      <t xml:space="preserve">마르코 세치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이지성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송정은 역</t>
    </r>
  </si>
  <si>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가 바꾼 영상제작의 모든 것</t>
    </r>
  </si>
  <si>
    <t xml:space="preserve">김보승</t>
  </si>
  <si>
    <t xml:space="preserve">복잡계 네트워크의 자연법칙</t>
  </si>
  <si>
    <r>
      <rPr>
        <sz val="10"/>
        <rFont val="나눔고딕"/>
        <family val="2"/>
      </rPr>
      <t xml:space="preserve">세르게이 </t>
    </r>
    <r>
      <rPr>
        <sz val="10"/>
        <rFont val="Arial"/>
        <family val="0"/>
        <charset val="1"/>
      </rPr>
      <t xml:space="preserve">N. </t>
    </r>
    <r>
      <rPr>
        <sz val="10"/>
        <rFont val="나눔고딕"/>
        <family val="2"/>
      </rPr>
      <t xml:space="preserve">도로고프체프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주제 </t>
    </r>
    <r>
      <rPr>
        <sz val="10"/>
        <rFont val="Arial"/>
        <family val="0"/>
        <charset val="1"/>
      </rPr>
      <t xml:space="preserve">F. F. </t>
    </r>
    <r>
      <rPr>
        <sz val="10"/>
        <rFont val="나눔고딕"/>
        <family val="2"/>
      </rPr>
      <t xml:space="preserve">멘데스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이상훈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이미진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김희태 역 외 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명 정보 더 보기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감추기 세르게이 </t>
    </r>
    <r>
      <rPr>
        <sz val="10"/>
        <rFont val="Arial"/>
        <family val="0"/>
        <charset val="1"/>
      </rPr>
      <t xml:space="preserve">N. </t>
    </r>
    <r>
      <rPr>
        <sz val="10"/>
        <rFont val="나눔고딕"/>
        <family val="2"/>
      </rPr>
      <t xml:space="preserve">도로고프체프 주제 </t>
    </r>
    <r>
      <rPr>
        <sz val="10"/>
        <rFont val="Arial"/>
        <family val="0"/>
        <charset val="1"/>
      </rPr>
      <t xml:space="preserve">F. F. </t>
    </r>
    <r>
      <rPr>
        <sz val="10"/>
        <rFont val="나눔고딕"/>
        <family val="2"/>
      </rPr>
      <t xml:space="preserve">멘데스 이상훈 이미진 김희태 손승우 윤진혁 이 은</t>
    </r>
  </si>
  <si>
    <r>
      <rPr>
        <sz val="10"/>
        <rFont val="나눔고딕"/>
        <family val="2"/>
      </rPr>
      <t xml:space="preserve">교실로 온 </t>
    </r>
    <r>
      <rPr>
        <sz val="10"/>
        <rFont val="Arial"/>
        <family val="0"/>
        <charset val="1"/>
      </rPr>
      <t xml:space="preserve">ON </t>
    </r>
    <r>
      <rPr>
        <sz val="10"/>
        <rFont val="나눔고딕"/>
        <family val="2"/>
      </rPr>
      <t xml:space="preserve">제미나이</t>
    </r>
  </si>
  <si>
    <r>
      <rPr>
        <sz val="10"/>
        <rFont val="나눔고딕"/>
        <family val="2"/>
      </rPr>
      <t xml:space="preserve">박찬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김병석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전수연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김지용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구현희 저 외 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명 정보 더 보기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감추기 박찬 김병석 전수연 김지용 구현희 전채원 홍찬우 임채원</t>
    </r>
  </si>
  <si>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와 함께하는 학교 경영의 미래 Ⅰ</t>
    </r>
  </si>
  <si>
    <t xml:space="preserve">김낙신</t>
  </si>
  <si>
    <r>
      <rPr>
        <sz val="10"/>
        <rFont val="나눔고딕"/>
        <family val="2"/>
      </rPr>
      <t xml:space="preserve">글</t>
    </r>
    <r>
      <rPr>
        <sz val="10"/>
        <rFont val="Arial"/>
        <family val="0"/>
        <charset val="1"/>
      </rPr>
      <t xml:space="preserve">ego</t>
    </r>
  </si>
  <si>
    <r>
      <rPr>
        <sz val="10"/>
        <rFont val="나눔고딕"/>
        <family val="2"/>
      </rPr>
      <t xml:space="preserve">한 권으로 끝내는 </t>
    </r>
    <r>
      <rPr>
        <sz val="10"/>
        <rFont val="Arial"/>
        <family val="0"/>
        <charset val="1"/>
      </rPr>
      <t xml:space="preserve">IT </t>
    </r>
    <r>
      <rPr>
        <sz val="10"/>
        <rFont val="나눔고딕"/>
        <family val="2"/>
      </rPr>
      <t xml:space="preserve">인프라</t>
    </r>
  </si>
  <si>
    <t xml:space="preserve">이찬우</t>
  </si>
  <si>
    <t xml:space="preserve">플레이어를 사로잡는 게임의 심리학</t>
  </si>
  <si>
    <t xml:space="preserve">규리네</t>
  </si>
  <si>
    <t xml:space="preserve">대체불가능</t>
  </si>
  <si>
    <r>
      <rPr>
        <sz val="10"/>
        <rFont val="나눔고딕"/>
        <family val="2"/>
      </rPr>
      <t xml:space="preserve">파스칼 보넷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김정민 역</t>
    </r>
  </si>
  <si>
    <r>
      <rPr>
        <sz val="10"/>
        <rFont val="나눔고딕"/>
        <family val="2"/>
      </rPr>
      <t xml:space="preserve">처음이지만 프로처럼 쓰는 캔바 </t>
    </r>
    <r>
      <rPr>
        <sz val="10"/>
        <rFont val="Arial"/>
        <family val="0"/>
        <charset val="1"/>
      </rPr>
      <t xml:space="preserve">(Canva)</t>
    </r>
  </si>
  <si>
    <r>
      <rPr>
        <sz val="10"/>
        <rFont val="나눔고딕"/>
        <family val="2"/>
      </rPr>
      <t xml:space="preserve">정다은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시재</t>
    </r>
    <r>
      <rPr>
        <sz val="10"/>
        <rFont val="Arial"/>
        <family val="0"/>
        <charset val="1"/>
      </rPr>
      <t xml:space="preserve">)</t>
    </r>
  </si>
  <si>
    <t xml:space="preserve">허깅페이스로 배우는 멀티모달 모델</t>
  </si>
  <si>
    <r>
      <rPr>
        <sz val="10"/>
        <rFont val="나눔고딕"/>
        <family val="2"/>
      </rPr>
      <t xml:space="preserve">이정인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정우준</t>
    </r>
  </si>
  <si>
    <t xml:space="preserve">세일즈포스 관리자 만들기</t>
  </si>
  <si>
    <t xml:space="preserve">강민수</t>
  </si>
  <si>
    <t xml:space="preserve">나무와바다</t>
  </si>
  <si>
    <r>
      <rPr>
        <sz val="10"/>
        <rFont val="나눔고딕"/>
        <family val="2"/>
      </rPr>
      <t xml:space="preserve">누구나 쉽게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작사 </t>
    </r>
    <r>
      <rPr>
        <sz val="10"/>
        <rFont val="Arial"/>
        <family val="0"/>
        <charset val="1"/>
      </rPr>
      <t xml:space="preserve">&amp; </t>
    </r>
    <r>
      <rPr>
        <sz val="10"/>
        <rFont val="나눔고딕"/>
        <family val="2"/>
      </rPr>
      <t xml:space="preserve">작곡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생성형 인공지능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챗</t>
    </r>
    <r>
      <rPr>
        <sz val="10"/>
        <rFont val="Arial"/>
        <family val="0"/>
        <charset val="1"/>
      </rPr>
      <t xml:space="preserve">GPT, </t>
    </r>
    <r>
      <rPr>
        <sz val="10"/>
        <rFont val="나눔고딕"/>
        <family val="2"/>
      </rPr>
      <t xml:space="preserve">수노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유디오 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큰글자책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</si>
  <si>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된다</t>
    </r>
    <r>
      <rPr>
        <sz val="10"/>
        <rFont val="Arial"/>
        <family val="0"/>
        <charset val="1"/>
      </rPr>
      <t xml:space="preserve">! </t>
    </r>
    <r>
      <rPr>
        <sz val="10"/>
        <rFont val="나눔고딕"/>
        <family val="2"/>
      </rPr>
      <t xml:space="preserve">피그마 디자인 </t>
    </r>
    <r>
      <rPr>
        <sz val="10"/>
        <rFont val="Arial"/>
        <family val="0"/>
        <charset val="1"/>
      </rPr>
      <t xml:space="preserve">10</t>
    </r>
    <r>
      <rPr>
        <sz val="10"/>
        <rFont val="나눔고딕"/>
        <family val="2"/>
      </rPr>
      <t xml:space="preserve">분 레시피</t>
    </r>
  </si>
  <si>
    <r>
      <rPr>
        <sz val="10"/>
        <rFont val="나눔고딕"/>
        <family val="2"/>
      </rPr>
      <t xml:space="preserve">하이서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김대일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김시원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최유빈</t>
    </r>
  </si>
  <si>
    <t xml:space="preserve">기본기부터 다시 새기는 러스트 특강</t>
  </si>
  <si>
    <r>
      <rPr>
        <sz val="10"/>
        <rFont val="나눔고딕"/>
        <family val="2"/>
      </rPr>
      <t xml:space="preserve">욘 옝세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장현희 역</t>
    </r>
  </si>
  <si>
    <r>
      <rPr>
        <sz val="10"/>
        <rFont val="나눔고딕"/>
        <family val="2"/>
      </rPr>
      <t xml:space="preserve">한 걸음 앞선 일잘러가 지금 꼭 알아야 할 바이브 코딩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커서</t>
    </r>
  </si>
  <si>
    <t xml:space="preserve">김태헌</t>
  </si>
  <si>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로 기획하라</t>
    </r>
  </si>
  <si>
    <t xml:space="preserve">노중석</t>
  </si>
  <si>
    <t xml:space="preserve">두드림미디어</t>
  </si>
  <si>
    <r>
      <rPr>
        <sz val="10"/>
        <rFont val="나눔고딕"/>
        <family val="2"/>
      </rPr>
      <t xml:space="preserve">삼성에서 </t>
    </r>
    <r>
      <rPr>
        <sz val="10"/>
        <rFont val="Arial"/>
        <family val="0"/>
        <charset val="1"/>
      </rPr>
      <t xml:space="preserve">ERP</t>
    </r>
    <r>
      <rPr>
        <sz val="10"/>
        <rFont val="나눔고딕"/>
        <family val="2"/>
      </rPr>
      <t xml:space="preserve">로 먹고사는 컨설턴트가 알려주는 </t>
    </r>
    <r>
      <rPr>
        <sz val="10"/>
        <rFont val="Arial"/>
        <family val="0"/>
        <charset val="1"/>
      </rPr>
      <t xml:space="preserve">ABAP with AI</t>
    </r>
  </si>
  <si>
    <r>
      <rPr>
        <sz val="10"/>
        <rFont val="나눔고딕"/>
        <family val="2"/>
      </rPr>
      <t xml:space="preserve">주호재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서기준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양승철</t>
    </r>
  </si>
  <si>
    <r>
      <rPr>
        <sz val="10"/>
        <rFont val="나눔고딕"/>
        <family val="2"/>
      </rPr>
      <t xml:space="preserve">멘토시리즈 </t>
    </r>
    <r>
      <rPr>
        <sz val="10"/>
        <rFont val="Arial"/>
        <family val="0"/>
        <charset val="1"/>
      </rPr>
      <t xml:space="preserve">MOS 365 </t>
    </r>
    <r>
      <rPr>
        <sz val="10"/>
        <rFont val="나눔고딕"/>
        <family val="2"/>
      </rPr>
      <t xml:space="preserve">파워포인트</t>
    </r>
  </si>
  <si>
    <r>
      <rPr>
        <sz val="10"/>
        <rFont val="나눔고딕"/>
        <family val="2"/>
      </rPr>
      <t xml:space="preserve">멘토시리즈 </t>
    </r>
    <r>
      <rPr>
        <sz val="10"/>
        <rFont val="Arial"/>
        <family val="0"/>
        <charset val="1"/>
      </rPr>
      <t xml:space="preserve">MOS 365 </t>
    </r>
    <r>
      <rPr>
        <sz val="10"/>
        <rFont val="나눔고딕"/>
        <family val="2"/>
      </rPr>
      <t xml:space="preserve">엑셀</t>
    </r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</si>
  <si>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시대의 데이터 패러독스</t>
    </r>
  </si>
  <si>
    <r>
      <rPr>
        <sz val="10"/>
        <rFont val="나눔고딕"/>
        <family val="2"/>
      </rPr>
      <t xml:space="preserve">니틴 세스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옥경석 역</t>
    </r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</si>
  <si>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증강 독해와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드리블링 바이블 개념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기초 편</t>
    </r>
  </si>
  <si>
    <r>
      <rPr>
        <sz val="10"/>
        <rFont val="나눔고딕"/>
        <family val="2"/>
      </rPr>
      <t xml:space="preserve">생성형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프롬프트 디자인</t>
    </r>
  </si>
  <si>
    <t xml:space="preserve">러스트로 갈아타기</t>
  </si>
  <si>
    <r>
      <rPr>
        <sz val="10"/>
        <rFont val="나눔고딕"/>
        <family val="2"/>
      </rPr>
      <t xml:space="preserve">릴리 마라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조엘 홈즈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전봉규 역</t>
    </r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</si>
  <si>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에이전트 마스터 클래스</t>
    </r>
  </si>
  <si>
    <t xml:space="preserve">김구현</t>
  </si>
  <si>
    <t xml:space="preserve">마인크래프트 대탈출 게임 만들기</t>
  </si>
  <si>
    <t xml:space="preserve">그림으로 배우는 가상화 구조</t>
  </si>
  <si>
    <r>
      <rPr>
        <sz val="10"/>
        <rFont val="나눔고딕"/>
        <family val="2"/>
      </rPr>
      <t xml:space="preserve">스즈키 켄지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무네무라 타쿠미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마루야마 카츠야스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오우 쇼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김성훈 역</t>
    </r>
  </si>
  <si>
    <r>
      <rPr>
        <sz val="10"/>
        <rFont val="Arial"/>
        <family val="0"/>
        <charset val="1"/>
      </rPr>
      <t xml:space="preserve">R</t>
    </r>
    <r>
      <rPr>
        <sz val="10"/>
        <rFont val="나눔고딕"/>
        <family val="2"/>
      </rPr>
      <t xml:space="preserve">을 활용한 데이터 과학</t>
    </r>
  </si>
  <si>
    <r>
      <rPr>
        <sz val="10"/>
        <rFont val="나눔고딕"/>
        <family val="2"/>
      </rPr>
      <t xml:space="preserve">해들리 위컴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개럿 그롤문드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미네 체틴카야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</rPr>
      <t xml:space="preserve">룬델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김영우 역</t>
    </r>
  </si>
  <si>
    <t xml:space="preserve">출근길에 읽고 퇴근길에 완성하는 바이브 코딩</t>
  </si>
  <si>
    <t xml:space="preserve">노승헌</t>
  </si>
  <si>
    <r>
      <rPr>
        <sz val="10"/>
        <rFont val="나눔고딕"/>
        <family val="2"/>
      </rPr>
      <t xml:space="preserve">제대로 알고 쓰는 논문 통계분석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파이썬</t>
    </r>
    <r>
      <rPr>
        <sz val="10"/>
        <rFont val="Arial"/>
        <family val="0"/>
        <charset val="1"/>
      </rPr>
      <t xml:space="preserve">&amp;</t>
    </r>
    <r>
      <rPr>
        <sz val="10"/>
        <rFont val="나눔고딕"/>
        <family val="2"/>
      </rPr>
      <t xml:space="preserve">머신러닝</t>
    </r>
  </si>
  <si>
    <t xml:space="preserve">노경섭</t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</si>
  <si>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투자 버블이 온다</t>
    </r>
  </si>
  <si>
    <r>
      <rPr>
        <sz val="10"/>
        <rFont val="나눔고딕"/>
        <family val="2"/>
      </rPr>
      <t xml:space="preserve">클라우디아 로드니 저</t>
    </r>
    <r>
      <rPr>
        <sz val="10"/>
        <rFont val="Arial"/>
        <family val="0"/>
        <charset val="1"/>
      </rPr>
      <t xml:space="preserve">(AI</t>
    </r>
    <r>
      <rPr>
        <sz val="10"/>
        <rFont val="나눔고딕"/>
        <family val="2"/>
      </rPr>
      <t xml:space="preserve">생성</t>
    </r>
    <r>
      <rPr>
        <sz val="10"/>
        <rFont val="Arial"/>
        <family val="0"/>
        <charset val="1"/>
      </rPr>
      <t xml:space="preserve">)/Dalgas Lab </t>
    </r>
    <r>
      <rPr>
        <sz val="10"/>
        <rFont val="나눔고딕"/>
        <family val="2"/>
      </rPr>
      <t xml:space="preserve">기획</t>
    </r>
    <r>
      <rPr>
        <sz val="10"/>
        <rFont val="Arial"/>
        <family val="0"/>
        <charset val="1"/>
      </rPr>
      <t xml:space="preserve">(AI</t>
    </r>
    <r>
      <rPr>
        <sz val="10"/>
        <rFont val="나눔고딕"/>
        <family val="2"/>
      </rPr>
      <t xml:space="preserve">활용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</si>
  <si>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왕초보 시니어도 쉽게 따라 하는 챗</t>
    </r>
    <r>
      <rPr>
        <sz val="10"/>
        <rFont val="Arial"/>
        <family val="0"/>
        <charset val="1"/>
      </rPr>
      <t xml:space="preserve">GPT </t>
    </r>
    <r>
      <rPr>
        <sz val="10"/>
        <rFont val="나눔고딕"/>
        <family val="2"/>
      </rPr>
      <t xml:space="preserve">사용법</t>
    </r>
  </si>
  <si>
    <r>
      <rPr>
        <sz val="10"/>
        <rFont val="나눔고딕"/>
        <family val="2"/>
      </rPr>
      <t xml:space="preserve">곽민철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정희철</t>
    </r>
  </si>
  <si>
    <r>
      <rPr>
        <sz val="10"/>
        <rFont val="나눔고딕"/>
        <family val="2"/>
      </rPr>
      <t xml:space="preserve">혼자 </t>
    </r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로 끝까지 완성하는 풀스택 온라인 게임 개발</t>
    </r>
  </si>
  <si>
    <t xml:space="preserve">무조건 도움되는 유아교사 업무경감</t>
  </si>
  <si>
    <r>
      <rPr>
        <sz val="10"/>
        <rFont val="나눔고딕"/>
        <family val="2"/>
      </rPr>
      <t xml:space="preserve">김나영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남동윤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이영은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장효정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최지이 저 외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명 정보 더 보기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감추기 김나영 남동윤 이영은 장효정 최지이 황경미</t>
    </r>
  </si>
  <si>
    <t xml:space="preserve">교육과실천</t>
  </si>
  <si>
    <r>
      <rPr>
        <sz val="10"/>
        <rFont val="나눔고딕"/>
        <family val="2"/>
      </rPr>
      <t xml:space="preserve">비전공자를 위한 생성형 </t>
    </r>
    <r>
      <rPr>
        <sz val="10"/>
        <rFont val="Arial"/>
        <family val="0"/>
        <charset val="1"/>
      </rPr>
      <t xml:space="preserve">AI·</t>
    </r>
    <r>
      <rPr>
        <sz val="10"/>
        <rFont val="나눔고딕"/>
        <family val="2"/>
      </rPr>
      <t xml:space="preserve">바이브코딩</t>
    </r>
    <r>
      <rPr>
        <sz val="10"/>
        <rFont val="Arial"/>
        <family val="0"/>
        <charset val="1"/>
      </rPr>
      <t xml:space="preserve">·DX/AX </t>
    </r>
    <r>
      <rPr>
        <sz val="10"/>
        <rFont val="나눔고딕"/>
        <family val="2"/>
      </rPr>
      <t xml:space="preserve">기초 마스터 커리큘럼</t>
    </r>
  </si>
  <si>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와 양자컴퓨터</t>
    </r>
  </si>
  <si>
    <t xml:space="preserve">최종수</t>
  </si>
  <si>
    <r>
      <rPr>
        <sz val="10"/>
        <rFont val="나눔고딕"/>
        <family val="2"/>
      </rPr>
      <t xml:space="preserve">베테랑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전문가가 만든 가장 쉬운 나노바나나 활용</t>
    </r>
    <r>
      <rPr>
        <sz val="10"/>
        <rFont val="Arial"/>
        <family val="0"/>
        <charset val="1"/>
      </rPr>
      <t xml:space="preserve">! NanoBanana(</t>
    </r>
    <r>
      <rPr>
        <sz val="10"/>
        <rFont val="나눔고딕"/>
        <family val="2"/>
      </rPr>
      <t xml:space="preserve">나노바나나</t>
    </r>
    <r>
      <rPr>
        <sz val="10"/>
        <rFont val="Arial"/>
        <family val="0"/>
        <charset val="1"/>
      </rPr>
      <t xml:space="preserve">)</t>
    </r>
    <r>
      <rPr>
        <sz val="10"/>
        <rFont val="나눔고딕"/>
        <family val="2"/>
      </rPr>
      <t xml:space="preserve">로 무엇이든 만들 수 있다 </t>
    </r>
    <r>
      <rPr>
        <sz val="10"/>
        <rFont val="Arial"/>
        <family val="0"/>
        <charset val="1"/>
      </rPr>
      <t xml:space="preserve">(AI </t>
    </r>
    <r>
      <rPr>
        <sz val="10"/>
        <rFont val="나눔고딕"/>
        <family val="2"/>
      </rPr>
      <t xml:space="preserve">영상 제작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</si>
  <si>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이현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문서영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최숙현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남상억</t>
    </r>
  </si>
  <si>
    <r>
      <rPr>
        <sz val="10"/>
        <rFont val="나눔고딕"/>
        <family val="2"/>
      </rPr>
      <t xml:space="preserve">혼자서도 척척 해내는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에이전트 만들기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랭체인 </t>
    </r>
    <r>
      <rPr>
        <sz val="10"/>
        <rFont val="Arial"/>
        <family val="0"/>
        <charset val="1"/>
      </rPr>
      <t xml:space="preserve">&amp; </t>
    </r>
    <r>
      <rPr>
        <sz val="10"/>
        <rFont val="나눔고딕"/>
        <family val="2"/>
      </rPr>
      <t xml:space="preserve">랭그래프</t>
    </r>
  </si>
  <si>
    <t xml:space="preserve">강병진</t>
  </si>
  <si>
    <t xml:space="preserve">만들면서 배우는 파이썬 프로젝트</t>
  </si>
  <si>
    <t xml:space="preserve">윤성필</t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</si>
  <si>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시대 임원 역할</t>
    </r>
  </si>
  <si>
    <r>
      <rPr>
        <sz val="10"/>
        <rFont val="나눔고딕"/>
        <family val="2"/>
      </rPr>
      <t xml:space="preserve">김기진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유병선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신현숙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이근갑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이소민 저 외 </t>
    </r>
    <r>
      <rPr>
        <sz val="10"/>
        <rFont val="Arial"/>
        <family val="0"/>
        <charset val="1"/>
      </rPr>
      <t xml:space="preserve">6</t>
    </r>
    <r>
      <rPr>
        <sz val="10"/>
        <rFont val="나눔고딕"/>
        <family val="2"/>
      </rPr>
      <t xml:space="preserve">명 정보 더 보기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감추기 김기진 유병선 신현숙 이근갑 이소민 박해룡 이재실 송지은 김영헌 백정선 김대경</t>
    </r>
  </si>
  <si>
    <t xml:space="preserve">에릭스토리</t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</si>
  <si>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디지털 활용 수업</t>
    </r>
  </si>
  <si>
    <r>
      <rPr>
        <sz val="10"/>
        <rFont val="나눔고딕"/>
        <family val="2"/>
      </rPr>
      <t xml:space="preserve">이은총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심원지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박정은</t>
    </r>
  </si>
  <si>
    <t xml:space="preserve">푸른칠판</t>
  </si>
  <si>
    <t xml:space="preserve">클린 아키텍처 핵심 가이드</t>
  </si>
  <si>
    <t xml:space="preserve">한승희</t>
  </si>
  <si>
    <r>
      <rPr>
        <sz val="10"/>
        <rFont val="나눔고딕"/>
        <family val="2"/>
      </rPr>
      <t xml:space="preserve">생성형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활용 취업 컨설팅 실전 가이드</t>
    </r>
  </si>
  <si>
    <t xml:space="preserve">서춘현</t>
  </si>
  <si>
    <t xml:space="preserve">엘리트코리아</t>
  </si>
  <si>
    <r>
      <rPr>
        <sz val="10"/>
        <rFont val="나눔고딕"/>
        <family val="2"/>
      </rPr>
      <t xml:space="preserve">타입스크립트와 </t>
    </r>
    <r>
      <rPr>
        <sz val="10"/>
        <rFont val="Arial"/>
        <family val="0"/>
        <charset val="1"/>
      </rPr>
      <t xml:space="preserve">Next.js</t>
    </r>
    <r>
      <rPr>
        <sz val="10"/>
        <rFont val="나눔고딕"/>
        <family val="2"/>
      </rPr>
      <t xml:space="preserve">로 완성하는 웹 애플리케이션 </t>
    </r>
    <r>
      <rPr>
        <sz val="10"/>
        <rFont val="Arial"/>
        <family val="0"/>
        <charset val="1"/>
      </rPr>
      <t xml:space="preserve">with React+Node.js </t>
    </r>
    <r>
      <rPr>
        <sz val="10"/>
        <rFont val="나눔고딕"/>
        <family val="2"/>
      </rPr>
      <t xml:space="preserve">실전 프론트</t>
    </r>
    <r>
      <rPr>
        <sz val="10"/>
        <rFont val="Arial"/>
        <family val="0"/>
        <charset val="1"/>
      </rPr>
      <t xml:space="preserve">&amp;</t>
    </r>
    <r>
      <rPr>
        <sz val="10"/>
        <rFont val="나눔고딕"/>
        <family val="2"/>
      </rPr>
      <t xml:space="preserve">백엔드 프로젝트</t>
    </r>
  </si>
  <si>
    <t xml:space="preserve">안귀정</t>
  </si>
  <si>
    <r>
      <rPr>
        <sz val="10"/>
        <rFont val="Arial"/>
        <family val="0"/>
        <charset val="1"/>
      </rPr>
      <t xml:space="preserve">LUVIT♥ </t>
    </r>
    <r>
      <rPr>
        <sz val="10"/>
        <rFont val="나눔고딕"/>
        <family val="2"/>
      </rPr>
      <t xml:space="preserve">파이썬으로 만드는 초경량 한국어 </t>
    </r>
    <r>
      <rPr>
        <sz val="10"/>
        <rFont val="Arial"/>
        <family val="0"/>
        <charset val="1"/>
      </rPr>
      <t xml:space="preserve">LLM </t>
    </r>
    <r>
      <rPr>
        <sz val="10"/>
        <rFont val="나눔고딕"/>
        <family val="2"/>
      </rPr>
      <t xml:space="preserve">챗봇</t>
    </r>
  </si>
  <si>
    <r>
      <rPr>
        <sz val="10"/>
        <rFont val="나눔고딕"/>
        <family val="2"/>
      </rPr>
      <t xml:space="preserve">김규석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서예진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정태양</t>
    </r>
  </si>
  <si>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를 움직이는 수학 이야기</t>
    </r>
  </si>
  <si>
    <r>
      <rPr>
        <sz val="10"/>
        <rFont val="나눔고딕"/>
        <family val="2"/>
      </rPr>
      <t xml:space="preserve">후루시마 도오루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하승민 역</t>
    </r>
  </si>
  <si>
    <r>
      <rPr>
        <sz val="10"/>
        <rFont val="나눔고딕"/>
        <family val="2"/>
      </rPr>
      <t xml:space="preserve">우리 아이는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교실에 갑니다 </t>
    </r>
    <r>
      <rPr>
        <sz val="10"/>
        <rFont val="Arial"/>
        <family val="0"/>
        <charset val="1"/>
      </rPr>
      <t xml:space="preserve">: AI</t>
    </r>
    <r>
      <rPr>
        <sz val="10"/>
        <rFont val="나눔고딕"/>
        <family val="2"/>
      </rPr>
      <t xml:space="preserve">와 디지털 시대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부모의 불안 극복 가이드</t>
    </r>
  </si>
  <si>
    <t xml:space="preserve">전주은</t>
  </si>
  <si>
    <r>
      <rPr>
        <sz val="10"/>
        <rFont val="나눔고딕"/>
        <family val="2"/>
      </rPr>
      <t xml:space="preserve">컴퓨팅 사고와 정보과학 </t>
    </r>
    <r>
      <rPr>
        <sz val="10"/>
        <rFont val="Arial"/>
        <family val="0"/>
        <charset val="1"/>
      </rPr>
      <t xml:space="preserve">: 2025</t>
    </r>
    <r>
      <rPr>
        <sz val="10"/>
        <rFont val="나눔고딕"/>
        <family val="2"/>
      </rPr>
      <t xml:space="preserve">년도 기출문제집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초등학생용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</si>
  <si>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와 음악 교육</t>
    </r>
  </si>
  <si>
    <t xml:space="preserve">윤관기</t>
  </si>
  <si>
    <r>
      <rPr>
        <sz val="10"/>
        <rFont val="나눔고딕"/>
        <family val="2"/>
      </rPr>
      <t xml:space="preserve">쓱 하고 싹 배우는 포토스케이프 </t>
    </r>
    <r>
      <rPr>
        <sz val="10"/>
        <rFont val="Arial"/>
        <family val="0"/>
        <charset val="1"/>
      </rPr>
      <t xml:space="preserve">X 2nd Edition</t>
    </r>
  </si>
  <si>
    <t xml:space="preserve">김재연</t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</si>
  <si>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리터러시</t>
    </r>
  </si>
  <si>
    <r>
      <rPr>
        <sz val="10"/>
        <rFont val="나눔고딕"/>
        <family val="2"/>
      </rPr>
      <t xml:space="preserve">이선종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이창우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강승희</t>
    </r>
  </si>
  <si>
    <r>
      <rPr>
        <sz val="10"/>
        <rFont val="나눔고딕"/>
        <family val="2"/>
      </rPr>
      <t xml:space="preserve">따라 하면서 완성하는 </t>
    </r>
    <r>
      <rPr>
        <sz val="10"/>
        <rFont val="Arial"/>
        <family val="0"/>
        <charset val="1"/>
      </rPr>
      <t xml:space="preserve">AWS </t>
    </r>
    <r>
      <rPr>
        <sz val="10"/>
        <rFont val="나눔고딕"/>
        <family val="2"/>
      </rPr>
      <t xml:space="preserve">인프라 구축 입문</t>
    </r>
  </si>
  <si>
    <r>
      <rPr>
        <sz val="10"/>
        <rFont val="나눔고딕"/>
        <family val="2"/>
      </rPr>
      <t xml:space="preserve">최진영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럭키바닐라 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세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</si>
  <si>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팔리는 블로그 </t>
    </r>
    <r>
      <rPr>
        <sz val="10"/>
        <rFont val="Arial"/>
        <family val="0"/>
        <charset val="1"/>
      </rPr>
      <t xml:space="preserve">&amp; SNS </t>
    </r>
    <r>
      <rPr>
        <sz val="10"/>
        <rFont val="나눔고딕"/>
        <family val="2"/>
      </rPr>
      <t xml:space="preserve">글쓰기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챗</t>
    </r>
    <r>
      <rPr>
        <sz val="10"/>
        <rFont val="Arial"/>
        <family val="0"/>
        <charset val="1"/>
      </rPr>
      <t xml:space="preserve">GPT</t>
    </r>
  </si>
  <si>
    <r>
      <rPr>
        <sz val="10"/>
        <rFont val="나눔고딕"/>
        <family val="2"/>
      </rPr>
      <t xml:space="preserve">파워 자바 </t>
    </r>
    <r>
      <rPr>
        <sz val="10"/>
        <rFont val="Arial"/>
        <family val="0"/>
        <charset val="1"/>
      </rPr>
      <t xml:space="preserve">4</t>
    </r>
    <r>
      <rPr>
        <sz val="10"/>
        <rFont val="나눔고딕"/>
        <family val="2"/>
      </rPr>
      <t xml:space="preserve">판</t>
    </r>
  </si>
  <si>
    <r>
      <rPr>
        <sz val="10"/>
        <rFont val="나눔고딕"/>
        <family val="2"/>
      </rPr>
      <t xml:space="preserve">천인국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천명준</t>
    </r>
  </si>
  <si>
    <t xml:space="preserve">인피니티북스</t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</si>
  <si>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자율학습 밑바닥부터 배우는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에이전트</t>
    </r>
  </si>
  <si>
    <t xml:space="preserve">다비드스튜디오</t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</si>
  <si>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자율학습  커서ⅹ</t>
    </r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로 완성하는 나만의 웹 서비스</t>
    </r>
  </si>
  <si>
    <t xml:space="preserve">한국은 해킹되었습니다</t>
  </si>
  <si>
    <r>
      <rPr>
        <sz val="10"/>
        <rFont val="나눔고딕"/>
        <family val="2"/>
      </rPr>
      <t xml:space="preserve">심나영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전영주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박유진</t>
    </r>
  </si>
  <si>
    <t xml:space="preserve">사이드웨이</t>
  </si>
  <si>
    <r>
      <rPr>
        <sz val="10"/>
        <rFont val="Arial"/>
        <family val="0"/>
        <charset val="1"/>
      </rPr>
      <t xml:space="preserve">[</t>
    </r>
    <r>
      <rPr>
        <sz val="10"/>
        <rFont val="나눔고딕"/>
        <family val="2"/>
      </rPr>
      <t xml:space="preserve">할 수 있다</t>
    </r>
    <r>
      <rPr>
        <sz val="10"/>
        <rFont val="Arial"/>
        <family val="0"/>
        <charset val="1"/>
      </rPr>
      <t xml:space="preserve">!] </t>
    </r>
    <r>
      <rPr>
        <sz val="10"/>
        <rFont val="나눔고딕"/>
        <family val="2"/>
      </rPr>
      <t xml:space="preserve">스마트폰 기초</t>
    </r>
  </si>
  <si>
    <r>
      <rPr>
        <sz val="10"/>
        <rFont val="나눔고딕"/>
        <family val="2"/>
      </rPr>
      <t xml:space="preserve">이재훈</t>
    </r>
    <r>
      <rPr>
        <sz val="10"/>
        <rFont val="Arial"/>
        <family val="0"/>
        <charset val="1"/>
      </rPr>
      <t xml:space="preserve">, IT</t>
    </r>
    <r>
      <rPr>
        <sz val="10"/>
        <rFont val="나눔고딕"/>
        <family val="2"/>
      </rPr>
      <t xml:space="preserve">교재연구팀</t>
    </r>
  </si>
  <si>
    <t xml:space="preserve">강력한 러스트 매크로 작성법</t>
  </si>
  <si>
    <r>
      <rPr>
        <sz val="10"/>
        <rFont val="나눔고딕"/>
        <family val="2"/>
      </rPr>
      <t xml:space="preserve">샘 밴 오버마이어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김찬빈 역</t>
    </r>
  </si>
  <si>
    <t xml:space="preserve">스프링 부트 개발자 온보딩 가이드</t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</si>
  <si>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버블이 온다</t>
    </r>
  </si>
  <si>
    <r>
      <rPr>
        <sz val="10"/>
        <rFont val="나눔고딕"/>
        <family val="2"/>
      </rPr>
      <t xml:space="preserve">아르빈드 나라야난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사야시 카푸르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강미경 역</t>
    </r>
  </si>
  <si>
    <r>
      <rPr>
        <sz val="10"/>
        <rFont val="나눔고딕"/>
        <family val="2"/>
      </rPr>
      <t xml:space="preserve">윌북</t>
    </r>
    <r>
      <rPr>
        <sz val="10"/>
        <rFont val="Arial"/>
        <family val="0"/>
        <charset val="1"/>
      </rPr>
      <t xml:space="preserve">(willbook)</t>
    </r>
  </si>
  <si>
    <r>
      <rPr>
        <sz val="10"/>
        <rFont val="나눔고딕"/>
        <family val="2"/>
      </rPr>
      <t xml:space="preserve">개발자를 위한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알고리즘</t>
    </r>
  </si>
  <si>
    <r>
      <rPr>
        <sz val="10"/>
        <rFont val="나눔고딕"/>
        <family val="2"/>
      </rPr>
      <t xml:space="preserve">임란 아마드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박지윤 역</t>
    </r>
  </si>
  <si>
    <r>
      <rPr>
        <sz val="10"/>
        <rFont val="나눔고딕"/>
        <family val="2"/>
      </rPr>
      <t xml:space="preserve">소프트웨어 아키텍처 </t>
    </r>
    <r>
      <rPr>
        <sz val="10"/>
        <rFont val="Arial"/>
        <family val="0"/>
        <charset val="1"/>
      </rPr>
      <t xml:space="preserve">The Basics</t>
    </r>
  </si>
  <si>
    <r>
      <rPr>
        <sz val="10"/>
        <rFont val="나눔고딕"/>
        <family val="2"/>
      </rPr>
      <t xml:space="preserve">마크 리처즈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닐 포드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류광</t>
    </r>
    <r>
      <rPr>
        <sz val="10"/>
        <rFont val="Arial"/>
        <family val="0"/>
        <charset val="1"/>
      </rPr>
      <t xml:space="preserve">, 307</t>
    </r>
    <r>
      <rPr>
        <sz val="10"/>
        <rFont val="나눔고딕"/>
        <family val="2"/>
      </rPr>
      <t xml:space="preserve">번역랩 역</t>
    </r>
  </si>
  <si>
    <r>
      <rPr>
        <sz val="10"/>
        <rFont val="Arial"/>
        <family val="0"/>
        <charset val="1"/>
      </rPr>
      <t xml:space="preserve">C# </t>
    </r>
    <r>
      <rPr>
        <sz val="10"/>
        <rFont val="나눔고딕"/>
        <family val="2"/>
      </rPr>
      <t xml:space="preserve">스크립트를 활용한 유니티 </t>
    </r>
    <r>
      <rPr>
        <sz val="10"/>
        <rFont val="Arial"/>
        <family val="0"/>
        <charset val="1"/>
      </rPr>
      <t xml:space="preserve">6 </t>
    </r>
    <r>
      <rPr>
        <sz val="10"/>
        <rFont val="나눔고딕"/>
        <family val="2"/>
      </rPr>
      <t xml:space="preserve">개발</t>
    </r>
  </si>
  <si>
    <r>
      <rPr>
        <sz val="10"/>
        <rFont val="나눔고딕"/>
        <family val="2"/>
      </rPr>
      <t xml:space="preserve">렘 애퍼슨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장세윤 역</t>
    </r>
  </si>
  <si>
    <r>
      <rPr>
        <sz val="10"/>
        <rFont val="Arial"/>
        <family val="0"/>
        <charset val="1"/>
      </rPr>
      <t xml:space="preserve">LLM </t>
    </r>
    <r>
      <rPr>
        <sz val="10"/>
        <rFont val="나눔고딕"/>
        <family val="2"/>
      </rPr>
      <t xml:space="preserve">디자인 패턴</t>
    </r>
  </si>
  <si>
    <r>
      <rPr>
        <sz val="10"/>
        <rFont val="나눔고딕"/>
        <family val="2"/>
      </rPr>
      <t xml:space="preserve">켄 황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최용 역</t>
    </r>
  </si>
  <si>
    <t xml:space="preserve">처음 만나는 드론 인문학</t>
  </si>
  <si>
    <r>
      <rPr>
        <sz val="10"/>
        <rFont val="나눔고딕"/>
        <family val="2"/>
      </rPr>
      <t xml:space="preserve">조장현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노상재 그림</t>
    </r>
  </si>
  <si>
    <t xml:space="preserve">초봄책방</t>
  </si>
  <si>
    <r>
      <rPr>
        <sz val="10"/>
        <rFont val="Arial"/>
        <family val="0"/>
        <charset val="1"/>
      </rPr>
      <t xml:space="preserve">EU AI </t>
    </r>
    <r>
      <rPr>
        <sz val="10"/>
        <rFont val="나눔고딕"/>
        <family val="2"/>
      </rPr>
      <t xml:space="preserve">법과 사업자 의무</t>
    </r>
  </si>
  <si>
    <t xml:space="preserve">김윤명</t>
  </si>
  <si>
    <t xml:space="preserve">한 권으로 끝내는 올인원 피그마</t>
  </si>
  <si>
    <t xml:space="preserve">오시내</t>
  </si>
  <si>
    <t xml:space="preserve">쉽게 배우고 바로 쓰는 에듀테크 첫걸음</t>
  </si>
  <si>
    <r>
      <rPr>
        <sz val="10"/>
        <rFont val="나눔고딕"/>
        <family val="2"/>
      </rPr>
      <t xml:space="preserve">조종현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박미지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김승길</t>
    </r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</si>
  <si>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시대에 이기는 법</t>
    </r>
  </si>
  <si>
    <r>
      <rPr>
        <sz val="10"/>
        <rFont val="나눔고딕"/>
        <family val="2"/>
      </rPr>
      <t xml:space="preserve">김수영 기획</t>
    </r>
    <r>
      <rPr>
        <sz val="10"/>
        <rFont val="Arial"/>
        <family val="0"/>
        <charset val="1"/>
      </rPr>
      <t xml:space="preserve">(AI</t>
    </r>
    <r>
      <rPr>
        <sz val="10"/>
        <rFont val="나눔고딕"/>
        <family val="2"/>
      </rPr>
      <t xml:space="preserve">활용</t>
    </r>
    <r>
      <rPr>
        <sz val="10"/>
        <rFont val="Arial"/>
        <family val="0"/>
        <charset val="1"/>
      </rPr>
      <t xml:space="preserve">)</t>
    </r>
  </si>
  <si>
    <t xml:space="preserve">포춘쿠키</t>
  </si>
  <si>
    <t xml:space="preserve">실무자의 게임 데이터 성장 비법</t>
  </si>
  <si>
    <r>
      <rPr>
        <sz val="10"/>
        <rFont val="나눔고딕"/>
        <family val="2"/>
      </rPr>
      <t xml:space="preserve">씽킹데이터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제갈진우 역</t>
    </r>
  </si>
  <si>
    <r>
      <rPr>
        <sz val="10"/>
        <rFont val="나눔고딕"/>
        <family val="2"/>
      </rPr>
      <t xml:space="preserve">파이썬 </t>
    </r>
    <r>
      <rPr>
        <sz val="10"/>
        <rFont val="Arial"/>
        <family val="0"/>
        <charset val="1"/>
      </rPr>
      <t xml:space="preserve">for Beginner</t>
    </r>
  </si>
  <si>
    <r>
      <rPr>
        <sz val="10"/>
        <rFont val="나눔고딕"/>
        <family val="2"/>
      </rPr>
      <t xml:space="preserve">기획에서 출시까지 </t>
    </r>
    <r>
      <rPr>
        <sz val="10"/>
        <rFont val="Arial"/>
        <family val="0"/>
        <charset val="1"/>
      </rPr>
      <t xml:space="preserve">FastAPI </t>
    </r>
    <r>
      <rPr>
        <sz val="10"/>
        <rFont val="나눔고딕"/>
        <family val="2"/>
      </rPr>
      <t xml:space="preserve">개발 백서</t>
    </r>
  </si>
  <si>
    <t xml:space="preserve">차경묵</t>
  </si>
  <si>
    <r>
      <rPr>
        <sz val="10"/>
        <rFont val="나눔고딕"/>
        <family val="2"/>
      </rPr>
      <t xml:space="preserve">그림으로 이해하는 챗</t>
    </r>
    <r>
      <rPr>
        <sz val="10"/>
        <rFont val="Arial"/>
        <family val="0"/>
        <charset val="1"/>
      </rPr>
      <t xml:space="preserve">GPT </t>
    </r>
    <r>
      <rPr>
        <sz val="10"/>
        <rFont val="나눔고딕"/>
        <family val="2"/>
      </rPr>
      <t xml:space="preserve">구조와 기술</t>
    </r>
  </si>
  <si>
    <r>
      <rPr>
        <sz val="10"/>
        <rFont val="나눔고딕"/>
        <family val="2"/>
      </rPr>
      <t xml:space="preserve">나카타니 슈요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박광수 역</t>
    </r>
  </si>
  <si>
    <r>
      <rPr>
        <sz val="10"/>
        <rFont val="나눔고딕"/>
        <family val="2"/>
      </rPr>
      <t xml:space="preserve">스케치업</t>
    </r>
    <r>
      <rPr>
        <sz val="10"/>
        <rFont val="Arial"/>
        <family val="0"/>
        <charset val="1"/>
      </rPr>
      <t xml:space="preserve">&amp;</t>
    </r>
    <r>
      <rPr>
        <sz val="10"/>
        <rFont val="나눔고딕"/>
        <family val="2"/>
      </rPr>
      <t xml:space="preserve">엔스케이프 트레이닝 북</t>
    </r>
  </si>
  <si>
    <t xml:space="preserve">강석창</t>
  </si>
  <si>
    <t xml:space="preserve">언리얼 엔진으로 배우는 게임 디자인 패턴</t>
  </si>
  <si>
    <r>
      <rPr>
        <sz val="10"/>
        <rFont val="나눔고딕"/>
        <family val="2"/>
      </rPr>
      <t xml:space="preserve">스튜어트 버틀러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톰 올리버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강세중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오영욱 역</t>
    </r>
  </si>
  <si>
    <r>
      <rPr>
        <sz val="10"/>
        <rFont val="Arial"/>
        <family val="0"/>
        <charset val="1"/>
      </rPr>
      <t xml:space="preserve">UX/UI </t>
    </r>
    <r>
      <rPr>
        <sz val="10"/>
        <rFont val="나눔고딕"/>
        <family val="2"/>
      </rPr>
      <t xml:space="preserve">디자인 워크숍 </t>
    </r>
    <r>
      <rPr>
        <sz val="10"/>
        <rFont val="Arial"/>
        <family val="0"/>
        <charset val="1"/>
      </rPr>
      <t xml:space="preserve">with AI</t>
    </r>
  </si>
  <si>
    <t xml:space="preserve">윤하린</t>
  </si>
  <si>
    <r>
      <rPr>
        <sz val="10"/>
        <rFont val="나눔고딕"/>
        <family val="2"/>
      </rPr>
      <t xml:space="preserve">써니쌤과 함께 처음 시작하는 </t>
    </r>
    <r>
      <rPr>
        <sz val="10"/>
        <rFont val="Arial"/>
        <family val="0"/>
        <charset val="1"/>
      </rPr>
      <t xml:space="preserve">SNS </t>
    </r>
    <r>
      <rPr>
        <sz val="10"/>
        <rFont val="나눔고딕"/>
        <family val="2"/>
      </rPr>
      <t xml:space="preserve">디자인 캔바</t>
    </r>
  </si>
  <si>
    <t xml:space="preserve">써니쌤 강성은</t>
  </si>
  <si>
    <t xml:space="preserve">시원북스</t>
  </si>
  <si>
    <t xml:space="preserve">일 잘하는 직장인</t>
  </si>
  <si>
    <r>
      <rPr>
        <sz val="10"/>
        <rFont val="나눔고딕"/>
        <family val="2"/>
      </rPr>
      <t xml:space="preserve">일머리스쿨 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송경이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유진희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</si>
  <si>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음악 생성기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수노</t>
    </r>
  </si>
  <si>
    <r>
      <rPr>
        <sz val="10"/>
        <rFont val="나눔고딕"/>
        <family val="2"/>
      </rPr>
      <t xml:space="preserve">박은비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양종모</t>
    </r>
  </si>
  <si>
    <r>
      <rPr>
        <sz val="10"/>
        <rFont val="나눔고딕"/>
        <family val="2"/>
      </rPr>
      <t xml:space="preserve">대규모 언어 모델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핵심만 빠르게</t>
    </r>
    <r>
      <rPr>
        <sz val="10"/>
        <rFont val="Arial"/>
        <family val="0"/>
        <charset val="1"/>
      </rPr>
      <t xml:space="preserve">!</t>
    </r>
  </si>
  <si>
    <r>
      <rPr>
        <sz val="10"/>
        <rFont val="나눔고딕"/>
        <family val="2"/>
      </rPr>
      <t xml:space="preserve">안드리 부르코프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박해선 역</t>
    </r>
  </si>
  <si>
    <t xml:space="preserve">알기 쉬운 사진기능사 실기 교과서</t>
  </si>
  <si>
    <r>
      <rPr>
        <sz val="10"/>
        <rFont val="나눔고딕"/>
        <family val="2"/>
      </rPr>
      <t xml:space="preserve">김대욱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이강철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송호진</t>
    </r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</si>
  <si>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영상 편집 마스터</t>
    </r>
  </si>
  <si>
    <t xml:space="preserve">박인수</t>
  </si>
  <si>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와 웹소설</t>
    </r>
  </si>
  <si>
    <t xml:space="preserve">박성준</t>
  </si>
  <si>
    <r>
      <rPr>
        <sz val="10"/>
        <rFont val="나눔고딕"/>
        <family val="2"/>
      </rPr>
      <t xml:space="preserve">실무로 통하는 </t>
    </r>
    <r>
      <rPr>
        <sz val="10"/>
        <rFont val="Arial"/>
        <family val="0"/>
        <charset val="1"/>
      </rPr>
      <t xml:space="preserve">LLM </t>
    </r>
    <r>
      <rPr>
        <sz val="10"/>
        <rFont val="나눔고딕"/>
        <family val="2"/>
      </rPr>
      <t xml:space="preserve">애플리케이션 설계</t>
    </r>
  </si>
  <si>
    <r>
      <rPr>
        <sz val="10"/>
        <rFont val="나눔고딕"/>
        <family val="2"/>
      </rPr>
      <t xml:space="preserve">수하스 파이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박조은 역</t>
    </r>
  </si>
  <si>
    <t xml:space="preserve">인공지능과 국제정치 전환</t>
  </si>
  <si>
    <r>
      <rPr>
        <sz val="10"/>
        <rFont val="나눔고딕"/>
        <family val="2"/>
      </rPr>
      <t xml:space="preserve">김상배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이원태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유인태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이승주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윤정현 저 외 </t>
    </r>
    <r>
      <rPr>
        <sz val="10"/>
        <rFont val="Arial"/>
        <family val="0"/>
        <charset val="1"/>
      </rPr>
      <t xml:space="preserve">5</t>
    </r>
    <r>
      <rPr>
        <sz val="10"/>
        <rFont val="나눔고딕"/>
        <family val="2"/>
      </rPr>
      <t xml:space="preserve">명 정보 더 보기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감추기 김상배 이원태 유인태 이승주 윤정현 이종진 정헌주 윤대엽 이수연 송태은</t>
    </r>
  </si>
  <si>
    <t xml:space="preserve">한울아카데미</t>
  </si>
  <si>
    <r>
      <rPr>
        <sz val="10"/>
        <rFont val="나눔고딕"/>
        <family val="2"/>
      </rPr>
      <t xml:space="preserve">스케치업 </t>
    </r>
    <r>
      <rPr>
        <sz val="10"/>
        <rFont val="Arial"/>
        <family val="0"/>
        <charset val="1"/>
      </rPr>
      <t xml:space="preserve">2025 with Ruby+Twinmotion</t>
    </r>
  </si>
  <si>
    <t xml:space="preserve">황두환</t>
  </si>
  <si>
    <t xml:space="preserve">인공지능 보안 및 산업인증</t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</si>
  <si>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법과 아이피 이슈</t>
    </r>
  </si>
  <si>
    <t xml:space="preserve">정윤경</t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</si>
  <si>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프로덕트 기획과 운영</t>
    </r>
  </si>
  <si>
    <r>
      <rPr>
        <sz val="10"/>
        <rFont val="나눔고딕"/>
        <family val="2"/>
      </rPr>
      <t xml:space="preserve">마릴리 니카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오성근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오용철 역</t>
    </r>
  </si>
  <si>
    <r>
      <rPr>
        <sz val="10"/>
        <rFont val="나눔고딕"/>
        <family val="2"/>
      </rPr>
      <t xml:space="preserve">까망고니의 블렌더 레벨업 아카이브 </t>
    </r>
    <r>
      <rPr>
        <sz val="10"/>
        <rFont val="Arial"/>
        <family val="0"/>
        <charset val="1"/>
      </rPr>
      <t xml:space="preserve">with AI</t>
    </r>
  </si>
  <si>
    <r>
      <rPr>
        <sz val="10"/>
        <rFont val="나눔고딕"/>
        <family val="2"/>
      </rPr>
      <t xml:space="preserve">김수환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까망고니</t>
    </r>
    <r>
      <rPr>
        <sz val="10"/>
        <rFont val="Arial"/>
        <family val="0"/>
        <charset val="1"/>
      </rPr>
      <t xml:space="preserve">)</t>
    </r>
  </si>
  <si>
    <t xml:space="preserve">비제이퍼블릭</t>
  </si>
  <si>
    <t xml:space="preserve">코딩 자율학습 네트워크 입문</t>
  </si>
  <si>
    <t xml:space="preserve">크래프트맨 멘탈리티</t>
  </si>
  <si>
    <r>
      <rPr>
        <sz val="10"/>
        <rFont val="나눔고딕"/>
        <family val="2"/>
      </rPr>
      <t xml:space="preserve">안녕</t>
    </r>
    <r>
      <rPr>
        <sz val="10"/>
        <rFont val="Arial"/>
        <family val="0"/>
        <charset val="1"/>
      </rPr>
      <t xml:space="preserve">! </t>
    </r>
    <r>
      <rPr>
        <sz val="10"/>
        <rFont val="나눔고딕"/>
        <family val="2"/>
      </rPr>
      <t xml:space="preserve">엔트리 반가워</t>
    </r>
    <r>
      <rPr>
        <sz val="10"/>
        <rFont val="Arial"/>
        <family val="0"/>
        <charset val="1"/>
      </rPr>
      <t xml:space="preserve">! </t>
    </r>
    <r>
      <rPr>
        <sz val="10"/>
        <rFont val="나눔고딕"/>
        <family val="2"/>
      </rPr>
      <t xml:space="preserve">인공지능</t>
    </r>
  </si>
  <si>
    <r>
      <rPr>
        <sz val="10"/>
        <rFont val="나눔고딕"/>
        <family val="2"/>
      </rPr>
      <t xml:space="preserve">장병철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이준기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유경선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이은경</t>
    </r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</si>
  <si>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커버 음악</t>
    </r>
  </si>
  <si>
    <r>
      <rPr>
        <sz val="10"/>
        <rFont val="나눔고딕"/>
        <family val="2"/>
      </rPr>
      <t xml:space="preserve">김기창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김선영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백지연</t>
    </r>
  </si>
  <si>
    <r>
      <rPr>
        <sz val="10"/>
        <rFont val="Arial"/>
        <family val="0"/>
        <charset val="1"/>
      </rPr>
      <t xml:space="preserve">Do it! </t>
    </r>
    <r>
      <rPr>
        <sz val="10"/>
        <rFont val="나눔고딕"/>
        <family val="2"/>
      </rPr>
      <t xml:space="preserve">커서로 시작하는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코딩 입문</t>
    </r>
  </si>
  <si>
    <r>
      <rPr>
        <sz val="10"/>
        <rFont val="Arial"/>
        <family val="0"/>
        <charset val="1"/>
      </rPr>
      <t xml:space="preserve">AWS </t>
    </r>
    <r>
      <rPr>
        <sz val="10"/>
        <rFont val="나눔고딕"/>
        <family val="2"/>
      </rPr>
      <t xml:space="preserve">잘하는 개발자 되기</t>
    </r>
  </si>
  <si>
    <t xml:space="preserve">김재욱</t>
  </si>
  <si>
    <t xml:space="preserve">프런트엔드 레벨을 높이는 자바스크립트 퀴즈북</t>
  </si>
  <si>
    <r>
      <rPr>
        <sz val="10"/>
        <rFont val="나눔고딕"/>
        <family val="2"/>
      </rPr>
      <t xml:space="preserve">엄서영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김지원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백종현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이성근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이준호 저 외 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명 정보 더 보기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감추기 엄서영 김지원 백종현 이성근 이준호 정수현 조나영</t>
    </r>
  </si>
  <si>
    <r>
      <rPr>
        <sz val="10"/>
        <rFont val="나눔고딕"/>
        <family val="2"/>
      </rPr>
      <t xml:space="preserve">처음 배우는 명암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구도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배색 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</rPr>
      <t xml:space="preserve">그리고 싶은 그림을 배우는 일러스트 기초</t>
    </r>
  </si>
  <si>
    <r>
      <rPr>
        <sz val="10"/>
        <rFont val="나눔고딕"/>
        <family val="2"/>
      </rPr>
      <t xml:space="preserve">시마자키 조제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고영자 역</t>
    </r>
  </si>
  <si>
    <r>
      <rPr>
        <sz val="10"/>
        <rFont val="나눔고딕"/>
        <family val="2"/>
      </rPr>
      <t xml:space="preserve">문서천재 한글 </t>
    </r>
    <r>
      <rPr>
        <sz val="10"/>
        <rFont val="Arial"/>
        <family val="0"/>
        <charset val="1"/>
      </rPr>
      <t xml:space="preserve">2022</t>
    </r>
  </si>
  <si>
    <r>
      <rPr>
        <sz val="10"/>
        <rFont val="나눔고딕"/>
        <family val="2"/>
      </rPr>
      <t xml:space="preserve">렉스기획팀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장순나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조연화</t>
    </r>
  </si>
  <si>
    <r>
      <rPr>
        <sz val="10"/>
        <rFont val="Arial"/>
        <family val="0"/>
        <charset val="1"/>
      </rPr>
      <t xml:space="preserve">REXmedia(</t>
    </r>
    <r>
      <rPr>
        <sz val="10"/>
        <rFont val="나눔고딕"/>
        <family val="2"/>
      </rPr>
      <t xml:space="preserve">렉스미디어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</si>
  <si>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개발자를 위한 생성형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활용 가이드</t>
    </r>
  </si>
  <si>
    <r>
      <rPr>
        <sz val="10"/>
        <rFont val="나눔고딕"/>
        <family val="2"/>
      </rPr>
      <t xml:space="preserve">핫토리 유우키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하승민 역</t>
    </r>
  </si>
  <si>
    <t xml:space="preserve">헤드 퍼스트 소프트웨어 아키텍처</t>
  </si>
  <si>
    <r>
      <rPr>
        <sz val="10"/>
        <rFont val="나눔고딕"/>
        <family val="2"/>
      </rPr>
      <t xml:space="preserve">라주 간디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마크 리처드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닐 포드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유동환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최영수 역</t>
    </r>
  </si>
  <si>
    <r>
      <rPr>
        <sz val="10"/>
        <rFont val="나눔고딕"/>
        <family val="2"/>
      </rPr>
      <t xml:space="preserve">생각을 맡기는 사람들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</rPr>
      <t xml:space="preserve">호모 브레인리스</t>
    </r>
  </si>
  <si>
    <t xml:space="preserve">안광섭</t>
  </si>
  <si>
    <r>
      <rPr>
        <sz val="10"/>
        <rFont val="Arial"/>
        <family val="0"/>
        <charset val="1"/>
      </rPr>
      <t xml:space="preserve">AI 3</t>
    </r>
    <r>
      <rPr>
        <sz val="10"/>
        <rFont val="나눔고딕"/>
        <family val="2"/>
      </rPr>
      <t xml:space="preserve">대 강국</t>
    </r>
  </si>
  <si>
    <t xml:space="preserve">박영선</t>
  </si>
  <si>
    <t xml:space="preserve">나남출판사</t>
  </si>
  <si>
    <t xml:space="preserve">러스트 클린 코드</t>
  </si>
  <si>
    <r>
      <rPr>
        <sz val="10"/>
        <rFont val="나눔고딕"/>
        <family val="2"/>
      </rPr>
      <t xml:space="preserve">브렌든 매슈스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윤인도</t>
    </r>
  </si>
  <si>
    <r>
      <rPr>
        <sz val="10"/>
        <rFont val="나눔고딕"/>
        <family val="2"/>
      </rPr>
      <t xml:space="preserve">생성형 </t>
    </r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와 엔트리로 </t>
    </r>
    <r>
      <rPr>
        <sz val="10"/>
        <rFont val="Arial"/>
        <family val="0"/>
        <charset val="1"/>
      </rPr>
      <t xml:space="preserve">12</t>
    </r>
    <r>
      <rPr>
        <sz val="10"/>
        <rFont val="나눔고딕"/>
        <family val="2"/>
      </rPr>
      <t xml:space="preserve">가지 인공지능 작품 만들기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뤼튼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캔바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미리캔버스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투닝</t>
    </r>
    <r>
      <rPr>
        <sz val="10"/>
        <rFont val="Arial"/>
        <family val="0"/>
        <charset val="1"/>
      </rPr>
      <t xml:space="preserve">, ChatGPT, </t>
    </r>
    <r>
      <rPr>
        <sz val="10"/>
        <rFont val="나눔고딕"/>
        <family val="2"/>
      </rPr>
      <t xml:space="preserve">위스크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수노</t>
    </r>
  </si>
  <si>
    <t xml:space="preserve">한 권으로 끝내는 나만의 캐릭터 굿즈 브랜드</t>
  </si>
  <si>
    <t xml:space="preserve">이지안</t>
  </si>
  <si>
    <r>
      <rPr>
        <sz val="10"/>
        <rFont val="나눔고딕"/>
        <family val="2"/>
      </rPr>
      <t xml:space="preserve">챗</t>
    </r>
    <r>
      <rPr>
        <sz val="10"/>
        <rFont val="Arial"/>
        <family val="0"/>
        <charset val="1"/>
      </rPr>
      <t xml:space="preserve">GPT </t>
    </r>
    <r>
      <rPr>
        <sz val="10"/>
        <rFont val="나눔고딕"/>
        <family val="2"/>
      </rPr>
      <t xml:space="preserve">교사 마스터 플랜</t>
    </r>
  </si>
  <si>
    <r>
      <rPr>
        <sz val="10"/>
        <rFont val="나눔고딕"/>
        <family val="2"/>
      </rPr>
      <t xml:space="preserve">미드저니와 </t>
    </r>
    <r>
      <rPr>
        <sz val="10"/>
        <rFont val="Arial"/>
        <family val="0"/>
        <charset val="1"/>
      </rPr>
      <t xml:space="preserve">ComfyUI</t>
    </r>
    <r>
      <rPr>
        <sz val="10"/>
        <rFont val="나눔고딕"/>
        <family val="2"/>
      </rPr>
      <t xml:space="preserve">로 완성하는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게임 그래픽</t>
    </r>
  </si>
  <si>
    <t xml:space="preserve">양영민</t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</si>
  <si>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리터러시 기초</t>
    </r>
  </si>
  <si>
    <t xml:space="preserve">Ben Jones</t>
  </si>
  <si>
    <t xml:space="preserve">한국마케팅교육</t>
  </si>
  <si>
    <r>
      <rPr>
        <sz val="10"/>
        <rFont val="나눔고딕"/>
        <family val="2"/>
      </rPr>
      <t xml:space="preserve">돌아온 꿈트리 한글 </t>
    </r>
    <r>
      <rPr>
        <sz val="10"/>
        <rFont val="Arial"/>
        <family val="0"/>
        <charset val="1"/>
      </rPr>
      <t xml:space="preserve">2022</t>
    </r>
  </si>
  <si>
    <r>
      <rPr>
        <sz val="10"/>
        <rFont val="Arial"/>
        <family val="0"/>
        <charset val="1"/>
      </rPr>
      <t xml:space="preserve">KIE </t>
    </r>
    <r>
      <rPr>
        <sz val="10"/>
        <rFont val="나눔고딕"/>
        <family val="2"/>
      </rPr>
      <t xml:space="preserve">기획연구실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방컴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쌤과 아이들</t>
    </r>
    <r>
      <rPr>
        <sz val="10"/>
        <rFont val="Arial"/>
        <family val="0"/>
        <charset val="1"/>
      </rPr>
      <t xml:space="preserve">) </t>
    </r>
    <r>
      <rPr>
        <sz val="10"/>
        <rFont val="나눔고딕"/>
        <family val="2"/>
      </rPr>
      <t xml:space="preserve">감수</t>
    </r>
  </si>
  <si>
    <t xml:space="preserve">아카데미소프트</t>
  </si>
  <si>
    <r>
      <rPr>
        <sz val="10"/>
        <rFont val="나눔고딕"/>
        <family val="2"/>
      </rPr>
      <t xml:space="preserve">돌아온 꿈트리 엑셀 </t>
    </r>
    <r>
      <rPr>
        <sz val="10"/>
        <rFont val="Arial"/>
        <family val="0"/>
        <charset val="1"/>
      </rPr>
      <t xml:space="preserve">2021</t>
    </r>
  </si>
  <si>
    <r>
      <rPr>
        <sz val="10"/>
        <rFont val="Arial"/>
        <family val="0"/>
        <charset val="1"/>
      </rPr>
      <t xml:space="preserve">30</t>
    </r>
    <r>
      <rPr>
        <sz val="10"/>
        <rFont val="나눔고딕"/>
        <family val="2"/>
      </rPr>
      <t xml:space="preserve">가지 심리학 이야기로 풀어보는 </t>
    </r>
    <r>
      <rPr>
        <sz val="10"/>
        <rFont val="Arial"/>
        <family val="0"/>
        <charset val="1"/>
      </rPr>
      <t xml:space="preserve">UX </t>
    </r>
    <r>
      <rPr>
        <sz val="10"/>
        <rFont val="나눔고딕"/>
        <family val="2"/>
      </rPr>
      <t xml:space="preserve">디자인</t>
    </r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</si>
  <si>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캡컷</t>
    </r>
  </si>
  <si>
    <r>
      <rPr>
        <sz val="10"/>
        <rFont val="나눔고딕"/>
        <family val="2"/>
      </rPr>
      <t xml:space="preserve">알기쉬운 </t>
    </r>
    <r>
      <rPr>
        <sz val="10"/>
        <rFont val="Arial"/>
        <family val="0"/>
        <charset val="1"/>
      </rPr>
      <t xml:space="preserve">AutoCAD</t>
    </r>
  </si>
  <si>
    <t xml:space="preserve">육재호</t>
  </si>
  <si>
    <t xml:space="preserve">복두출판사</t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</si>
  <si>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광고 제작</t>
    </r>
  </si>
  <si>
    <r>
      <rPr>
        <sz val="10"/>
        <rFont val="나눔고딕"/>
        <family val="2"/>
      </rPr>
      <t xml:space="preserve">문수민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민지영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전은재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최종수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앤미디어</t>
    </r>
  </si>
  <si>
    <r>
      <rPr>
        <sz val="10"/>
        <rFont val="나눔고딕"/>
        <family val="2"/>
      </rPr>
      <t xml:space="preserve">스프링 </t>
    </r>
    <r>
      <rPr>
        <sz val="10"/>
        <rFont val="Arial"/>
        <family val="0"/>
        <charset val="1"/>
      </rPr>
      <t xml:space="preserve">6 </t>
    </r>
    <r>
      <rPr>
        <sz val="10"/>
        <rFont val="나눔고딕"/>
        <family val="2"/>
      </rPr>
      <t xml:space="preserve">레시피</t>
    </r>
  </si>
  <si>
    <r>
      <rPr>
        <sz val="10"/>
        <rFont val="나눔고딕"/>
        <family val="2"/>
      </rPr>
      <t xml:space="preserve">마틴 데이넘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다니엘 루비오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조시 롱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서세진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이승룡 역 외 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명 정보 더 보기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감추기 마틴 데이넘 다니엘 루비오 조시 롱 서세진 이승룡 서경석 김태영 유기연</t>
    </r>
  </si>
  <si>
    <r>
      <rPr>
        <sz val="10"/>
        <rFont val="나눔고딕"/>
        <family val="2"/>
      </rPr>
      <t xml:space="preserve">작품만들기 엑셀 </t>
    </r>
    <r>
      <rPr>
        <sz val="10"/>
        <rFont val="Arial"/>
        <family val="0"/>
        <charset val="1"/>
      </rPr>
      <t xml:space="preserve">2021</t>
    </r>
  </si>
  <si>
    <r>
      <rPr>
        <sz val="10"/>
        <rFont val="나눔고딕"/>
        <family val="2"/>
      </rPr>
      <t xml:space="preserve">김서연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이현아 저</t>
    </r>
    <r>
      <rPr>
        <sz val="10"/>
        <rFont val="Arial"/>
        <family val="0"/>
        <charset val="1"/>
      </rPr>
      <t xml:space="preserve">/KIE </t>
    </r>
    <r>
      <rPr>
        <sz val="10"/>
        <rFont val="나눔고딕"/>
        <family val="2"/>
      </rPr>
      <t xml:space="preserve">기획연구실 감수</t>
    </r>
  </si>
  <si>
    <r>
      <rPr>
        <sz val="10"/>
        <rFont val="Arial"/>
        <family val="0"/>
        <charset val="1"/>
      </rPr>
      <t xml:space="preserve">NX 2406 Simcenter Nastran </t>
    </r>
    <r>
      <rPr>
        <sz val="10"/>
        <rFont val="나눔고딕"/>
        <family val="2"/>
      </rPr>
      <t xml:space="preserve">유한요소 해석법</t>
    </r>
  </si>
  <si>
    <r>
      <rPr>
        <sz val="10"/>
        <rFont val="나눔고딕"/>
        <family val="2"/>
      </rPr>
      <t xml:space="preserve">고재철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김선용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박용석 공저</t>
    </r>
  </si>
  <si>
    <t xml:space="preserve">온솔루션인티그레이션</t>
  </si>
  <si>
    <r>
      <rPr>
        <sz val="10"/>
        <rFont val="나눔고딕"/>
        <family val="2"/>
      </rPr>
      <t xml:space="preserve">챗</t>
    </r>
    <r>
      <rPr>
        <sz val="10"/>
        <rFont val="Arial"/>
        <family val="0"/>
        <charset val="1"/>
      </rPr>
      <t xml:space="preserve">GPT </t>
    </r>
    <r>
      <rPr>
        <sz val="10"/>
        <rFont val="나눔고딕"/>
        <family val="2"/>
      </rPr>
      <t xml:space="preserve">업종별 사용설명서 증권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은행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보험</t>
    </r>
  </si>
  <si>
    <t xml:space="preserve">송준용</t>
  </si>
  <si>
    <t xml:space="preserve">코딩 자율학습 리액트 프런트엔드 개발 입문</t>
  </si>
  <si>
    <t xml:space="preserve">김기수</t>
  </si>
  <si>
    <r>
      <rPr>
        <sz val="10"/>
        <rFont val="나눔고딕"/>
        <family val="2"/>
      </rPr>
      <t xml:space="preserve">알아서 잘하는 에이전틱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시스템 구축하기</t>
    </r>
  </si>
  <si>
    <r>
      <rPr>
        <sz val="10"/>
        <rFont val="나눔고딕"/>
        <family val="2"/>
      </rPr>
      <t xml:space="preserve">안자나바 비스와스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릭 탈루크다르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김모세 역</t>
    </r>
  </si>
  <si>
    <r>
      <rPr>
        <sz val="10"/>
        <rFont val="나눔고딕"/>
        <family val="2"/>
      </rPr>
      <t xml:space="preserve">돌꿈</t>
    </r>
    <r>
      <rPr>
        <sz val="10"/>
        <rFont val="Arial"/>
        <family val="0"/>
        <charset val="1"/>
      </rPr>
      <t xml:space="preserve">_</t>
    </r>
    <r>
      <rPr>
        <sz val="10"/>
        <rFont val="나눔고딕"/>
        <family val="2"/>
      </rPr>
      <t xml:space="preserve">컴기초꿈트리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윈도우</t>
    </r>
    <r>
      <rPr>
        <sz val="10"/>
        <rFont val="Arial"/>
        <family val="0"/>
        <charset val="1"/>
      </rPr>
      <t xml:space="preserve">11_AI </t>
    </r>
    <r>
      <rPr>
        <sz val="10"/>
        <rFont val="나눔고딕"/>
        <family val="2"/>
      </rPr>
      <t xml:space="preserve">친구들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</si>
  <si>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돌아온 꿈트리 파워포인트 </t>
    </r>
    <r>
      <rPr>
        <sz val="10"/>
        <rFont val="Arial"/>
        <family val="0"/>
        <charset val="1"/>
      </rPr>
      <t xml:space="preserve">2021</t>
    </r>
  </si>
  <si>
    <r>
      <rPr>
        <sz val="10"/>
        <rFont val="Arial"/>
        <family val="0"/>
        <charset val="1"/>
      </rPr>
      <t xml:space="preserve">KIE </t>
    </r>
    <r>
      <rPr>
        <sz val="10"/>
        <rFont val="나눔고딕"/>
        <family val="2"/>
      </rPr>
      <t xml:space="preserve">기획연구실</t>
    </r>
  </si>
  <si>
    <t xml:space="preserve">인지와 인공지능</t>
  </si>
  <si>
    <r>
      <rPr>
        <sz val="10"/>
        <rFont val="나눔고딕"/>
        <family val="2"/>
      </rPr>
      <t xml:space="preserve">캐서린 헤일스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윤미선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김은주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오릿 핼펀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문규민 저 외 </t>
    </r>
    <r>
      <rPr>
        <sz val="10"/>
        <rFont val="Arial"/>
        <family val="0"/>
        <charset val="1"/>
      </rPr>
      <t xml:space="preserve">5</t>
    </r>
    <r>
      <rPr>
        <sz val="10"/>
        <rFont val="나눔고딕"/>
        <family val="2"/>
      </rPr>
      <t xml:space="preserve">명 정보 더 보기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감추기 캐서린 헤일스 윤미선 김은주 오릿 핼펀 문규민 홍남희 정희원 이혜정 송은주 김지훈</t>
    </r>
  </si>
  <si>
    <t xml:space="preserve">갈무리</t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</si>
  <si>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혁명을 이끈 천재들</t>
    </r>
  </si>
  <si>
    <t xml:space="preserve">이승민</t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</si>
  <si>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작화법</t>
    </r>
  </si>
  <si>
    <t xml:space="preserve">하묘</t>
  </si>
  <si>
    <r>
      <rPr>
        <sz val="10"/>
        <rFont val="나눔고딕"/>
        <family val="2"/>
      </rPr>
      <t xml:space="preserve">파이썬다운 코드를 개발하는 </t>
    </r>
    <r>
      <rPr>
        <sz val="10"/>
        <rFont val="Arial"/>
        <family val="0"/>
        <charset val="1"/>
      </rPr>
      <t xml:space="preserve">63</t>
    </r>
    <r>
      <rPr>
        <sz val="10"/>
        <rFont val="나눔고딕"/>
        <family val="2"/>
      </rPr>
      <t xml:space="preserve">가지 실용 기법</t>
    </r>
  </si>
  <si>
    <r>
      <rPr>
        <sz val="10"/>
        <rFont val="나눔고딕"/>
        <family val="2"/>
      </rPr>
      <t xml:space="preserve">용 추이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이주호 역</t>
    </r>
  </si>
  <si>
    <r>
      <rPr>
        <sz val="10"/>
        <rFont val="나눔고딕"/>
        <family val="2"/>
      </rPr>
      <t xml:space="preserve">누구나 쉽게 배우는 </t>
    </r>
    <r>
      <rPr>
        <sz val="10"/>
        <rFont val="Arial"/>
        <family val="0"/>
        <charset val="1"/>
      </rPr>
      <t xml:space="preserve">Python+Django</t>
    </r>
  </si>
  <si>
    <t xml:space="preserve">최준삼</t>
  </si>
  <si>
    <t xml:space="preserve">라임하우스</t>
  </si>
  <si>
    <r>
      <rPr>
        <sz val="10"/>
        <rFont val="나눔고딕"/>
        <family val="2"/>
      </rPr>
      <t xml:space="preserve">챗</t>
    </r>
    <r>
      <rPr>
        <sz val="10"/>
        <rFont val="Arial"/>
        <family val="0"/>
        <charset val="1"/>
      </rPr>
      <t xml:space="preserve">GPT</t>
    </r>
    <r>
      <rPr>
        <sz val="10"/>
        <rFont val="나눔고딕"/>
        <family val="2"/>
      </rPr>
      <t xml:space="preserve">와 엑셀로 만드는 주식 </t>
    </r>
    <r>
      <rPr>
        <sz val="10"/>
        <rFont val="Arial"/>
        <family val="0"/>
        <charset val="1"/>
      </rPr>
      <t xml:space="preserve">&amp; </t>
    </r>
    <r>
      <rPr>
        <sz val="10"/>
        <rFont val="나눔고딕"/>
        <family val="2"/>
      </rPr>
      <t xml:space="preserve">암호화폐 자동매매 시스템</t>
    </r>
  </si>
  <si>
    <t xml:space="preserve">설근민</t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</si>
  <si>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영상</t>
    </r>
    <r>
      <rPr>
        <sz val="10"/>
        <rFont val="Arial"/>
        <family val="0"/>
        <charset val="1"/>
      </rPr>
      <t xml:space="preserve">×</t>
    </r>
    <r>
      <rPr>
        <sz val="10"/>
        <rFont val="나눔고딕"/>
        <family val="2"/>
      </rPr>
      <t xml:space="preserve">미드저니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런웨이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소라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클링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하이루오</t>
    </r>
  </si>
  <si>
    <t xml:space="preserve">안재홍</t>
  </si>
  <si>
    <r>
      <rPr>
        <sz val="10"/>
        <rFont val="나눔고딕"/>
        <family val="2"/>
      </rPr>
      <t xml:space="preserve">삼성에서 </t>
    </r>
    <r>
      <rPr>
        <sz val="10"/>
        <rFont val="Arial"/>
        <family val="0"/>
        <charset val="1"/>
      </rPr>
      <t xml:space="preserve">ERP</t>
    </r>
    <r>
      <rPr>
        <sz val="10"/>
        <rFont val="나눔고딕"/>
        <family val="2"/>
      </rPr>
      <t xml:space="preserve">로 먹고사는 컨설턴트가 알려주는 </t>
    </r>
    <r>
      <rPr>
        <sz val="10"/>
        <rFont val="Arial"/>
        <family val="0"/>
        <charset val="1"/>
      </rPr>
      <t xml:space="preserve">ABAP of SAP</t>
    </r>
  </si>
  <si>
    <r>
      <rPr>
        <sz val="10"/>
        <rFont val="나눔고딕"/>
        <family val="2"/>
      </rPr>
      <t xml:space="preserve">주호재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서기준</t>
    </r>
  </si>
  <si>
    <t xml:space="preserve">딥러닝 제대로 이해하기</t>
  </si>
  <si>
    <r>
      <rPr>
        <sz val="10"/>
        <rFont val="나눔고딕"/>
        <family val="2"/>
      </rPr>
      <t xml:space="preserve">사이먼 </t>
    </r>
    <r>
      <rPr>
        <sz val="10"/>
        <rFont val="Arial"/>
        <family val="0"/>
        <charset val="1"/>
      </rPr>
      <t xml:space="preserve">J. D. </t>
    </r>
    <r>
      <rPr>
        <sz val="10"/>
        <rFont val="나눔고딕"/>
        <family val="2"/>
      </rPr>
      <t xml:space="preserve">프린스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고연이 역</t>
    </r>
  </si>
  <si>
    <r>
      <rPr>
        <sz val="10"/>
        <rFont val="나눔고딕"/>
        <family val="2"/>
      </rPr>
      <t xml:space="preserve">교사를 위한 실무 한글 </t>
    </r>
    <r>
      <rPr>
        <sz val="10"/>
        <rFont val="Arial"/>
        <family val="0"/>
        <charset val="1"/>
      </rPr>
      <t xml:space="preserve">_ </t>
    </r>
    <r>
      <rPr>
        <sz val="10"/>
        <rFont val="나눔고딕"/>
        <family val="2"/>
      </rPr>
      <t xml:space="preserve">학교 업무 효율성 높이는 </t>
    </r>
    <r>
      <rPr>
        <sz val="10"/>
        <rFont val="Arial"/>
        <family val="0"/>
        <charset val="1"/>
      </rPr>
      <t xml:space="preserve">66</t>
    </r>
    <r>
      <rPr>
        <sz val="10"/>
        <rFont val="나눔고딕"/>
        <family val="2"/>
      </rPr>
      <t xml:space="preserve">제</t>
    </r>
  </si>
  <si>
    <t xml:space="preserve">한동규</t>
  </si>
  <si>
    <r>
      <rPr>
        <sz val="10"/>
        <rFont val="나눔고딕"/>
        <family val="2"/>
      </rPr>
      <t xml:space="preserve">피그마 </t>
    </r>
    <r>
      <rPr>
        <sz val="10"/>
        <rFont val="Arial"/>
        <family val="0"/>
        <charset val="1"/>
      </rPr>
      <t xml:space="preserve">with AI</t>
    </r>
  </si>
  <si>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와 대화의 기술 </t>
    </r>
    <r>
      <rPr>
        <sz val="10"/>
        <rFont val="Arial"/>
        <family val="0"/>
        <charset val="1"/>
      </rPr>
      <t xml:space="preserve">: AI </t>
    </r>
    <r>
      <rPr>
        <sz val="10"/>
        <rFont val="나눔고딕"/>
        <family val="2"/>
      </rPr>
      <t xml:space="preserve">시대를 지배하는 소통의 연금술</t>
    </r>
  </si>
  <si>
    <t xml:space="preserve">엄경률</t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</si>
  <si>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코드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디코딩</t>
    </r>
    <r>
      <rPr>
        <sz val="10"/>
        <rFont val="Arial"/>
        <family val="0"/>
        <charset val="1"/>
      </rPr>
      <t xml:space="preserve">: AI </t>
    </r>
    <r>
      <rPr>
        <sz val="10"/>
        <rFont val="나눔고딕"/>
        <family val="2"/>
      </rPr>
      <t xml:space="preserve">시대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개발자의 연봉과 가치를 증명하는 코드 리터러시</t>
    </r>
  </si>
  <si>
    <r>
      <rPr>
        <sz val="10"/>
        <rFont val="Arial"/>
        <family val="0"/>
        <charset val="1"/>
      </rPr>
      <t xml:space="preserve">Do it! </t>
    </r>
    <r>
      <rPr>
        <sz val="10"/>
        <rFont val="나눔고딕"/>
        <family val="2"/>
      </rPr>
      <t xml:space="preserve">알고리즘 코딩 테스트 </t>
    </r>
    <r>
      <rPr>
        <sz val="10"/>
        <rFont val="Arial"/>
        <family val="0"/>
        <charset val="1"/>
      </rPr>
      <t xml:space="preserve">C++ </t>
    </r>
    <r>
      <rPr>
        <sz val="10"/>
        <rFont val="나눔고딕"/>
        <family val="2"/>
      </rPr>
      <t xml:space="preserve">편</t>
    </r>
  </si>
  <si>
    <t xml:space="preserve">김종관</t>
  </si>
  <si>
    <r>
      <rPr>
        <sz val="10"/>
        <rFont val="나눔고딕"/>
        <family val="2"/>
      </rPr>
      <t xml:space="preserve">인공지능을 위한 확률과 통계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파이썬</t>
    </r>
  </si>
  <si>
    <t xml:space="preserve">이연우</t>
  </si>
  <si>
    <r>
      <rPr>
        <sz val="10"/>
        <rFont val="Arial"/>
        <family val="0"/>
        <charset val="1"/>
      </rPr>
      <t xml:space="preserve">[</t>
    </r>
    <r>
      <rPr>
        <sz val="10"/>
        <rFont val="나눔고딕"/>
        <family val="2"/>
      </rPr>
      <t xml:space="preserve">할 수 있다</t>
    </r>
    <r>
      <rPr>
        <sz val="10"/>
        <rFont val="Arial"/>
        <family val="0"/>
        <charset val="1"/>
      </rPr>
      <t xml:space="preserve">!] </t>
    </r>
    <r>
      <rPr>
        <sz val="10"/>
        <rFont val="나눔고딕"/>
        <family val="2"/>
      </rPr>
      <t xml:space="preserve">한글 </t>
    </r>
    <r>
      <rPr>
        <sz val="10"/>
        <rFont val="Arial"/>
        <family val="0"/>
        <charset val="1"/>
      </rPr>
      <t xml:space="preserve">2022 </t>
    </r>
    <r>
      <rPr>
        <sz val="10"/>
        <rFont val="나눔고딕"/>
        <family val="2"/>
      </rPr>
      <t xml:space="preserve">활용</t>
    </r>
  </si>
  <si>
    <t xml:space="preserve">기업과 고객을 파괴하는 해킹과 사이버 보안의 모든 것</t>
  </si>
  <si>
    <r>
      <rPr>
        <sz val="10"/>
        <rFont val="나눔고딕"/>
        <family val="2"/>
      </rPr>
      <t xml:space="preserve">유진 스파포드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리 메트칼프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조사이어 다이크스트라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김경곤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장은경 역 외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명 정보 더 보기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감추기 유진 스파포드 리 메트칼프 조사이어 다이크스트라 김경곤 장은경 박기성</t>
    </r>
  </si>
  <si>
    <r>
      <rPr>
        <sz val="10"/>
        <rFont val="나눔고딕"/>
        <family val="2"/>
      </rPr>
      <t xml:space="preserve">데이터 삽질 끝에 </t>
    </r>
    <r>
      <rPr>
        <sz val="10"/>
        <rFont val="Arial"/>
        <family val="0"/>
        <charset val="1"/>
      </rPr>
      <t xml:space="preserve">UX</t>
    </r>
    <r>
      <rPr>
        <sz val="10"/>
        <rFont val="나눔고딕"/>
        <family val="2"/>
      </rPr>
      <t xml:space="preserve">가 보였다</t>
    </r>
  </si>
  <si>
    <t xml:space="preserve">이미진</t>
  </si>
  <si>
    <r>
      <rPr>
        <sz val="10"/>
        <rFont val="나눔고딕"/>
        <family val="2"/>
      </rPr>
      <t xml:space="preserve">아는 만큼 보이는 생성형 </t>
    </r>
    <r>
      <rPr>
        <sz val="10"/>
        <rFont val="Arial"/>
        <family val="0"/>
        <charset val="1"/>
      </rPr>
      <t xml:space="preserve">AI</t>
    </r>
  </si>
  <si>
    <t xml:space="preserve">김주영</t>
  </si>
  <si>
    <t xml:space="preserve">강화 학습</t>
  </si>
  <si>
    <t xml:space="preserve">가장 쉬운 독학 캔바 첫걸음</t>
  </si>
  <si>
    <r>
      <rPr>
        <sz val="10"/>
        <rFont val="나눔고딕"/>
        <family val="2"/>
      </rPr>
      <t xml:space="preserve">원정민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조영진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신명진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이상수</t>
    </r>
  </si>
  <si>
    <r>
      <rPr>
        <sz val="10"/>
        <rFont val="나눔고딕"/>
        <family val="2"/>
      </rPr>
      <t xml:space="preserve">쉽게 배우고 생활에 바로 쓰는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활용</t>
    </r>
  </si>
  <si>
    <t xml:space="preserve">오상열</t>
  </si>
  <si>
    <r>
      <rPr>
        <sz val="10"/>
        <rFont val="나눔고딕"/>
        <family val="2"/>
      </rPr>
      <t xml:space="preserve">명품 </t>
    </r>
    <r>
      <rPr>
        <sz val="10"/>
        <rFont val="Arial"/>
        <family val="0"/>
        <charset val="1"/>
      </rPr>
      <t xml:space="preserve">C++ Programming</t>
    </r>
  </si>
  <si>
    <t xml:space="preserve">황기태</t>
  </si>
  <si>
    <r>
      <rPr>
        <sz val="10"/>
        <rFont val="Arial"/>
        <family val="0"/>
        <charset val="1"/>
      </rPr>
      <t xml:space="preserve">MS 365</t>
    </r>
    <r>
      <rPr>
        <sz val="10"/>
        <rFont val="나눔고딕"/>
        <family val="2"/>
      </rPr>
      <t xml:space="preserve">의 모든 것</t>
    </r>
  </si>
  <si>
    <r>
      <rPr>
        <sz val="10"/>
        <rFont val="나눔고딕"/>
        <family val="2"/>
      </rPr>
      <t xml:space="preserve">이상민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김홍순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강현욱</t>
    </r>
  </si>
  <si>
    <t xml:space="preserve">리더북스</t>
  </si>
  <si>
    <r>
      <rPr>
        <sz val="10"/>
        <rFont val="나눔고딕"/>
        <family val="2"/>
      </rPr>
      <t xml:space="preserve">따라하며 완성하는 클라우드 배포 입문서 </t>
    </r>
    <r>
      <rPr>
        <sz val="10"/>
        <rFont val="Arial"/>
        <family val="0"/>
        <charset val="1"/>
      </rPr>
      <t xml:space="preserve">AWS</t>
    </r>
    <r>
      <rPr>
        <sz val="10"/>
        <rFont val="나눔고딕"/>
        <family val="2"/>
      </rPr>
      <t xml:space="preserve">로 배우는 실전형 </t>
    </r>
    <r>
      <rPr>
        <sz val="10"/>
        <rFont val="Arial"/>
        <family val="0"/>
        <charset val="1"/>
      </rPr>
      <t xml:space="preserve">CI/CD</t>
    </r>
  </si>
  <si>
    <r>
      <rPr>
        <sz val="10"/>
        <rFont val="나눔고딕"/>
        <family val="2"/>
      </rPr>
      <t xml:space="preserve">최주호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정재원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류재성</t>
    </r>
  </si>
  <si>
    <r>
      <rPr>
        <sz val="10"/>
        <rFont val="나눔고딕"/>
        <family val="2"/>
      </rPr>
      <t xml:space="preserve">조코딩의 랭체인으로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에이전트 서비스 만들기</t>
    </r>
  </si>
  <si>
    <r>
      <rPr>
        <sz val="10"/>
        <rFont val="나눔고딕"/>
        <family val="2"/>
      </rPr>
      <t xml:space="preserve">조동근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우성우</t>
    </r>
  </si>
  <si>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와 인권</t>
    </r>
  </si>
  <si>
    <t xml:space="preserve">송시섭</t>
  </si>
  <si>
    <r>
      <rPr>
        <sz val="10"/>
        <rFont val="Arial"/>
        <family val="0"/>
        <charset val="1"/>
      </rPr>
      <t xml:space="preserve">26</t>
    </r>
    <r>
      <rPr>
        <sz val="10"/>
        <rFont val="나눔고딕"/>
        <family val="2"/>
      </rPr>
      <t xml:space="preserve">개 프로젝트로 끝내는 콘텐츠 디자인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챗</t>
    </r>
    <r>
      <rPr>
        <sz val="10"/>
        <rFont val="Arial"/>
        <family val="0"/>
        <charset val="1"/>
      </rPr>
      <t xml:space="preserve">GPT</t>
    </r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</si>
  <si>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에이전트 인 액션</t>
    </r>
  </si>
  <si>
    <r>
      <rPr>
        <sz val="10"/>
        <rFont val="나눔고딕"/>
        <family val="2"/>
      </rPr>
      <t xml:space="preserve">마이클 래넘 저</t>
    </r>
    <r>
      <rPr>
        <sz val="10"/>
        <rFont val="Arial"/>
        <family val="0"/>
        <charset val="1"/>
      </rPr>
      <t xml:space="preserve">/307</t>
    </r>
    <r>
      <rPr>
        <sz val="10"/>
        <rFont val="나눔고딕"/>
        <family val="2"/>
      </rPr>
      <t xml:space="preserve">번역랩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류광 역</t>
    </r>
  </si>
  <si>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와 마케팅 커뮤니케이션</t>
    </r>
  </si>
  <si>
    <t xml:space="preserve">송유진</t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</si>
  <si>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에디터 커서 </t>
    </r>
    <r>
      <rPr>
        <sz val="10"/>
        <rFont val="Arial"/>
        <family val="0"/>
        <charset val="1"/>
      </rPr>
      <t xml:space="preserve">Cursor </t>
    </r>
    <r>
      <rPr>
        <sz val="10"/>
        <rFont val="나눔고딕"/>
        <family val="2"/>
      </rPr>
      <t xml:space="preserve">완벽 가이드</t>
    </r>
  </si>
  <si>
    <r>
      <rPr>
        <sz val="10"/>
        <rFont val="나눔고딕"/>
        <family val="2"/>
      </rPr>
      <t xml:space="preserve">키노시타 유이치로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김모세 역</t>
    </r>
  </si>
  <si>
    <r>
      <rPr>
        <sz val="10"/>
        <rFont val="나눔고딕"/>
        <family val="2"/>
      </rPr>
      <t xml:space="preserve">생성형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활용과 실습</t>
    </r>
  </si>
  <si>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와 상상력 교육 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큰글자책</t>
    </r>
    <r>
      <rPr>
        <sz val="10"/>
        <rFont val="Arial"/>
        <family val="0"/>
        <charset val="1"/>
      </rPr>
      <t xml:space="preserve">)</t>
    </r>
  </si>
  <si>
    <t xml:space="preserve">문은영</t>
  </si>
  <si>
    <r>
      <rPr>
        <sz val="10"/>
        <rFont val="나눔고딕"/>
        <family val="2"/>
      </rPr>
      <t xml:space="preserve">작품만들기 한글 </t>
    </r>
    <r>
      <rPr>
        <sz val="10"/>
        <rFont val="Arial"/>
        <family val="0"/>
        <charset val="1"/>
      </rPr>
      <t xml:space="preserve">2022</t>
    </r>
  </si>
  <si>
    <r>
      <rPr>
        <sz val="10"/>
        <rFont val="나눔고딕"/>
        <family val="2"/>
      </rPr>
      <t xml:space="preserve">최은영 저</t>
    </r>
    <r>
      <rPr>
        <sz val="10"/>
        <rFont val="Arial"/>
        <family val="0"/>
        <charset val="1"/>
      </rPr>
      <t xml:space="preserve">/KIE </t>
    </r>
    <r>
      <rPr>
        <sz val="10"/>
        <rFont val="나눔고딕"/>
        <family val="2"/>
      </rPr>
      <t xml:space="preserve">기획연구실 감수</t>
    </r>
  </si>
  <si>
    <r>
      <rPr>
        <sz val="10"/>
        <rFont val="나눔고딕"/>
        <family val="2"/>
      </rPr>
      <t xml:space="preserve">코드 너머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회사보다 오래 남을 개발자</t>
    </r>
  </si>
  <si>
    <r>
      <rPr>
        <sz val="10"/>
        <rFont val="나눔고딕"/>
        <family val="2"/>
      </rPr>
      <t xml:space="preserve">김상기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배문교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이동현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이상아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이수형 저 외 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명 정보 더 보기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감추기 김상기 배문교 이동현 이상아 이수형 차지현 황성재</t>
    </r>
  </si>
  <si>
    <r>
      <rPr>
        <sz val="10"/>
        <rFont val="나눔고딕"/>
        <family val="2"/>
      </rPr>
      <t xml:space="preserve">실무에서 </t>
    </r>
    <r>
      <rPr>
        <sz val="10"/>
        <rFont val="Arial"/>
        <family val="0"/>
        <charset val="1"/>
      </rPr>
      <t xml:space="preserve">SQL</t>
    </r>
    <r>
      <rPr>
        <sz val="10"/>
        <rFont val="나눔고딕"/>
        <family val="2"/>
      </rPr>
      <t xml:space="preserve">을 다루는 기술</t>
    </r>
  </si>
  <si>
    <r>
      <rPr>
        <sz val="10"/>
        <rFont val="나눔고딕"/>
        <family val="2"/>
      </rPr>
      <t xml:space="preserve">마크 사이먼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조은옥 역</t>
    </r>
  </si>
  <si>
    <r>
      <rPr>
        <sz val="10"/>
        <rFont val="Arial"/>
        <family val="0"/>
        <charset val="1"/>
      </rPr>
      <t xml:space="preserve">10</t>
    </r>
    <r>
      <rPr>
        <sz val="10"/>
        <rFont val="나눔고딕"/>
        <family val="2"/>
      </rPr>
      <t xml:space="preserve">분 만에 따라 하는 </t>
    </r>
    <r>
      <rPr>
        <sz val="10"/>
        <rFont val="Arial"/>
        <family val="0"/>
        <charset val="1"/>
      </rPr>
      <t xml:space="preserve">Claude MCP </t>
    </r>
    <r>
      <rPr>
        <sz val="10"/>
        <rFont val="나눔고딕"/>
        <family val="2"/>
      </rPr>
      <t xml:space="preserve">업무 자동화 혁신 가이드</t>
    </r>
  </si>
  <si>
    <t xml:space="preserve">이호준</t>
  </si>
  <si>
    <r>
      <rPr>
        <sz val="10"/>
        <rFont val="나눔고딕"/>
        <family val="2"/>
      </rPr>
      <t xml:space="preserve">나는 </t>
    </r>
    <r>
      <rPr>
        <sz val="10"/>
        <rFont val="Arial"/>
        <family val="0"/>
        <charset val="1"/>
      </rPr>
      <t xml:space="preserve">CODAP</t>
    </r>
    <r>
      <rPr>
        <sz val="10"/>
        <rFont val="나눔고딕"/>
        <family val="2"/>
      </rPr>
      <t xml:space="preserve">으로 데이터 분석한다</t>
    </r>
  </si>
  <si>
    <r>
      <rPr>
        <sz val="10"/>
        <rFont val="나눔고딕"/>
        <family val="2"/>
      </rPr>
      <t xml:space="preserve">최정원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류현욱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박근영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박예람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유동호 저 외 </t>
    </r>
    <r>
      <rPr>
        <sz val="10"/>
        <rFont val="Arial"/>
        <family val="0"/>
        <charset val="1"/>
      </rPr>
      <t xml:space="preserve">6</t>
    </r>
    <r>
      <rPr>
        <sz val="10"/>
        <rFont val="나눔고딕"/>
        <family val="2"/>
      </rPr>
      <t xml:space="preserve">명 정보 더 보기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감추기 최정원 류현욱 박근영 박예람 유동호 유하연 이완범 이원경 이지현 최희진 허영주</t>
    </r>
  </si>
  <si>
    <t xml:space="preserve">동영상편집 최강자 캡컷</t>
  </si>
  <si>
    <t xml:space="preserve">프론트엔드 개발자를 위한 인터랙티브 웹 애니메이션</t>
  </si>
  <si>
    <t xml:space="preserve">김영민</t>
  </si>
  <si>
    <r>
      <rPr>
        <sz val="10"/>
        <rFont val="나눔고딕"/>
        <family val="2"/>
      </rPr>
      <t xml:space="preserve">개발자를 위한 </t>
    </r>
    <r>
      <rPr>
        <sz val="10"/>
        <rFont val="Arial"/>
        <family val="0"/>
        <charset val="1"/>
      </rPr>
      <t xml:space="preserve">IT </t>
    </r>
    <r>
      <rPr>
        <sz val="10"/>
        <rFont val="나눔고딕"/>
        <family val="2"/>
      </rPr>
      <t xml:space="preserve">영어 온보딩 가이드</t>
    </r>
  </si>
  <si>
    <t xml:space="preserve">장진호</t>
  </si>
  <si>
    <t xml:space="preserve">버튜버 캐릭터 제작 가이드</t>
  </si>
  <si>
    <r>
      <rPr>
        <sz val="10"/>
        <rFont val="Arial"/>
        <family val="0"/>
        <charset val="1"/>
      </rPr>
      <t xml:space="preserve">MUTAN </t>
    </r>
    <r>
      <rPr>
        <sz val="10"/>
        <rFont val="나눔고딕"/>
        <family val="2"/>
      </rPr>
      <t xml:space="preserve">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김모세 역</t>
    </r>
  </si>
  <si>
    <t xml:space="preserve">컴퓨터과학을 위한 필수 이산수학</t>
  </si>
  <si>
    <r>
      <rPr>
        <sz val="10"/>
        <rFont val="나눔고딕"/>
        <family val="2"/>
      </rPr>
      <t xml:space="preserve">이규민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김병형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김정구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김종덕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김지범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박준석 공저</t>
    </r>
  </si>
  <si>
    <r>
      <rPr>
        <sz val="10"/>
        <rFont val="나눔고딕"/>
        <family val="2"/>
      </rPr>
      <t xml:space="preserve">메이플 탐험대 </t>
    </r>
    <r>
      <rPr>
        <sz val="10"/>
        <rFont val="Arial"/>
        <family val="0"/>
        <charset val="1"/>
      </rPr>
      <t xml:space="preserve">1</t>
    </r>
  </si>
  <si>
    <r>
      <rPr>
        <sz val="10"/>
        <rFont val="나눔고딕"/>
        <family val="2"/>
      </rPr>
      <t xml:space="preserve">이지은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방컴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쌤과 아이들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</si>
  <si>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MCP</t>
    </r>
    <r>
      <rPr>
        <sz val="10"/>
        <rFont val="나눔고딕"/>
        <family val="2"/>
      </rPr>
      <t xml:space="preserve">로 똑똑하게 일하는 법</t>
    </r>
  </si>
  <si>
    <t xml:space="preserve">케이트리</t>
  </si>
  <si>
    <r>
      <rPr>
        <sz val="10"/>
        <rFont val="Arial"/>
        <family val="0"/>
        <charset val="1"/>
      </rPr>
      <t xml:space="preserve">C# </t>
    </r>
    <r>
      <rPr>
        <sz val="10"/>
        <rFont val="나눔고딕"/>
        <family val="2"/>
      </rPr>
      <t xml:space="preserve">교과서</t>
    </r>
  </si>
  <si>
    <t xml:space="preserve">박용준</t>
  </si>
  <si>
    <t xml:space="preserve">회사에서 바로 통하는 실무 엑셀</t>
  </si>
  <si>
    <t xml:space="preserve">한은숙</t>
  </si>
  <si>
    <r>
      <rPr>
        <sz val="10"/>
        <rFont val="나눔고딕"/>
        <family val="2"/>
      </rPr>
      <t xml:space="preserve">게임 </t>
    </r>
    <r>
      <rPr>
        <sz val="10"/>
        <rFont val="Arial"/>
        <family val="0"/>
        <charset val="1"/>
      </rPr>
      <t xml:space="preserve">UI </t>
    </r>
    <r>
      <rPr>
        <sz val="10"/>
        <rFont val="나눔고딕"/>
        <family val="2"/>
      </rPr>
      <t xml:space="preserve">디자인 교과서</t>
    </r>
  </si>
  <si>
    <r>
      <rPr>
        <sz val="10"/>
        <rFont val="나눔고딕"/>
        <family val="2"/>
      </rPr>
      <t xml:space="preserve">이은정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김범석</t>
    </r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</si>
  <si>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대전환 시대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조직은 문화다</t>
    </r>
  </si>
  <si>
    <r>
      <rPr>
        <sz val="10"/>
        <rFont val="나눔고딕"/>
        <family val="2"/>
      </rPr>
      <t xml:space="preserve">김기진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조원규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임정훈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박지연 저 외 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명 정보 더 보기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감추기 김기진 조원규 임정훈 김현 박지연 송구 최선용 정화연</t>
    </r>
  </si>
  <si>
    <r>
      <rPr>
        <sz val="10"/>
        <rFont val="나눔고딕"/>
        <family val="2"/>
      </rPr>
      <t xml:space="preserve">노야의 어디서든 </t>
    </r>
    <r>
      <rPr>
        <sz val="10"/>
        <rFont val="Arial"/>
        <family val="0"/>
        <charset val="1"/>
      </rPr>
      <t xml:space="preserve">3D </t>
    </r>
    <r>
      <rPr>
        <sz val="10"/>
        <rFont val="나눔고딕"/>
        <family val="2"/>
      </rPr>
      <t xml:space="preserve">모델링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노마드 스컬프</t>
    </r>
  </si>
  <si>
    <r>
      <rPr>
        <sz val="10"/>
        <rFont val="나눔고딕"/>
        <family val="2"/>
      </rPr>
      <t xml:space="preserve">김민석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노야</t>
    </r>
    <r>
      <rPr>
        <sz val="10"/>
        <rFont val="Arial"/>
        <family val="0"/>
        <charset val="1"/>
      </rPr>
      <t xml:space="preserve">)</t>
    </r>
  </si>
  <si>
    <t xml:space="preserve">인공지능시대 윤리적 쟁점들</t>
  </si>
  <si>
    <t xml:space="preserve">정원섭</t>
  </si>
  <si>
    <t xml:space="preserve">소명출판</t>
  </si>
  <si>
    <r>
      <rPr>
        <sz val="10"/>
        <rFont val="나눔고딕"/>
        <family val="2"/>
      </rPr>
      <t xml:space="preserve">코딩런 픽셀월드 대모험 피스켈</t>
    </r>
    <r>
      <rPr>
        <sz val="10"/>
        <rFont val="Arial"/>
        <family val="0"/>
        <charset val="1"/>
      </rPr>
      <t xml:space="preserve">&amp;</t>
    </r>
    <r>
      <rPr>
        <sz val="10"/>
        <rFont val="나눔고딕"/>
        <family val="2"/>
      </rPr>
      <t xml:space="preserve">엔트리</t>
    </r>
  </si>
  <si>
    <r>
      <rPr>
        <sz val="10"/>
        <rFont val="나눔고딕"/>
        <family val="2"/>
      </rPr>
      <t xml:space="preserve">처음이야</t>
    </r>
    <r>
      <rPr>
        <sz val="10"/>
        <rFont val="Arial"/>
        <family val="0"/>
        <charset val="1"/>
      </rPr>
      <t xml:space="preserve">? </t>
    </r>
    <r>
      <rPr>
        <sz val="10"/>
        <rFont val="나눔고딕"/>
        <family val="2"/>
      </rPr>
      <t xml:space="preserve">파이썬 데이터 분석</t>
    </r>
  </si>
  <si>
    <r>
      <rPr>
        <sz val="10"/>
        <rFont val="나눔고딕"/>
        <family val="2"/>
      </rPr>
      <t xml:space="preserve">윤영빈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이용희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오환</t>
    </r>
  </si>
  <si>
    <r>
      <rPr>
        <sz val="10"/>
        <rFont val="나눔고딕"/>
        <family val="2"/>
      </rPr>
      <t xml:space="preserve">랭체인과 랭그래프로 구현하는 </t>
    </r>
    <r>
      <rPr>
        <sz val="10"/>
        <rFont val="Arial"/>
        <family val="0"/>
        <charset val="1"/>
      </rPr>
      <t xml:space="preserve">RAG·AI </t>
    </r>
    <r>
      <rPr>
        <sz val="10"/>
        <rFont val="나눔고딕"/>
        <family val="2"/>
      </rPr>
      <t xml:space="preserve">에이전트 실전 입문</t>
    </r>
  </si>
  <si>
    <r>
      <rPr>
        <sz val="10"/>
        <rFont val="나눔고딕"/>
        <family val="2"/>
      </rPr>
      <t xml:space="preserve">니시미 마사히로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요시다 신고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오시마 유키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최용 역</t>
    </r>
  </si>
  <si>
    <r>
      <rPr>
        <sz val="10"/>
        <rFont val="나눔고딕"/>
        <family val="2"/>
      </rPr>
      <t xml:space="preserve">처음이야</t>
    </r>
    <r>
      <rPr>
        <sz val="10"/>
        <rFont val="Arial"/>
        <family val="0"/>
        <charset val="1"/>
      </rPr>
      <t xml:space="preserve">? </t>
    </r>
    <r>
      <rPr>
        <sz val="10"/>
        <rFont val="나눔고딕"/>
        <family val="2"/>
      </rPr>
      <t xml:space="preserve">파이썬 기초</t>
    </r>
  </si>
  <si>
    <r>
      <rPr>
        <sz val="10"/>
        <rFont val="나눔고딕"/>
        <family val="2"/>
      </rPr>
      <t xml:space="preserve">윤영빈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오환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이용희</t>
    </r>
  </si>
  <si>
    <r>
      <rPr>
        <sz val="10"/>
        <rFont val="나눔고딕"/>
        <family val="2"/>
      </rPr>
      <t xml:space="preserve">당신은 </t>
    </r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를 어디까지 믿을 수 있나요</t>
    </r>
    <r>
      <rPr>
        <sz val="10"/>
        <rFont val="Arial"/>
        <family val="0"/>
        <charset val="1"/>
      </rPr>
      <t xml:space="preserve">?</t>
    </r>
  </si>
  <si>
    <t xml:space="preserve">박찬선</t>
  </si>
  <si>
    <r>
      <rPr>
        <sz val="10"/>
        <rFont val="나눔고딕"/>
        <family val="2"/>
      </rPr>
      <t xml:space="preserve">입문자를 위한 맞춤형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프로그램 만들기</t>
    </r>
  </si>
  <si>
    <t xml:space="preserve">npm Deep Dive</t>
  </si>
  <si>
    <r>
      <rPr>
        <sz val="10"/>
        <rFont val="나눔고딕"/>
        <family val="2"/>
      </rPr>
      <t xml:space="preserve">전유정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김용찬</t>
    </r>
  </si>
  <si>
    <r>
      <rPr>
        <sz val="10"/>
        <rFont val="나눔고딕"/>
        <family val="2"/>
      </rPr>
      <t xml:space="preserve">와그작 엑셀 </t>
    </r>
    <r>
      <rPr>
        <sz val="10"/>
        <rFont val="Arial"/>
        <family val="0"/>
        <charset val="1"/>
      </rPr>
      <t xml:space="preserve">2021</t>
    </r>
  </si>
  <si>
    <r>
      <rPr>
        <sz val="10"/>
        <rFont val="나눔고딕"/>
        <family val="2"/>
      </rPr>
      <t xml:space="preserve">시민 개발자의 시대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생성형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업무 자동화</t>
    </r>
  </si>
  <si>
    <r>
      <rPr>
        <sz val="10"/>
        <rFont val="Arial"/>
        <family val="0"/>
        <charset val="1"/>
      </rPr>
      <t xml:space="preserve">LUVIT♥ </t>
    </r>
    <r>
      <rPr>
        <sz val="10"/>
        <rFont val="나눔고딕"/>
        <family val="2"/>
      </rPr>
      <t xml:space="preserve">나의 첫 타입스크립트 프로젝트</t>
    </r>
  </si>
  <si>
    <t xml:space="preserve">조용수</t>
  </si>
  <si>
    <r>
      <rPr>
        <sz val="10"/>
        <rFont val="나눔고딕"/>
        <family val="2"/>
      </rPr>
      <t xml:space="preserve">테디노트의 랭체인을 활용한 </t>
    </r>
    <r>
      <rPr>
        <sz val="10"/>
        <rFont val="Arial"/>
        <family val="0"/>
        <charset val="1"/>
      </rPr>
      <t xml:space="preserve">RAG </t>
    </r>
    <r>
      <rPr>
        <sz val="10"/>
        <rFont val="나눔고딕"/>
        <family val="2"/>
      </rPr>
      <t xml:space="preserve">비법노트 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</rPr>
      <t xml:space="preserve">기본편</t>
    </r>
  </si>
  <si>
    <t xml:space="preserve">이경록</t>
  </si>
  <si>
    <r>
      <rPr>
        <sz val="10"/>
        <rFont val="Arial"/>
        <family val="0"/>
        <charset val="1"/>
      </rPr>
      <t xml:space="preserve">UX/UI </t>
    </r>
    <r>
      <rPr>
        <sz val="10"/>
        <rFont val="나눔고딕"/>
        <family val="2"/>
      </rPr>
      <t xml:space="preserve">디자이너를 위한 실무 피그마</t>
    </r>
  </si>
  <si>
    <t xml:space="preserve">클레어 정</t>
  </si>
  <si>
    <t xml:space="preserve">자바 최적화</t>
  </si>
  <si>
    <r>
      <rPr>
        <sz val="10"/>
        <rFont val="나눔고딕"/>
        <family val="2"/>
      </rPr>
      <t xml:space="preserve">벤저민 </t>
    </r>
    <r>
      <rPr>
        <sz val="10"/>
        <rFont val="Arial"/>
        <family val="0"/>
        <charset val="1"/>
      </rPr>
      <t xml:space="preserve">J. </t>
    </r>
    <r>
      <rPr>
        <sz val="10"/>
        <rFont val="나눔고딕"/>
        <family val="2"/>
      </rPr>
      <t xml:space="preserve">에번스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제임스 고프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오지영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송지헌 역</t>
    </r>
  </si>
  <si>
    <r>
      <rPr>
        <sz val="10"/>
        <rFont val="나눔고딕"/>
        <family val="2"/>
      </rPr>
      <t xml:space="preserve">디지털 드로잉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처음이라도 괜찮아</t>
    </r>
  </si>
  <si>
    <r>
      <rPr>
        <sz val="10"/>
        <rFont val="나눔고딕"/>
        <family val="2"/>
      </rPr>
      <t xml:space="preserve">조안나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이선아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유예지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백승열</t>
    </r>
  </si>
  <si>
    <t xml:space="preserve">지노</t>
  </si>
  <si>
    <r>
      <rPr>
        <sz val="10"/>
        <rFont val="나눔고딕"/>
        <family val="2"/>
      </rPr>
      <t xml:space="preserve">탄탄한 기초를 위한 </t>
    </r>
    <r>
      <rPr>
        <sz val="10"/>
        <rFont val="Arial"/>
        <family val="0"/>
        <charset val="1"/>
      </rPr>
      <t xml:space="preserve">PLC </t>
    </r>
    <r>
      <rPr>
        <sz val="10"/>
        <rFont val="나눔고딕"/>
        <family val="2"/>
      </rPr>
      <t xml:space="preserve">프로그래밍</t>
    </r>
    <r>
      <rPr>
        <sz val="10"/>
        <rFont val="Arial"/>
        <family val="0"/>
        <charset val="1"/>
      </rPr>
      <t xml:space="preserve">(XGB series)</t>
    </r>
  </si>
  <si>
    <r>
      <rPr>
        <sz val="10"/>
        <rFont val="나눔고딕"/>
        <family val="2"/>
      </rPr>
      <t xml:space="preserve">김진태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이현옥</t>
    </r>
  </si>
  <si>
    <t xml:space="preserve">예문사</t>
  </si>
  <si>
    <r>
      <rPr>
        <sz val="10"/>
        <rFont val="Arial"/>
        <family val="0"/>
        <charset val="1"/>
      </rPr>
      <t xml:space="preserve">AI, </t>
    </r>
    <r>
      <rPr>
        <sz val="10"/>
        <rFont val="나눔고딕"/>
        <family val="2"/>
      </rPr>
      <t xml:space="preserve">양자 기술과 사이버 보안</t>
    </r>
  </si>
  <si>
    <r>
      <rPr>
        <sz val="10"/>
        <rFont val="나눔고딕"/>
        <family val="2"/>
      </rPr>
      <t xml:space="preserve">이은주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김영기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레티퀴엔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박종민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소천용 저 외 </t>
    </r>
    <r>
      <rPr>
        <sz val="10"/>
        <rFont val="Arial"/>
        <family val="0"/>
        <charset val="1"/>
      </rPr>
      <t xml:space="preserve">4</t>
    </r>
    <r>
      <rPr>
        <sz val="10"/>
        <rFont val="나눔고딕"/>
        <family val="2"/>
      </rPr>
      <t xml:space="preserve">명 정보 더 보기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감추기 이은주 김영기 레티퀴엔 박종민 소천용 이정 </t>
    </r>
    <r>
      <rPr>
        <sz val="10"/>
        <rFont val="Arial"/>
        <family val="0"/>
        <charset val="1"/>
      </rPr>
      <t xml:space="preserve">Ella Lee </t>
    </r>
    <r>
      <rPr>
        <sz val="10"/>
        <rFont val="나눔고딕"/>
        <family val="2"/>
      </rPr>
      <t xml:space="preserve">향준의 이주민</t>
    </r>
  </si>
  <si>
    <r>
      <rPr>
        <sz val="10"/>
        <rFont val="나눔고딕"/>
        <family val="2"/>
      </rPr>
      <t xml:space="preserve">웹툰 제작 가이드 </t>
    </r>
    <r>
      <rPr>
        <sz val="10"/>
        <rFont val="Arial"/>
        <family val="0"/>
        <charset val="1"/>
      </rPr>
      <t xml:space="preserve">with AI</t>
    </r>
  </si>
  <si>
    <t xml:space="preserve">김가이</t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</si>
  <si>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디지털리터러시 전문가 남기종</t>
    </r>
    <r>
      <rPr>
        <sz val="10"/>
        <rFont val="Arial"/>
        <family val="0"/>
        <charset val="1"/>
      </rPr>
      <t xml:space="preserve">,</t>
    </r>
    <r>
      <rPr>
        <sz val="10"/>
        <rFont val="나눔고딕"/>
        <family val="2"/>
      </rPr>
      <t xml:space="preserve">장소영의 스마트폰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챗</t>
    </r>
    <r>
      <rPr>
        <sz val="10"/>
        <rFont val="Arial"/>
        <family val="0"/>
        <charset val="1"/>
      </rPr>
      <t xml:space="preserve">GPT </t>
    </r>
    <r>
      <rPr>
        <sz val="10"/>
        <rFont val="나눔고딕"/>
        <family val="2"/>
      </rPr>
      <t xml:space="preserve">사용 길라잡이</t>
    </r>
  </si>
  <si>
    <r>
      <rPr>
        <sz val="10"/>
        <rFont val="나눔고딕"/>
        <family val="2"/>
      </rPr>
      <t xml:space="preserve">남기종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장소영</t>
    </r>
  </si>
  <si>
    <t xml:space="preserve">디지털콘텐츠그룹</t>
  </si>
  <si>
    <t xml:space="preserve">일잘러의 무기가 되는 엑셀 파워 쿼리</t>
  </si>
  <si>
    <t xml:space="preserve">러닝 랭체인</t>
  </si>
  <si>
    <r>
      <rPr>
        <sz val="10"/>
        <rFont val="나눔고딕"/>
        <family val="2"/>
      </rPr>
      <t xml:space="preserve">메이오 오신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누노 캄포스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강민혁 역</t>
    </r>
  </si>
  <si>
    <r>
      <rPr>
        <sz val="10"/>
        <rFont val="나눔고딕"/>
        <family val="2"/>
      </rPr>
      <t xml:space="preserve">교사를 위한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툴</t>
    </r>
  </si>
  <si>
    <t xml:space="preserve">임태형</t>
  </si>
  <si>
    <r>
      <rPr>
        <sz val="10"/>
        <rFont val="나눔고딕"/>
        <family val="2"/>
      </rPr>
      <t xml:space="preserve">열정민쌤의 챗</t>
    </r>
    <r>
      <rPr>
        <sz val="10"/>
        <rFont val="Arial"/>
        <family val="0"/>
        <charset val="1"/>
      </rPr>
      <t xml:space="preserve">GPT&amp;AI </t>
    </r>
    <r>
      <rPr>
        <sz val="10"/>
        <rFont val="나눔고딕"/>
        <family val="2"/>
      </rPr>
      <t xml:space="preserve">수업 실전서</t>
    </r>
  </si>
  <si>
    <r>
      <rPr>
        <sz val="10"/>
        <rFont val="나눔고딕"/>
        <family val="2"/>
      </rPr>
      <t xml:space="preserve">원정민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권혜영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신명진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이채연</t>
    </r>
  </si>
  <si>
    <r>
      <rPr>
        <sz val="10"/>
        <rFont val="Arial"/>
        <family val="0"/>
        <charset val="1"/>
      </rPr>
      <t xml:space="preserve">AI DEEP RESEARCH </t>
    </r>
    <r>
      <rPr>
        <sz val="10"/>
        <rFont val="나눔고딕"/>
        <family val="2"/>
      </rPr>
      <t xml:space="preserve">완전 정복</t>
    </r>
  </si>
  <si>
    <t xml:space="preserve">최흥식</t>
  </si>
  <si>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와 스마트팜</t>
    </r>
  </si>
  <si>
    <t xml:space="preserve">이상연</t>
  </si>
  <si>
    <t xml:space="preserve">혼자 만들면서 공부하는 딥러닝</t>
  </si>
  <si>
    <r>
      <rPr>
        <sz val="10"/>
        <rFont val="나눔고딕"/>
        <family val="2"/>
      </rPr>
      <t xml:space="preserve">엄마 아빠에게 선물하는 스마트폰 활용 </t>
    </r>
    <r>
      <rPr>
        <sz val="10"/>
        <rFont val="Arial"/>
        <family val="0"/>
        <charset val="1"/>
      </rPr>
      <t xml:space="preserve">+ </t>
    </r>
    <r>
      <rPr>
        <sz val="10"/>
        <rFont val="나눔고딕"/>
        <family val="2"/>
      </rPr>
      <t xml:space="preserve">챗</t>
    </r>
    <r>
      <rPr>
        <sz val="10"/>
        <rFont val="Arial"/>
        <family val="0"/>
        <charset val="1"/>
      </rPr>
      <t xml:space="preserve">GPT </t>
    </r>
    <r>
      <rPr>
        <sz val="10"/>
        <rFont val="나눔고딕"/>
        <family val="2"/>
      </rPr>
      <t xml:space="preserve">무한 꿀팁 </t>
    </r>
    <r>
      <rPr>
        <sz val="10"/>
        <rFont val="Arial"/>
        <family val="0"/>
        <charset val="1"/>
      </rPr>
      <t xml:space="preserve">36</t>
    </r>
  </si>
  <si>
    <r>
      <rPr>
        <sz val="10"/>
        <rFont val="나눔고딕"/>
        <family val="2"/>
      </rPr>
      <t xml:space="preserve">온선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김은정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</si>
  <si>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AI x </t>
    </r>
    <r>
      <rPr>
        <sz val="10"/>
        <rFont val="나눔고딕"/>
        <family val="2"/>
      </rPr>
      <t xml:space="preserve">창의성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</rPr>
      <t xml:space="preserve">미술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혁신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교육</t>
    </r>
  </si>
  <si>
    <t xml:space="preserve">박지숙</t>
  </si>
  <si>
    <t xml:space="preserve">아트브릿지</t>
  </si>
  <si>
    <r>
      <rPr>
        <sz val="10"/>
        <rFont val="나눔고딕"/>
        <family val="2"/>
      </rPr>
      <t xml:space="preserve">랭체인으로 </t>
    </r>
    <r>
      <rPr>
        <sz val="10"/>
        <rFont val="Arial"/>
        <family val="0"/>
        <charset val="1"/>
      </rPr>
      <t xml:space="preserve">RAG </t>
    </r>
    <r>
      <rPr>
        <sz val="10"/>
        <rFont val="나눔고딕"/>
        <family val="2"/>
      </rPr>
      <t xml:space="preserve">개발하기</t>
    </r>
    <r>
      <rPr>
        <sz val="10"/>
        <rFont val="Arial"/>
        <family val="0"/>
        <charset val="1"/>
      </rPr>
      <t xml:space="preserve">: VectorRAG &amp; GraphRAG</t>
    </r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</si>
  <si>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대전환 시대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나는 리더</t>
    </r>
  </si>
  <si>
    <r>
      <rPr>
        <sz val="10"/>
        <rFont val="나눔고딕"/>
        <family val="2"/>
      </rPr>
      <t xml:space="preserve">김기진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황교석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이재실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최규철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김택수 저 외 </t>
    </r>
    <r>
      <rPr>
        <sz val="10"/>
        <rFont val="Arial"/>
        <family val="0"/>
        <charset val="1"/>
      </rPr>
      <t xml:space="preserve">5</t>
    </r>
    <r>
      <rPr>
        <sz val="10"/>
        <rFont val="나눔고딕"/>
        <family val="2"/>
      </rPr>
      <t xml:space="preserve">명 정보 더 보기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감추기 김기진 황교석 이재실 최규철 김택수 마은경 이소민 채명석 김대경 최준오</t>
    </r>
  </si>
  <si>
    <r>
      <rPr>
        <sz val="10"/>
        <rFont val="나눔고딕"/>
        <family val="2"/>
      </rPr>
      <t xml:space="preserve">현직 교사가 만든 업무자동화를 원하는 교사를 위한 찐 실전 챗</t>
    </r>
    <r>
      <rPr>
        <sz val="10"/>
        <rFont val="Arial"/>
        <family val="0"/>
        <charset val="1"/>
      </rPr>
      <t xml:space="preserve">GPT GPTs·</t>
    </r>
    <r>
      <rPr>
        <sz val="10"/>
        <rFont val="나눔고딕"/>
        <family val="2"/>
      </rPr>
      <t xml:space="preserve">미조우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제미나이 </t>
    </r>
    <r>
      <rPr>
        <sz val="10"/>
        <rFont val="Arial"/>
        <family val="0"/>
        <charset val="1"/>
      </rPr>
      <t xml:space="preserve">- </t>
    </r>
    <r>
      <rPr>
        <sz val="10"/>
        <rFont val="나눔고딕"/>
        <family val="2"/>
      </rPr>
      <t xml:space="preserve">챗봇 만들기 생성형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챗봇으로 수업 업무 박살 내기</t>
    </r>
    <r>
      <rPr>
        <sz val="10"/>
        <rFont val="Arial"/>
        <family val="0"/>
        <charset val="1"/>
      </rPr>
      <t xml:space="preserve">!</t>
    </r>
  </si>
  <si>
    <r>
      <rPr>
        <sz val="10"/>
        <rFont val="나눔고딕"/>
        <family val="2"/>
      </rPr>
      <t xml:space="preserve">김요섭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허영주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조래정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정재우</t>
    </r>
  </si>
  <si>
    <r>
      <rPr>
        <sz val="10"/>
        <rFont val="나눔고딕"/>
        <family val="2"/>
      </rPr>
      <t xml:space="preserve">공자가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시대를 산다면</t>
    </r>
  </si>
  <si>
    <t xml:space="preserve">김준태</t>
  </si>
  <si>
    <t xml:space="preserve">한겨레출판</t>
  </si>
  <si>
    <t xml:space="preserve">그림과 작동 원리로 쉽게 이해하는 네트워크의 기초</t>
  </si>
  <si>
    <t xml:space="preserve">데브아틱스</t>
  </si>
  <si>
    <t xml:space="preserve">실리콘밸리에서 통하는 파이썬 인터뷰 가이드</t>
  </si>
  <si>
    <r>
      <rPr>
        <sz val="10"/>
        <rFont val="나눔고딕"/>
        <family val="2"/>
      </rPr>
      <t xml:space="preserve">런젠펑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취안수쉐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신준기 역</t>
    </r>
  </si>
  <si>
    <r>
      <rPr>
        <sz val="10"/>
        <rFont val="Arial"/>
        <family val="0"/>
        <charset val="1"/>
      </rPr>
      <t xml:space="preserve">JSPStudy</t>
    </r>
    <r>
      <rPr>
        <sz val="10"/>
        <rFont val="나눔고딕"/>
        <family val="2"/>
      </rPr>
      <t xml:space="preserve">의 </t>
    </r>
    <r>
      <rPr>
        <sz val="10"/>
        <rFont val="Arial"/>
        <family val="0"/>
        <charset val="1"/>
      </rPr>
      <t xml:space="preserve">JSP &amp; Servlet </t>
    </r>
    <r>
      <rPr>
        <sz val="10"/>
        <rFont val="나눔고딕"/>
        <family val="2"/>
      </rPr>
      <t xml:space="preserve">웹 프로그래밍 입문 </t>
    </r>
    <r>
      <rPr>
        <sz val="10"/>
        <rFont val="Arial"/>
        <family val="0"/>
        <charset val="1"/>
      </rPr>
      <t xml:space="preserve">+ </t>
    </r>
    <r>
      <rPr>
        <sz val="10"/>
        <rFont val="나눔고딕"/>
        <family val="2"/>
      </rPr>
      <t xml:space="preserve">활용</t>
    </r>
  </si>
  <si>
    <r>
      <rPr>
        <sz val="10"/>
        <rFont val="나눔고딕"/>
        <family val="2"/>
      </rPr>
      <t xml:space="preserve">정동진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김근호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손창인</t>
    </r>
  </si>
  <si>
    <r>
      <rPr>
        <sz val="10"/>
        <rFont val="나눔고딕"/>
        <family val="2"/>
      </rPr>
      <t xml:space="preserve">진짜 챗</t>
    </r>
    <r>
      <rPr>
        <sz val="10"/>
        <rFont val="Arial"/>
        <family val="0"/>
        <charset val="1"/>
      </rPr>
      <t xml:space="preserve">GPT </t>
    </r>
    <r>
      <rPr>
        <sz val="10"/>
        <rFont val="나눔고딕"/>
        <family val="2"/>
      </rPr>
      <t xml:space="preserve">활용법</t>
    </r>
  </si>
  <si>
    <r>
      <rPr>
        <sz val="10"/>
        <rFont val="나눔고딕"/>
        <family val="2"/>
      </rPr>
      <t xml:space="preserve">김준성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브라이스 유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안상준</t>
    </r>
  </si>
  <si>
    <r>
      <rPr>
        <sz val="10"/>
        <rFont val="나눔고딕"/>
        <family val="2"/>
      </rPr>
      <t xml:space="preserve">모던 </t>
    </r>
    <r>
      <rPr>
        <sz val="10"/>
        <rFont val="Arial"/>
        <family val="0"/>
        <charset val="1"/>
      </rPr>
      <t xml:space="preserve">C#</t>
    </r>
  </si>
  <si>
    <r>
      <rPr>
        <sz val="10"/>
        <rFont val="나눔고딕"/>
        <family val="2"/>
      </rPr>
      <t xml:space="preserve">스티브 러브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김모세 역</t>
    </r>
  </si>
  <si>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디자인 </t>
    </r>
    <r>
      <rPr>
        <sz val="10"/>
        <rFont val="Arial"/>
        <family val="0"/>
        <charset val="1"/>
      </rPr>
      <t xml:space="preserve">for e-</t>
    </r>
    <r>
      <rPr>
        <sz val="10"/>
        <rFont val="나눔고딕"/>
        <family val="2"/>
      </rPr>
      <t xml:space="preserve">커머스</t>
    </r>
  </si>
  <si>
    <t xml:space="preserve">지성민</t>
  </si>
  <si>
    <r>
      <rPr>
        <sz val="10"/>
        <rFont val="나눔고딕"/>
        <family val="2"/>
      </rPr>
      <t xml:space="preserve">이게 되네</t>
    </r>
    <r>
      <rPr>
        <sz val="10"/>
        <rFont val="Arial"/>
        <family val="0"/>
        <charset val="1"/>
      </rPr>
      <t xml:space="preserve">? </t>
    </r>
    <r>
      <rPr>
        <sz val="10"/>
        <rFont val="나눔고딕"/>
        <family val="2"/>
      </rPr>
      <t xml:space="preserve">챗</t>
    </r>
    <r>
      <rPr>
        <sz val="10"/>
        <rFont val="Arial"/>
        <family val="0"/>
        <charset val="1"/>
      </rPr>
      <t xml:space="preserve">GPT </t>
    </r>
    <r>
      <rPr>
        <sz val="10"/>
        <rFont val="나눔고딕"/>
        <family val="2"/>
      </rPr>
      <t xml:space="preserve">미친 크롤링 </t>
    </r>
    <r>
      <rPr>
        <sz val="10"/>
        <rFont val="Arial"/>
        <family val="0"/>
        <charset val="1"/>
      </rPr>
      <t xml:space="preserve">24</t>
    </r>
    <r>
      <rPr>
        <sz val="10"/>
        <rFont val="나눔고딕"/>
        <family val="2"/>
      </rPr>
      <t xml:space="preserve">제</t>
    </r>
  </si>
  <si>
    <r>
      <rPr>
        <sz val="10"/>
        <rFont val="나눔고딕"/>
        <family val="2"/>
      </rPr>
      <t xml:space="preserve">온라인판매 핵심 비밀노트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초보자를 위한</t>
    </r>
    <r>
      <rPr>
        <sz val="10"/>
        <rFont val="Arial"/>
        <family val="0"/>
        <charset val="1"/>
      </rPr>
      <t xml:space="preserve">)</t>
    </r>
  </si>
  <si>
    <t xml:space="preserve">김태호</t>
  </si>
  <si>
    <t xml:space="preserve">중앙경제평론사</t>
  </si>
  <si>
    <t xml:space="preserve">딥페이크 생성과 탐지</t>
  </si>
  <si>
    <t xml:space="preserve">유하진</t>
  </si>
  <si>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와 미디어 윤리</t>
    </r>
  </si>
  <si>
    <t xml:space="preserve">박선미</t>
  </si>
  <si>
    <t xml:space="preserve">수학으로 이해하는 기초강화학습</t>
  </si>
  <si>
    <t xml:space="preserve">이동환</t>
  </si>
  <si>
    <t xml:space="preserve">가우스출판</t>
  </si>
  <si>
    <r>
      <rPr>
        <sz val="10"/>
        <rFont val="나눔고딕"/>
        <family val="2"/>
      </rPr>
      <t xml:space="preserve">된다</t>
    </r>
    <r>
      <rPr>
        <sz val="10"/>
        <rFont val="Arial"/>
        <family val="0"/>
        <charset val="1"/>
      </rPr>
      <t xml:space="preserve">! </t>
    </r>
    <r>
      <rPr>
        <sz val="10"/>
        <rFont val="나눔고딕"/>
        <family val="2"/>
      </rPr>
      <t xml:space="preserve">업무에 바로 쓰는 구글 활용법</t>
    </r>
  </si>
  <si>
    <t xml:space="preserve">이광희</t>
  </si>
  <si>
    <r>
      <rPr>
        <sz val="10"/>
        <rFont val="Arial"/>
        <family val="0"/>
        <charset val="1"/>
      </rPr>
      <t xml:space="preserve">CATIA(</t>
    </r>
    <r>
      <rPr>
        <sz val="10"/>
        <rFont val="나눔고딕"/>
        <family val="2"/>
      </rPr>
      <t xml:space="preserve">카티아</t>
    </r>
    <r>
      <rPr>
        <sz val="10"/>
        <rFont val="Arial"/>
        <family val="0"/>
        <charset val="1"/>
      </rPr>
      <t xml:space="preserve">) </t>
    </r>
    <r>
      <rPr>
        <sz val="10"/>
        <rFont val="나눔고딕"/>
        <family val="2"/>
      </rPr>
      <t xml:space="preserve">쉽게 따라하기</t>
    </r>
  </si>
  <si>
    <t xml:space="preserve">정경애</t>
  </si>
  <si>
    <t xml:space="preserve">구민사</t>
  </si>
  <si>
    <r>
      <rPr>
        <sz val="10"/>
        <rFont val="나눔고딕"/>
        <family val="2"/>
      </rPr>
      <t xml:space="preserve">유튜브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성공 전략 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</rPr>
      <t xml:space="preserve">쇼츠로 시작해 수익화까지</t>
    </r>
  </si>
  <si>
    <t xml:space="preserve">강민형</t>
  </si>
  <si>
    <r>
      <rPr>
        <sz val="10"/>
        <rFont val="나눔고딕"/>
        <family val="2"/>
      </rPr>
      <t xml:space="preserve">챗</t>
    </r>
    <r>
      <rPr>
        <sz val="10"/>
        <rFont val="Arial"/>
        <family val="0"/>
        <charset val="1"/>
      </rPr>
      <t xml:space="preserve">GPT </t>
    </r>
    <r>
      <rPr>
        <sz val="10"/>
        <rFont val="나눔고딕"/>
        <family val="2"/>
      </rPr>
      <t xml:space="preserve">일타강사의 직장인 업무 만렙 공략집</t>
    </r>
  </si>
  <si>
    <t xml:space="preserve">이승필</t>
  </si>
  <si>
    <r>
      <rPr>
        <sz val="10"/>
        <rFont val="나눔고딕"/>
        <family val="2"/>
      </rPr>
      <t xml:space="preserve">저전력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반도체</t>
    </r>
  </si>
  <si>
    <r>
      <rPr>
        <sz val="10"/>
        <rFont val="나눔고딕"/>
        <family val="2"/>
      </rPr>
      <t xml:space="preserve">정보전략계획 </t>
    </r>
    <r>
      <rPr>
        <sz val="10"/>
        <rFont val="Arial"/>
        <family val="0"/>
        <charset val="1"/>
      </rPr>
      <t xml:space="preserve">ISP </t>
    </r>
    <r>
      <rPr>
        <sz val="10"/>
        <rFont val="나눔고딕"/>
        <family val="2"/>
      </rPr>
      <t xml:space="preserve">수립 실무</t>
    </r>
  </si>
  <si>
    <t xml:space="preserve">한필순</t>
  </si>
  <si>
    <t xml:space="preserve">코딩 자율학습 잔재미코딩의 파이썬 데이터 분석 입문</t>
  </si>
  <si>
    <t xml:space="preserve">개발자를 위한 쉬운 도커</t>
  </si>
  <si>
    <t xml:space="preserve">황현우</t>
  </si>
  <si>
    <r>
      <rPr>
        <sz val="10"/>
        <rFont val="나눔고딕"/>
        <family val="2"/>
      </rPr>
      <t xml:space="preserve">생성형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영상 제작</t>
    </r>
  </si>
  <si>
    <r>
      <rPr>
        <sz val="10"/>
        <rFont val="나눔고딕"/>
        <family val="2"/>
      </rPr>
      <t xml:space="preserve">김광집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윤권수</t>
    </r>
  </si>
  <si>
    <t xml:space="preserve">핀옵스 전략</t>
  </si>
  <si>
    <r>
      <rPr>
        <sz val="10"/>
        <rFont val="나눔고딕"/>
        <family val="2"/>
      </rPr>
      <t xml:space="preserve">알폰소 산 미겔 산체스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대니 오반도 가르시아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이병욱 역</t>
    </r>
  </si>
  <si>
    <t xml:space="preserve">식품 산업과 인공지능</t>
  </si>
  <si>
    <t xml:space="preserve">김상오</t>
  </si>
  <si>
    <r>
      <rPr>
        <sz val="10"/>
        <rFont val="나눔고딕"/>
        <family val="2"/>
      </rPr>
      <t xml:space="preserve">작품만들기 파포 </t>
    </r>
    <r>
      <rPr>
        <sz val="10"/>
        <rFont val="Arial"/>
        <family val="0"/>
        <charset val="1"/>
      </rPr>
      <t xml:space="preserve">2021</t>
    </r>
  </si>
  <si>
    <r>
      <rPr>
        <sz val="10"/>
        <rFont val="나눔고딕"/>
        <family val="2"/>
      </rPr>
      <t xml:space="preserve">박수희 저</t>
    </r>
    <r>
      <rPr>
        <sz val="10"/>
        <rFont val="Arial"/>
        <family val="0"/>
        <charset val="1"/>
      </rPr>
      <t xml:space="preserve">/KIE </t>
    </r>
    <r>
      <rPr>
        <sz val="10"/>
        <rFont val="나눔고딕"/>
        <family val="2"/>
      </rPr>
      <t xml:space="preserve">기획연구실 감수</t>
    </r>
  </si>
  <si>
    <r>
      <rPr>
        <sz val="10"/>
        <rFont val="나눔고딕"/>
        <family val="2"/>
      </rPr>
      <t xml:space="preserve">실전</t>
    </r>
    <r>
      <rPr>
        <sz val="10"/>
        <rFont val="Arial"/>
        <family val="0"/>
        <charset val="1"/>
      </rPr>
      <t xml:space="preserve">! RAG </t>
    </r>
    <r>
      <rPr>
        <sz val="10"/>
        <rFont val="나눔고딕"/>
        <family val="2"/>
      </rPr>
      <t xml:space="preserve">기반 생성형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개발</t>
    </r>
  </si>
  <si>
    <r>
      <rPr>
        <sz val="10"/>
        <rFont val="나눔고딕"/>
        <family val="2"/>
      </rPr>
      <t xml:space="preserve">데니스 로스먼 저</t>
    </r>
    <r>
      <rPr>
        <sz val="10"/>
        <rFont val="Arial"/>
        <family val="0"/>
        <charset val="1"/>
      </rPr>
      <t xml:space="preserve">/307</t>
    </r>
    <r>
      <rPr>
        <sz val="10"/>
        <rFont val="나눔고딕"/>
        <family val="2"/>
      </rPr>
      <t xml:space="preserve">번역랩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류광 역</t>
    </r>
  </si>
  <si>
    <t xml:space="preserve">동작 원리를 그림으로 설명한 컴퓨터 구조와 운영체제</t>
  </si>
  <si>
    <t xml:space="preserve">C.I.K</t>
  </si>
  <si>
    <t xml:space="preserve">랭체인 입문</t>
  </si>
  <si>
    <t xml:space="preserve">오승환</t>
  </si>
  <si>
    <t xml:space="preserve">일반통계학</t>
  </si>
  <si>
    <t xml:space="preserve">서울대학교 자연과학대학 통계학과</t>
  </si>
  <si>
    <r>
      <rPr>
        <sz val="10"/>
        <rFont val="나눔고딕"/>
        <family val="2"/>
      </rPr>
      <t xml:space="preserve">챗대리의 따라하면 바로 되는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마케팅 자동화</t>
    </r>
  </si>
  <si>
    <t xml:space="preserve">챗대리</t>
  </si>
  <si>
    <r>
      <rPr>
        <sz val="10"/>
        <rFont val="나눔고딕"/>
        <family val="2"/>
      </rPr>
      <t xml:space="preserve">관광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실무 테크닉</t>
    </r>
  </si>
  <si>
    <t xml:space="preserve">정민제</t>
  </si>
  <si>
    <t xml:space="preserve">선비북스</t>
  </si>
  <si>
    <t xml:space="preserve">대체 불가능한 디자이너 되기</t>
  </si>
  <si>
    <t xml:space="preserve">오완원</t>
  </si>
  <si>
    <r>
      <rPr>
        <sz val="10"/>
        <rFont val="나눔고딕"/>
        <family val="2"/>
      </rPr>
      <t xml:space="preserve">컴퓨팅 사고와 정보과학 </t>
    </r>
    <r>
      <rPr>
        <sz val="10"/>
        <rFont val="Arial"/>
        <family val="0"/>
        <charset val="1"/>
      </rPr>
      <t xml:space="preserve">: 2024</t>
    </r>
    <r>
      <rPr>
        <sz val="10"/>
        <rFont val="나눔고딕"/>
        <family val="2"/>
      </rPr>
      <t xml:space="preserve">년도 기출문제집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중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고등학생용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</si>
  <si>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언리얼 엔진 </t>
    </r>
    <r>
      <rPr>
        <sz val="10"/>
        <rFont val="Arial"/>
        <family val="0"/>
        <charset val="1"/>
      </rPr>
      <t xml:space="preserve">5</t>
    </r>
    <r>
      <rPr>
        <sz val="10"/>
        <rFont val="나눔고딕"/>
        <family val="2"/>
      </rPr>
      <t xml:space="preserve">로 개발하는 멀티플레이어 게임</t>
    </r>
  </si>
  <si>
    <r>
      <rPr>
        <sz val="10"/>
        <rFont val="Arial"/>
        <family val="0"/>
        <charset val="1"/>
      </rPr>
      <t xml:space="preserve">Streamlit </t>
    </r>
    <r>
      <rPr>
        <sz val="10"/>
        <rFont val="나눔고딕"/>
        <family val="2"/>
      </rPr>
      <t xml:space="preserve">으로 프로젝트 한방에 끝내기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파이썬</t>
    </r>
  </si>
  <si>
    <t xml:space="preserve">Sara, Eddie, Evan</t>
  </si>
  <si>
    <t xml:space="preserve">인공지능과 성범죄</t>
  </si>
  <si>
    <t xml:space="preserve">배상균</t>
  </si>
  <si>
    <t xml:space="preserve">비트코인만 알고 블록체인은 모르는 당신에게</t>
  </si>
  <si>
    <t xml:space="preserve">서울대학교 블록체인학회 디사이퍼</t>
  </si>
  <si>
    <t xml:space="preserve">도서담</t>
  </si>
  <si>
    <t xml:space="preserve">전략적 사용자 행동 분석</t>
  </si>
  <si>
    <t xml:space="preserve">오세규</t>
  </si>
  <si>
    <r>
      <rPr>
        <sz val="10"/>
        <rFont val="나눔고딕"/>
        <family val="2"/>
      </rPr>
      <t xml:space="preserve">코딩 챌린지 창의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코딩놀이 </t>
    </r>
    <r>
      <rPr>
        <sz val="10"/>
        <rFont val="Arial"/>
        <family val="0"/>
        <charset val="1"/>
      </rPr>
      <t xml:space="preserve">Lesson 1</t>
    </r>
  </si>
  <si>
    <t xml:space="preserve">렉스기획팀</t>
  </si>
  <si>
    <r>
      <rPr>
        <sz val="10"/>
        <rFont val="나눔고딕"/>
        <family val="2"/>
      </rPr>
      <t xml:space="preserve">이토록 쉬운 </t>
    </r>
    <r>
      <rPr>
        <sz val="10"/>
        <rFont val="Arial"/>
        <family val="0"/>
        <charset val="1"/>
      </rPr>
      <t xml:space="preserve">10</t>
    </r>
    <r>
      <rPr>
        <sz val="10"/>
        <rFont val="나눔고딕"/>
        <family val="2"/>
      </rPr>
      <t xml:space="preserve">가지 프로젝트로 끝내는 트랜스포머 활용 가이드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파이토치</t>
    </r>
  </si>
  <si>
    <r>
      <rPr>
        <sz val="10"/>
        <rFont val="나눔고딕"/>
        <family val="2"/>
      </rPr>
      <t xml:space="preserve">프렘 팀시나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임선집 역</t>
    </r>
  </si>
  <si>
    <r>
      <rPr>
        <sz val="10"/>
        <rFont val="Arial"/>
        <family val="0"/>
        <charset val="1"/>
      </rPr>
      <t xml:space="preserve">NEW </t>
    </r>
    <r>
      <rPr>
        <sz val="10"/>
        <rFont val="나눔고딕"/>
        <family val="2"/>
      </rPr>
      <t xml:space="preserve">우당탕탕 컴퓨터와 친해지기</t>
    </r>
  </si>
  <si>
    <r>
      <rPr>
        <sz val="10"/>
        <rFont val="나눔고딕"/>
        <family val="2"/>
      </rPr>
      <t xml:space="preserve">쉽게 배우는 </t>
    </r>
    <r>
      <rPr>
        <sz val="10"/>
        <rFont val="Arial"/>
        <family val="0"/>
        <charset val="1"/>
      </rPr>
      <t xml:space="preserve">MS Project 2024</t>
    </r>
  </si>
  <si>
    <t xml:space="preserve">안재성</t>
  </si>
  <si>
    <t xml:space="preserve">제이에스캠퍼스</t>
  </si>
  <si>
    <r>
      <rPr>
        <sz val="10"/>
        <rFont val="나눔고딕"/>
        <family val="2"/>
      </rPr>
      <t xml:space="preserve">투닝으로 시작하는 인공지능 웹툰 작가 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</rPr>
      <t xml:space="preserve">초등학교 고학년용</t>
    </r>
  </si>
  <si>
    <r>
      <rPr>
        <sz val="10"/>
        <rFont val="나눔고딕"/>
        <family val="2"/>
      </rPr>
      <t xml:space="preserve">툰스퀘어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박정호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강도연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김혜란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김혜진 저 외 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명 정보 더 보기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감추기 툰스퀘어 박정호 강도연 김혜란 김혜진 노상민 정연채</t>
    </r>
  </si>
  <si>
    <t xml:space="preserve">툰스퀘어</t>
  </si>
  <si>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와 인문학의 주제들</t>
    </r>
  </si>
  <si>
    <r>
      <rPr>
        <sz val="10"/>
        <rFont val="나눔고딕"/>
        <family val="2"/>
      </rPr>
      <t xml:space="preserve">정서현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우동현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김동우</t>
    </r>
  </si>
  <si>
    <r>
      <rPr>
        <sz val="10"/>
        <rFont val="나눔고딕"/>
        <family val="2"/>
      </rPr>
      <t xml:space="preserve">띠웅</t>
    </r>
    <r>
      <rPr>
        <sz val="10"/>
        <rFont val="Arial"/>
        <family val="0"/>
        <charset val="1"/>
      </rPr>
      <t xml:space="preserve">'s </t>
    </r>
    <r>
      <rPr>
        <sz val="10"/>
        <rFont val="나눔고딕"/>
        <family val="2"/>
      </rPr>
      <t xml:space="preserve">타이포그래피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프로크리에이트</t>
    </r>
  </si>
  <si>
    <t xml:space="preserve">띠웅</t>
  </si>
  <si>
    <t xml:space="preserve">다산스마트에듀</t>
  </si>
  <si>
    <r>
      <rPr>
        <sz val="10"/>
        <rFont val="Arial"/>
        <family val="0"/>
        <charset val="1"/>
      </rPr>
      <t xml:space="preserve">Wireshark</t>
    </r>
    <r>
      <rPr>
        <sz val="10"/>
        <rFont val="나눔고딕"/>
        <family val="2"/>
      </rPr>
      <t xml:space="preserve">로 배우는 컴퓨터 네트워크</t>
    </r>
  </si>
  <si>
    <r>
      <rPr>
        <sz val="10"/>
        <rFont val="나눔고딕"/>
        <family val="2"/>
      </rPr>
      <t xml:space="preserve">김봉한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이재광</t>
    </r>
  </si>
  <si>
    <r>
      <rPr>
        <sz val="10"/>
        <rFont val="나눔고딕"/>
        <family val="2"/>
      </rPr>
      <t xml:space="preserve">엑셀과 파워포인트 </t>
    </r>
    <r>
      <rPr>
        <sz val="10"/>
        <rFont val="Arial"/>
        <family val="0"/>
        <charset val="1"/>
      </rPr>
      <t xml:space="preserve">2021</t>
    </r>
  </si>
  <si>
    <t xml:space="preserve">김지연</t>
  </si>
  <si>
    <t xml:space="preserve">대표 전략으로 입문하는 미국 주식 퀀트 투자</t>
  </si>
  <si>
    <t xml:space="preserve">이용환</t>
  </si>
  <si>
    <t xml:space="preserve">왕초보 맞춤형 랜선 사수 올이 엑셀</t>
  </si>
  <si>
    <t xml:space="preserve">올이</t>
  </si>
  <si>
    <t xml:space="preserve">파이썬 마스터</t>
  </si>
  <si>
    <r>
      <rPr>
        <sz val="10"/>
        <rFont val="나눔고딕"/>
        <family val="2"/>
      </rPr>
      <t xml:space="preserve">김종훈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김동건</t>
    </r>
  </si>
  <si>
    <t xml:space="preserve">트랜스포머로 시작하는 언어 모델과 생성형 인공지능</t>
  </si>
  <si>
    <t xml:space="preserve">추형석</t>
  </si>
  <si>
    <r>
      <rPr>
        <sz val="10"/>
        <rFont val="Arial"/>
        <family val="0"/>
        <charset val="1"/>
      </rPr>
      <t xml:space="preserve">ChatGPT </t>
    </r>
    <r>
      <rPr>
        <sz val="10"/>
        <rFont val="나눔고딕"/>
        <family val="2"/>
      </rPr>
      <t xml:space="preserve">마케팅</t>
    </r>
  </si>
  <si>
    <t xml:space="preserve">임헌수</t>
  </si>
  <si>
    <t xml:space="preserve">이코노믹북스</t>
  </si>
  <si>
    <r>
      <rPr>
        <sz val="10"/>
        <rFont val="나눔고딕"/>
        <family val="2"/>
      </rPr>
      <t xml:space="preserve">데이터 마이닝 개념과 기법 </t>
    </r>
    <r>
      <rPr>
        <sz val="10"/>
        <rFont val="Arial"/>
        <family val="0"/>
        <charset val="1"/>
      </rPr>
      <t xml:space="preserve">4/e</t>
    </r>
  </si>
  <si>
    <r>
      <rPr>
        <sz val="10"/>
        <rFont val="나눔고딕"/>
        <family val="2"/>
      </rPr>
      <t xml:space="preserve">지아웨이 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지안 페이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항항 통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동준상 역</t>
    </r>
  </si>
  <si>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로 이미지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영상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음악 한 번에 끝내기 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큰글자책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</si>
  <si>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를 활용한 경영전략 수립</t>
    </r>
  </si>
  <si>
    <t xml:space="preserve">은종성</t>
  </si>
  <si>
    <t xml:space="preserve">책길</t>
  </si>
  <si>
    <r>
      <rPr>
        <sz val="10"/>
        <rFont val="나눔고딕"/>
        <family val="2"/>
      </rPr>
      <t xml:space="preserve">된다</t>
    </r>
    <r>
      <rPr>
        <sz val="10"/>
        <rFont val="Arial"/>
        <family val="0"/>
        <charset val="1"/>
      </rPr>
      <t xml:space="preserve">! </t>
    </r>
    <r>
      <rPr>
        <sz val="10"/>
        <rFont val="나눔고딕"/>
        <family val="2"/>
      </rPr>
      <t xml:space="preserve">맥북</t>
    </r>
    <r>
      <rPr>
        <sz val="10"/>
        <rFont val="Arial"/>
        <family val="0"/>
        <charset val="1"/>
      </rPr>
      <t xml:space="preserve">&amp;</t>
    </r>
    <r>
      <rPr>
        <sz val="10"/>
        <rFont val="나눔고딕"/>
        <family val="2"/>
      </rPr>
      <t xml:space="preserve">아이맥 </t>
    </r>
    <r>
      <rPr>
        <sz val="10"/>
        <rFont val="Arial"/>
        <family val="0"/>
        <charset val="1"/>
      </rPr>
      <t xml:space="preserve">- </t>
    </r>
    <r>
      <rPr>
        <sz val="10"/>
        <rFont val="나눔고딕"/>
        <family val="2"/>
      </rPr>
      <t xml:space="preserve">맥</t>
    </r>
    <r>
      <rPr>
        <sz val="10"/>
        <rFont val="Arial"/>
        <family val="0"/>
        <charset val="1"/>
      </rPr>
      <t xml:space="preserve">OS </t>
    </r>
    <r>
      <rPr>
        <sz val="10"/>
        <rFont val="나눔고딕"/>
        <family val="2"/>
      </rPr>
      <t xml:space="preserve">세쿼이아 판</t>
    </r>
  </si>
  <si>
    <r>
      <rPr>
        <sz val="10"/>
        <rFont val="나눔고딕"/>
        <family val="2"/>
      </rPr>
      <t xml:space="preserve">쌤쌤티비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케이트</t>
    </r>
  </si>
  <si>
    <t xml:space="preserve">마스터링 트랜스포머</t>
  </si>
  <si>
    <r>
      <rPr>
        <sz val="10"/>
        <rFont val="나눔고딕"/>
        <family val="2"/>
      </rPr>
      <t xml:space="preserve">사바슈 이을드름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메이삼 아스가리지헤낙흘루 저</t>
    </r>
    <r>
      <rPr>
        <sz val="10"/>
        <rFont val="Arial"/>
        <family val="0"/>
        <charset val="1"/>
      </rPr>
      <t xml:space="preserve">/307</t>
    </r>
    <r>
      <rPr>
        <sz val="10"/>
        <rFont val="나눔고딕"/>
        <family val="2"/>
      </rPr>
      <t xml:space="preserve">번역랩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류광 역</t>
    </r>
  </si>
  <si>
    <r>
      <rPr>
        <sz val="10"/>
        <rFont val="Arial"/>
        <family val="0"/>
        <charset val="1"/>
      </rPr>
      <t xml:space="preserve">OpenAI, </t>
    </r>
    <r>
      <rPr>
        <sz val="10"/>
        <rFont val="나눔고딕"/>
        <family val="2"/>
      </rPr>
      <t xml:space="preserve">구글 </t>
    </r>
    <r>
      <rPr>
        <sz val="10"/>
        <rFont val="Arial"/>
        <family val="0"/>
        <charset val="1"/>
      </rPr>
      <t xml:space="preserve">Gemini, </t>
    </r>
    <r>
      <rPr>
        <sz val="10"/>
        <rFont val="나눔고딕"/>
        <family val="2"/>
      </rPr>
      <t xml:space="preserve">업스테이지 </t>
    </r>
    <r>
      <rPr>
        <sz val="10"/>
        <rFont val="Arial"/>
        <family val="0"/>
        <charset val="1"/>
      </rPr>
      <t xml:space="preserve">Solar API</t>
    </r>
    <r>
      <rPr>
        <sz val="10"/>
        <rFont val="나눔고딕"/>
        <family val="2"/>
      </rPr>
      <t xml:space="preserve">를 활용한 실전 </t>
    </r>
    <r>
      <rPr>
        <sz val="10"/>
        <rFont val="Arial"/>
        <family val="0"/>
        <charset val="1"/>
      </rPr>
      <t xml:space="preserve">LLM </t>
    </r>
    <r>
      <rPr>
        <sz val="10"/>
        <rFont val="나눔고딕"/>
        <family val="2"/>
      </rPr>
      <t xml:space="preserve">앱 개발</t>
    </r>
  </si>
  <si>
    <r>
      <rPr>
        <sz val="10"/>
        <rFont val="나눔고딕"/>
        <family val="2"/>
      </rPr>
      <t xml:space="preserve">최용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이승우</t>
    </r>
  </si>
  <si>
    <r>
      <rPr>
        <sz val="10"/>
        <rFont val="나눔고딕"/>
        <family val="2"/>
      </rPr>
      <t xml:space="preserve">강화학습 기본 다지기와 </t>
    </r>
    <r>
      <rPr>
        <sz val="10"/>
        <rFont val="Arial"/>
        <family val="0"/>
        <charset val="1"/>
      </rPr>
      <t xml:space="preserve">PyTorch</t>
    </r>
  </si>
  <si>
    <r>
      <rPr>
        <sz val="10"/>
        <rFont val="Arial"/>
        <family val="0"/>
        <charset val="1"/>
      </rPr>
      <t xml:space="preserve">150</t>
    </r>
    <r>
      <rPr>
        <sz val="10"/>
        <rFont val="나눔고딕"/>
        <family val="2"/>
      </rPr>
      <t xml:space="preserve">분이면 충분한 중고등학교 기초 수학</t>
    </r>
  </si>
  <si>
    <r>
      <rPr>
        <sz val="10"/>
        <rFont val="나눔고딕"/>
        <family val="2"/>
      </rPr>
      <t xml:space="preserve">요네다 마사타카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손민규 역</t>
    </r>
  </si>
  <si>
    <r>
      <rPr>
        <sz val="10"/>
        <rFont val="나눔고딕"/>
        <family val="2"/>
      </rPr>
      <t xml:space="preserve">된다</t>
    </r>
    <r>
      <rPr>
        <sz val="10"/>
        <rFont val="Arial"/>
        <family val="0"/>
        <charset val="1"/>
      </rPr>
      <t xml:space="preserve">! 7</t>
    </r>
    <r>
      <rPr>
        <sz val="10"/>
        <rFont val="나눔고딕"/>
        <family val="2"/>
      </rPr>
      <t xml:space="preserve">일 구글 스프레드시트</t>
    </r>
  </si>
  <si>
    <t xml:space="preserve">이지현</t>
  </si>
  <si>
    <r>
      <rPr>
        <sz val="10"/>
        <rFont val="Arial"/>
        <family val="0"/>
        <charset val="1"/>
      </rPr>
      <t xml:space="preserve">Do it! </t>
    </r>
    <r>
      <rPr>
        <sz val="10"/>
        <rFont val="나눔고딕"/>
        <family val="2"/>
      </rPr>
      <t xml:space="preserve">자바 프로그래밍 입문</t>
    </r>
  </si>
  <si>
    <t xml:space="preserve">박은종</t>
  </si>
  <si>
    <t xml:space="preserve">파이썬으로 배우는 확률과 통계</t>
  </si>
  <si>
    <r>
      <rPr>
        <sz val="10"/>
        <rFont val="나눔고딕"/>
        <family val="2"/>
      </rPr>
      <t xml:space="preserve">이재광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전태일</t>
    </r>
  </si>
  <si>
    <r>
      <rPr>
        <sz val="10"/>
        <rFont val="나눔고딕"/>
        <family val="2"/>
      </rPr>
      <t xml:space="preserve">생성형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창작과 활용 가이드</t>
    </r>
  </si>
  <si>
    <r>
      <rPr>
        <sz val="10"/>
        <rFont val="나눔고딕"/>
        <family val="2"/>
      </rPr>
      <t xml:space="preserve">김현정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원일용</t>
    </r>
  </si>
  <si>
    <t xml:space="preserve">따라 하면 성공하는 사업계획서 작성법</t>
  </si>
  <si>
    <t xml:space="preserve">홍승민</t>
  </si>
  <si>
    <r>
      <rPr>
        <sz val="10"/>
        <rFont val="나눔고딕"/>
        <family val="2"/>
      </rPr>
      <t xml:space="preserve">지식과감성</t>
    </r>
    <r>
      <rPr>
        <sz val="10"/>
        <rFont val="Arial"/>
        <family val="0"/>
        <charset val="1"/>
      </rPr>
      <t xml:space="preserve">#</t>
    </r>
  </si>
  <si>
    <t xml:space="preserve">미디어 콘텐츠로 세상과 소통하라</t>
  </si>
  <si>
    <t xml:space="preserve">김정미</t>
  </si>
  <si>
    <t xml:space="preserve">다온북스</t>
  </si>
  <si>
    <r>
      <rPr>
        <sz val="10"/>
        <rFont val="Arial"/>
        <family val="0"/>
        <charset val="1"/>
      </rPr>
      <t xml:space="preserve">Do it! </t>
    </r>
    <r>
      <rPr>
        <sz val="10"/>
        <rFont val="나눔고딕"/>
        <family val="2"/>
      </rPr>
      <t xml:space="preserve">자바스크립트</t>
    </r>
    <r>
      <rPr>
        <sz val="10"/>
        <rFont val="Arial"/>
        <family val="0"/>
        <charset val="1"/>
      </rPr>
      <t xml:space="preserve">+</t>
    </r>
    <r>
      <rPr>
        <sz val="10"/>
        <rFont val="나눔고딕"/>
        <family val="2"/>
      </rPr>
      <t xml:space="preserve">제이쿼리 입문</t>
    </r>
  </si>
  <si>
    <t xml:space="preserve">정인용</t>
  </si>
  <si>
    <r>
      <rPr>
        <sz val="10"/>
        <rFont val="나눔고딕"/>
        <family val="2"/>
      </rPr>
      <t xml:space="preserve">생성형 </t>
    </r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를 활용한 게임 개발</t>
    </r>
  </si>
  <si>
    <t xml:space="preserve">전문가를 위한 파이썬</t>
  </si>
  <si>
    <r>
      <rPr>
        <sz val="10"/>
        <rFont val="나눔고딕"/>
        <family val="2"/>
      </rPr>
      <t xml:space="preserve">루시아누 하말류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강권학 역</t>
    </r>
  </si>
  <si>
    <t xml:space="preserve">아케인 아트북</t>
  </si>
  <si>
    <r>
      <rPr>
        <sz val="10"/>
        <rFont val="나눔고딕"/>
        <family val="2"/>
      </rPr>
      <t xml:space="preserve">엘리자베스 빈센텔리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라이엇 게임즈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정호운 역</t>
    </r>
  </si>
  <si>
    <t xml:space="preserve">제우미디어</t>
  </si>
  <si>
    <t xml:space="preserve">실무에 바로 쓰는 일잘러의 제안서 작성법</t>
  </si>
  <si>
    <t xml:space="preserve">박서윤</t>
  </si>
  <si>
    <r>
      <rPr>
        <sz val="10"/>
        <rFont val="Arial"/>
        <family val="0"/>
        <charset val="1"/>
      </rPr>
      <t xml:space="preserve">AGI</t>
    </r>
    <r>
      <rPr>
        <sz val="10"/>
        <rFont val="나눔고딕"/>
        <family val="2"/>
      </rPr>
      <t xml:space="preserve">의 시대</t>
    </r>
  </si>
  <si>
    <t xml:space="preserve">한상기</t>
  </si>
  <si>
    <r>
      <rPr>
        <sz val="10"/>
        <rFont val="나눔고딕"/>
        <family val="2"/>
      </rPr>
      <t xml:space="preserve">데이터시각화를 하는 가장 쉬운 방법 </t>
    </r>
    <r>
      <rPr>
        <sz val="10"/>
        <rFont val="Arial"/>
        <family val="0"/>
        <charset val="1"/>
      </rPr>
      <t xml:space="preserve">by </t>
    </r>
    <r>
      <rPr>
        <sz val="10"/>
        <rFont val="나눔고딕"/>
        <family val="2"/>
      </rPr>
      <t xml:space="preserve">구글 루커 스튜디오</t>
    </r>
  </si>
  <si>
    <t xml:space="preserve">천영훈</t>
  </si>
  <si>
    <t xml:space="preserve">따라하며 배우는 빅데이터 분석</t>
  </si>
  <si>
    <t xml:space="preserve">박동규</t>
  </si>
  <si>
    <t xml:space="preserve">내 채널이 상점이 되는 유튜브 쇼핑</t>
  </si>
  <si>
    <r>
      <rPr>
        <sz val="10"/>
        <rFont val="나눔고딕"/>
        <family val="2"/>
      </rPr>
      <t xml:space="preserve">실전</t>
    </r>
    <r>
      <rPr>
        <sz val="10"/>
        <rFont val="Arial"/>
        <family val="0"/>
        <charset val="1"/>
      </rPr>
      <t xml:space="preserve">! LLM</t>
    </r>
    <r>
      <rPr>
        <sz val="10"/>
        <rFont val="나눔고딕"/>
        <family val="2"/>
      </rPr>
      <t xml:space="preserve">을 활용한 생성형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애플리케이션 개발</t>
    </r>
  </si>
  <si>
    <r>
      <rPr>
        <sz val="10"/>
        <rFont val="나눔고딕"/>
        <family val="2"/>
      </rPr>
      <t xml:space="preserve">발렌티나 알토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최용 역</t>
    </r>
  </si>
  <si>
    <r>
      <rPr>
        <sz val="10"/>
        <rFont val="나눔고딕"/>
        <family val="2"/>
      </rPr>
      <t xml:space="preserve">초보자를 위한 생성형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완벽 가이드</t>
    </r>
  </si>
  <si>
    <t xml:space="preserve">이현욱</t>
  </si>
  <si>
    <t xml:space="preserve">한국경제신문</t>
  </si>
  <si>
    <r>
      <rPr>
        <sz val="10"/>
        <rFont val="나눔고딕"/>
        <family val="2"/>
      </rPr>
      <t xml:space="preserve">쉽게 배워 폼나게 활용하는 한글 </t>
    </r>
    <r>
      <rPr>
        <sz val="10"/>
        <rFont val="Arial"/>
        <family val="0"/>
        <charset val="1"/>
      </rPr>
      <t xml:space="preserve">2022</t>
    </r>
  </si>
  <si>
    <r>
      <rPr>
        <sz val="10"/>
        <rFont val="나눔고딕"/>
        <family val="2"/>
      </rPr>
      <t xml:space="preserve">한정수</t>
    </r>
    <r>
      <rPr>
        <sz val="10"/>
        <rFont val="Arial"/>
        <family val="0"/>
        <charset val="1"/>
      </rPr>
      <t xml:space="preserve">, IT</t>
    </r>
    <r>
      <rPr>
        <sz val="10"/>
        <rFont val="나눔고딕"/>
        <family val="2"/>
      </rPr>
      <t xml:space="preserve">연구회</t>
    </r>
  </si>
  <si>
    <r>
      <rPr>
        <sz val="10"/>
        <rFont val="나눔고딕"/>
        <family val="2"/>
      </rPr>
      <t xml:space="preserve">된다</t>
    </r>
    <r>
      <rPr>
        <sz val="10"/>
        <rFont val="Arial"/>
        <family val="0"/>
        <charset val="1"/>
      </rPr>
      <t xml:space="preserve">! 7</t>
    </r>
    <r>
      <rPr>
        <sz val="10"/>
        <rFont val="나눔고딕"/>
        <family val="2"/>
      </rPr>
      <t xml:space="preserve">일 실무 워드</t>
    </r>
  </si>
  <si>
    <t xml:space="preserve">이충욱</t>
  </si>
  <si>
    <t xml:space="preserve">게임 데이터 분석의 노하우</t>
  </si>
  <si>
    <r>
      <rPr>
        <sz val="10"/>
        <rFont val="나눔고딕"/>
        <family val="2"/>
      </rPr>
      <t xml:space="preserve">망고보드 </t>
    </r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로 나도 이제 디자이너</t>
    </r>
  </si>
  <si>
    <t xml:space="preserve">코딩 자율학습 자바 입문</t>
  </si>
  <si>
    <t xml:space="preserve">최원효</t>
  </si>
  <si>
    <t xml:space="preserve">프롬프트 엔지니어링의 비밀</t>
  </si>
  <si>
    <r>
      <rPr>
        <sz val="10"/>
        <rFont val="나눔고딕"/>
        <family val="2"/>
      </rPr>
      <t xml:space="preserve">길버트 미즈라히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김진호 역</t>
    </r>
  </si>
  <si>
    <r>
      <rPr>
        <sz val="10"/>
        <rFont val="나눔고딕"/>
        <family val="2"/>
      </rPr>
      <t xml:space="preserve">블렌더 </t>
    </r>
    <r>
      <rPr>
        <sz val="10"/>
        <rFont val="Arial"/>
        <family val="0"/>
        <charset val="1"/>
      </rPr>
      <t xml:space="preserve">VFX</t>
    </r>
  </si>
  <si>
    <r>
      <rPr>
        <sz val="10"/>
        <rFont val="나눔고딕"/>
        <family val="2"/>
      </rPr>
      <t xml:space="preserve">타카 타치바나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윤인성 역</t>
    </r>
  </si>
  <si>
    <t xml:space="preserve">머신비전 비밀노트</t>
  </si>
  <si>
    <t xml:space="preserve">㈜앤비젼</t>
  </si>
  <si>
    <t xml:space="preserve">바른북스</t>
  </si>
  <si>
    <r>
      <rPr>
        <sz val="10"/>
        <rFont val="나눔고딕"/>
        <family val="2"/>
      </rPr>
      <t xml:space="preserve">블렌더로 애니 그림체 캐릭터를 만들어보자</t>
    </r>
    <r>
      <rPr>
        <sz val="10"/>
        <rFont val="Arial"/>
        <family val="0"/>
        <charset val="1"/>
      </rPr>
      <t xml:space="preserve">! : </t>
    </r>
    <r>
      <rPr>
        <sz val="10"/>
        <rFont val="나눔고딕"/>
        <family val="2"/>
      </rPr>
      <t xml:space="preserve">카툰 렌더링편</t>
    </r>
  </si>
  <si>
    <r>
      <rPr>
        <sz val="10"/>
        <rFont val="나눔고딕"/>
        <family val="2"/>
      </rPr>
      <t xml:space="preserve">핸즈온 그래프 인공신경망 </t>
    </r>
    <r>
      <rPr>
        <sz val="10"/>
        <rFont val="Arial"/>
        <family val="0"/>
        <charset val="1"/>
      </rPr>
      <t xml:space="preserve">with Python</t>
    </r>
  </si>
  <si>
    <r>
      <rPr>
        <sz val="10"/>
        <rFont val="Arial"/>
        <family val="0"/>
        <charset val="1"/>
      </rPr>
      <t xml:space="preserve">Maxime Labonne </t>
    </r>
    <r>
      <rPr>
        <sz val="10"/>
        <rFont val="나눔고딕"/>
        <family val="2"/>
      </rPr>
      <t xml:space="preserve">저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김현우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정지수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윤성준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박진영 공역</t>
    </r>
  </si>
  <si>
    <r>
      <rPr>
        <sz val="10"/>
        <rFont val="나눔고딕"/>
        <family val="2"/>
      </rPr>
      <t xml:space="preserve">비전공자를 위한 </t>
    </r>
    <r>
      <rPr>
        <sz val="10"/>
        <rFont val="Arial"/>
        <family val="0"/>
        <charset val="1"/>
      </rPr>
      <t xml:space="preserve">AWS</t>
    </r>
  </si>
  <si>
    <r>
      <rPr>
        <sz val="10"/>
        <rFont val="나눔고딕"/>
        <family val="2"/>
      </rPr>
      <t xml:space="preserve">히로코 니시무라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강전희 역</t>
    </r>
  </si>
  <si>
    <r>
      <rPr>
        <sz val="10"/>
        <rFont val="나눔고딕"/>
        <family val="2"/>
      </rPr>
      <t xml:space="preserve">밑바닥부터 시작하는 딥러닝 </t>
    </r>
    <r>
      <rPr>
        <sz val="10"/>
        <rFont val="Arial"/>
        <family val="0"/>
        <charset val="1"/>
      </rPr>
      <t xml:space="preserve">5</t>
    </r>
  </si>
  <si>
    <r>
      <rPr>
        <sz val="10"/>
        <rFont val="나눔고딕"/>
        <family val="2"/>
      </rPr>
      <t xml:space="preserve">삼성에서 </t>
    </r>
    <r>
      <rPr>
        <sz val="10"/>
        <rFont val="Arial"/>
        <family val="0"/>
        <charset val="1"/>
      </rPr>
      <t xml:space="preserve">ERP</t>
    </r>
    <r>
      <rPr>
        <sz val="10"/>
        <rFont val="나눔고딕"/>
        <family val="2"/>
      </rPr>
      <t xml:space="preserve">로 먹고사는 컨설턴트가 알려주는 </t>
    </r>
    <r>
      <rPr>
        <sz val="10"/>
        <rFont val="Arial"/>
        <family val="0"/>
        <charset val="1"/>
      </rPr>
      <t xml:space="preserve">SAP</t>
    </r>
  </si>
  <si>
    <t xml:space="preserve">이펙티브 러스트</t>
  </si>
  <si>
    <r>
      <rPr>
        <sz val="10"/>
        <rFont val="나눔고딕"/>
        <family val="2"/>
      </rPr>
      <t xml:space="preserve">데이비드 드라이스데일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남기혁 역</t>
    </r>
  </si>
  <si>
    <r>
      <rPr>
        <sz val="10"/>
        <rFont val="나눔고딕"/>
        <family val="2"/>
      </rPr>
      <t xml:space="preserve">한컴오피스 </t>
    </r>
    <r>
      <rPr>
        <sz val="10"/>
        <rFont val="Arial"/>
        <family val="0"/>
        <charset val="1"/>
      </rPr>
      <t xml:space="preserve">2024</t>
    </r>
  </si>
  <si>
    <t xml:space="preserve">윤관식</t>
  </si>
  <si>
    <t xml:space="preserve">가나출판사</t>
  </si>
  <si>
    <r>
      <rPr>
        <sz val="10"/>
        <rFont val="나눔고딕"/>
        <family val="2"/>
      </rPr>
      <t xml:space="preserve">국제표준 정보보안</t>
    </r>
    <r>
      <rPr>
        <sz val="10"/>
        <rFont val="Arial"/>
        <family val="0"/>
        <charset val="1"/>
      </rPr>
      <t xml:space="preserve">+</t>
    </r>
    <r>
      <rPr>
        <sz val="10"/>
        <rFont val="나눔고딕"/>
        <family val="2"/>
      </rPr>
      <t xml:space="preserve">사이버보안</t>
    </r>
    <r>
      <rPr>
        <sz val="10"/>
        <rFont val="Arial"/>
        <family val="0"/>
        <charset val="1"/>
      </rPr>
      <t xml:space="preserve">+</t>
    </r>
    <r>
      <rPr>
        <sz val="10"/>
        <rFont val="나눔고딕"/>
        <family val="2"/>
      </rPr>
      <t xml:space="preserve">개인정보보호</t>
    </r>
  </si>
  <si>
    <r>
      <rPr>
        <sz val="10"/>
        <rFont val="나눔고딕"/>
        <family val="2"/>
      </rPr>
      <t xml:space="preserve">박억남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권재욱 공저</t>
    </r>
  </si>
  <si>
    <t xml:space="preserve">그림으로 이해하는 시스템 설계</t>
  </si>
  <si>
    <r>
      <rPr>
        <sz val="10"/>
        <rFont val="나눔고딕"/>
        <family val="2"/>
      </rPr>
      <t xml:space="preserve">이시구로 나오키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서수환 역</t>
    </r>
  </si>
  <si>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일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단어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분으로 끝내는 </t>
    </r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공부</t>
    </r>
  </si>
  <si>
    <t xml:space="preserve">최재운</t>
  </si>
  <si>
    <t xml:space="preserve">글담</t>
  </si>
  <si>
    <r>
      <rPr>
        <sz val="10"/>
        <rFont val="Arial"/>
        <family val="0"/>
        <charset val="1"/>
      </rPr>
      <t xml:space="preserve">20</t>
    </r>
    <r>
      <rPr>
        <sz val="10"/>
        <rFont val="나눔고딕"/>
        <family val="2"/>
      </rPr>
      <t xml:space="preserve">가지 템플릿으로 배우는 노션 </t>
    </r>
    <r>
      <rPr>
        <sz val="10"/>
        <rFont val="Arial"/>
        <family val="0"/>
        <charset val="1"/>
      </rPr>
      <t xml:space="preserve">Notion</t>
    </r>
  </si>
  <si>
    <r>
      <rPr>
        <sz val="10"/>
        <rFont val="나눔고딕"/>
        <family val="2"/>
      </rPr>
      <t xml:space="preserve">그림과 실습으로 배우는 깃 </t>
    </r>
    <r>
      <rPr>
        <sz val="10"/>
        <rFont val="Arial"/>
        <family val="0"/>
        <charset val="1"/>
      </rPr>
      <t xml:space="preserve">&amp; </t>
    </r>
    <r>
      <rPr>
        <sz val="10"/>
        <rFont val="나눔고딕"/>
        <family val="2"/>
      </rPr>
      <t xml:space="preserve">깃허브 입문</t>
    </r>
  </si>
  <si>
    <t xml:space="preserve">한재원</t>
  </si>
  <si>
    <r>
      <rPr>
        <sz val="10"/>
        <rFont val="Arial"/>
        <family val="0"/>
        <charset val="1"/>
      </rPr>
      <t xml:space="preserve">AI</t>
    </r>
    <r>
      <rPr>
        <sz val="10"/>
        <rFont val="나눔고딕"/>
        <family val="2"/>
      </rPr>
      <t xml:space="preserve">와 예술</t>
    </r>
  </si>
  <si>
    <t xml:space="preserve">강보현</t>
  </si>
  <si>
    <r>
      <rPr>
        <sz val="10"/>
        <rFont val="나눔고딕"/>
        <family val="2"/>
      </rPr>
      <t xml:space="preserve">테라폼으로 시작하는 </t>
    </r>
    <r>
      <rPr>
        <sz val="10"/>
        <rFont val="Arial"/>
        <family val="0"/>
        <charset val="1"/>
      </rPr>
      <t xml:space="preserve">IaC</t>
    </r>
  </si>
  <si>
    <r>
      <rPr>
        <sz val="10"/>
        <rFont val="나눔고딕"/>
        <family val="2"/>
      </rPr>
      <t xml:space="preserve">김민수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김재준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이규석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이유종</t>
    </r>
  </si>
  <si>
    <t xml:space="preserve">로블록스 코딩 마스터하기</t>
  </si>
  <si>
    <r>
      <rPr>
        <sz val="10"/>
        <rFont val="나눔고딕"/>
        <family val="2"/>
      </rPr>
      <t xml:space="preserve">마크 키프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이진수 역</t>
    </r>
  </si>
  <si>
    <r>
      <rPr>
        <sz val="10"/>
        <rFont val="나눔고딕"/>
        <family val="2"/>
      </rPr>
      <t xml:space="preserve">일잘러의 비밀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엑셀 대신 파이썬으로 업무 자동화하기</t>
    </r>
  </si>
  <si>
    <t xml:space="preserve">포스코인재창조원</t>
  </si>
  <si>
    <r>
      <rPr>
        <sz val="10"/>
        <rFont val="나눔고딕"/>
        <family val="2"/>
      </rPr>
      <t xml:space="preserve">한글 </t>
    </r>
    <r>
      <rPr>
        <sz val="10"/>
        <rFont val="Arial"/>
        <family val="0"/>
        <charset val="1"/>
      </rPr>
      <t xml:space="preserve">2022</t>
    </r>
    <r>
      <rPr>
        <sz val="10"/>
        <rFont val="나눔고딕"/>
        <family val="2"/>
      </rPr>
      <t xml:space="preserve">으로 시작하는 컴스타 </t>
    </r>
    <r>
      <rPr>
        <sz val="10"/>
        <rFont val="Arial"/>
        <family val="0"/>
        <charset val="1"/>
      </rPr>
      <t xml:space="preserve">2</t>
    </r>
  </si>
  <si>
    <r>
      <rPr>
        <sz val="10"/>
        <rFont val="나눔고딕"/>
        <family val="2"/>
      </rPr>
      <t xml:space="preserve">김경민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김민영 저</t>
    </r>
    <r>
      <rPr>
        <sz val="10"/>
        <rFont val="Arial"/>
        <family val="0"/>
        <charset val="1"/>
      </rPr>
      <t xml:space="preserve">/KIE </t>
    </r>
    <r>
      <rPr>
        <sz val="10"/>
        <rFont val="나눔고딕"/>
        <family val="2"/>
      </rPr>
      <t xml:space="preserve">기획연구실 감수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컴벤져스 기획</t>
    </r>
  </si>
  <si>
    <t xml:space="preserve">아케이드 게임 타이포그래피</t>
  </si>
  <si>
    <r>
      <rPr>
        <sz val="10"/>
        <rFont val="나눔고딕"/>
        <family val="2"/>
      </rPr>
      <t xml:space="preserve">오마가리 토시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무로가 기요노리 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박희원 역</t>
    </r>
  </si>
  <si>
    <r>
      <rPr>
        <sz val="10"/>
        <rFont val="나눔고딕"/>
        <family val="2"/>
      </rPr>
      <t xml:space="preserve">이지파이썬 </t>
    </r>
    <r>
      <rPr>
        <sz val="10"/>
        <rFont val="Arial"/>
        <family val="0"/>
        <charset val="1"/>
      </rPr>
      <t xml:space="preserve">2</t>
    </r>
  </si>
  <si>
    <t xml:space="preserve">한국인공지능아카데미</t>
  </si>
  <si>
    <t xml:space="preserve">클라우드북스</t>
  </si>
  <si>
    <r>
      <rPr>
        <sz val="10"/>
        <rFont val="나눔고딕"/>
        <family val="2"/>
      </rPr>
      <t xml:space="preserve">이지파이썬 </t>
    </r>
    <r>
      <rPr>
        <sz val="10"/>
        <rFont val="Arial"/>
        <family val="0"/>
        <charset val="1"/>
      </rPr>
      <t xml:space="preserve">1</t>
    </r>
  </si>
  <si>
    <t xml:space="preserve">코드 밖 커뮤니케이션</t>
  </si>
  <si>
    <r>
      <rPr>
        <sz val="10"/>
        <rFont val="나눔고딕"/>
        <family val="2"/>
      </rPr>
      <t xml:space="preserve">재퀴 리드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곽지원 역</t>
    </r>
  </si>
  <si>
    <t xml:space="preserve">the AI GRAPHICS</t>
  </si>
  <si>
    <r>
      <rPr>
        <sz val="10"/>
        <rFont val="나눔고딕"/>
        <family val="2"/>
      </rPr>
      <t xml:space="preserve">김성완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김한재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류내원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박상준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이든 저 외 </t>
    </r>
    <r>
      <rPr>
        <sz val="10"/>
        <rFont val="Arial"/>
        <family val="0"/>
        <charset val="1"/>
      </rPr>
      <t xml:space="preserve">7</t>
    </r>
    <r>
      <rPr>
        <sz val="10"/>
        <rFont val="나눔고딕"/>
        <family val="2"/>
      </rPr>
      <t xml:space="preserve">명 정보 더 보기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감추기 김성완 김한재 류내원 박상준 이든 오지훈 윤석장 전혜정 조남경 조지훈 진수지 최돈현</t>
    </r>
  </si>
  <si>
    <t xml:space="preserve">잘 읽히는 보고서 문장의 비밀</t>
  </si>
  <si>
    <t xml:space="preserve">임영균</t>
  </si>
  <si>
    <r>
      <rPr>
        <sz val="10"/>
        <rFont val="Arial"/>
        <family val="0"/>
        <charset val="1"/>
      </rPr>
      <t xml:space="preserve">IT </t>
    </r>
    <r>
      <rPr>
        <sz val="10"/>
        <rFont val="나눔고딕"/>
        <family val="2"/>
      </rPr>
      <t xml:space="preserve">엔지니어를 위한 </t>
    </r>
    <r>
      <rPr>
        <sz val="10"/>
        <rFont val="Arial"/>
        <family val="0"/>
        <charset val="1"/>
      </rPr>
      <t xml:space="preserve">AWS </t>
    </r>
    <r>
      <rPr>
        <sz val="10"/>
        <rFont val="나눔고딕"/>
        <family val="2"/>
      </rPr>
      <t xml:space="preserve">운영의 기본과 노하우</t>
    </r>
  </si>
  <si>
    <r>
      <rPr>
        <sz val="10"/>
        <rFont val="나눔고딕"/>
        <family val="2"/>
      </rPr>
      <t xml:space="preserve">사타케 요이치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야마사키 쇼헤이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오구라 마사루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미네 유스케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서수환 역</t>
    </r>
  </si>
  <si>
    <t xml:space="preserve">유튜브 크리에이터</t>
  </si>
  <si>
    <r>
      <rPr>
        <sz val="10"/>
        <rFont val="나눔고딕"/>
        <family val="2"/>
      </rPr>
      <t xml:space="preserve">챗</t>
    </r>
    <r>
      <rPr>
        <sz val="10"/>
        <rFont val="Arial"/>
        <family val="0"/>
        <charset val="1"/>
      </rPr>
      <t xml:space="preserve">GPT</t>
    </r>
    <r>
      <rPr>
        <sz val="10"/>
        <rFont val="나눔고딕"/>
        <family val="2"/>
      </rPr>
      <t xml:space="preserve">와 함께 배우는 엔트리 마스터하기</t>
    </r>
  </si>
  <si>
    <r>
      <rPr>
        <sz val="10"/>
        <rFont val="나눔고딕"/>
        <family val="2"/>
      </rPr>
      <t xml:space="preserve">김종훈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김현경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김동건</t>
    </r>
  </si>
  <si>
    <t xml:space="preserve">러스트 프로페셔널 코드</t>
  </si>
  <si>
    <r>
      <rPr>
        <sz val="10"/>
        <rFont val="나눔고딕"/>
        <family val="2"/>
      </rPr>
      <t xml:space="preserve">브렌든 매슈스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장연호 역</t>
    </r>
  </si>
  <si>
    <t xml:space="preserve">자기주도 파이썬</t>
  </si>
  <si>
    <t xml:space="preserve">한컴에듀케이션 알고리즘연구소 편</t>
  </si>
  <si>
    <t xml:space="preserve">파이썬 아키텍처 패턴</t>
  </si>
  <si>
    <r>
      <rPr>
        <sz val="10"/>
        <rFont val="나눔고딕"/>
        <family val="2"/>
      </rPr>
      <t xml:space="preserve">제이미 부엘타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김용환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박지현 역</t>
    </r>
  </si>
  <si>
    <t xml:space="preserve">리액트 인터뷰 가이드</t>
  </si>
  <si>
    <r>
      <rPr>
        <sz val="10"/>
        <rFont val="나눔고딕"/>
        <family val="2"/>
      </rPr>
      <t xml:space="preserve">수디르 조나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앤드류 바이스덴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김용찬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강주희 역</t>
    </r>
  </si>
  <si>
    <t xml:space="preserve">컴선생 여우님 컴퓨터와 진탕놀기</t>
  </si>
  <si>
    <r>
      <rPr>
        <sz val="10"/>
        <rFont val="나눔고딕"/>
        <family val="2"/>
      </rPr>
      <t xml:space="preserve">컴선생 여우님 파워포인트 </t>
    </r>
    <r>
      <rPr>
        <sz val="10"/>
        <rFont val="Arial"/>
        <family val="0"/>
        <charset val="1"/>
      </rPr>
      <t xml:space="preserve">2021</t>
    </r>
  </si>
  <si>
    <t xml:space="preserve">프롬프트 엔지니어의 업무일지</t>
  </si>
  <si>
    <r>
      <rPr>
        <sz val="10"/>
        <rFont val="나눔고딕"/>
        <family val="2"/>
      </rPr>
      <t xml:space="preserve">범죄와 </t>
    </r>
    <r>
      <rPr>
        <sz val="10"/>
        <rFont val="Arial"/>
        <family val="0"/>
        <charset val="1"/>
      </rPr>
      <t xml:space="preserve">AI</t>
    </r>
  </si>
  <si>
    <t xml:space="preserve">정혜욱</t>
  </si>
  <si>
    <t xml:space="preserve">게임 밸런스 수치 기획 바이블</t>
  </si>
  <si>
    <r>
      <rPr>
        <sz val="10"/>
        <rFont val="나눔고딕"/>
        <family val="2"/>
      </rPr>
      <t xml:space="preserve">위안자오양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권유라 역</t>
    </r>
  </si>
  <si>
    <t xml:space="preserve">테라폼 쿡북</t>
  </si>
  <si>
    <r>
      <rPr>
        <sz val="10"/>
        <rFont val="나눔고딕"/>
        <family val="2"/>
      </rPr>
      <t xml:space="preserve">미카엘 크리프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강진우 역</t>
    </r>
  </si>
  <si>
    <r>
      <rPr>
        <sz val="10"/>
        <rFont val="나눔고딕"/>
        <family val="2"/>
      </rPr>
      <t xml:space="preserve">만들면서 배우는 인공지능 엔트리와 </t>
    </r>
    <r>
      <rPr>
        <sz val="10"/>
        <rFont val="Arial"/>
        <family val="0"/>
        <charset val="1"/>
      </rPr>
      <t xml:space="preserve">40</t>
    </r>
    <r>
      <rPr>
        <sz val="10"/>
        <rFont val="나눔고딕"/>
        <family val="2"/>
      </rPr>
      <t xml:space="preserve">개의 작품들</t>
    </r>
  </si>
  <si>
    <r>
      <rPr>
        <sz val="10"/>
        <rFont val="나눔고딕"/>
        <family val="2"/>
      </rPr>
      <t xml:space="preserve">전진아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김수연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김종렬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장문철</t>
    </r>
  </si>
  <si>
    <r>
      <rPr>
        <sz val="10"/>
        <rFont val="나눔고딕"/>
        <family val="2"/>
      </rPr>
      <t xml:space="preserve">월 </t>
    </r>
    <r>
      <rPr>
        <sz val="10"/>
        <rFont val="Arial"/>
        <family val="0"/>
        <charset val="1"/>
      </rPr>
      <t xml:space="preserve">20</t>
    </r>
    <r>
      <rPr>
        <sz val="10"/>
        <rFont val="나눔고딕"/>
        <family val="2"/>
      </rPr>
      <t xml:space="preserve">달러로 고용하는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변호사 </t>
    </r>
    <r>
      <rPr>
        <sz val="10"/>
        <rFont val="Arial"/>
        <family val="0"/>
        <charset val="1"/>
      </rPr>
      <t xml:space="preserve">with </t>
    </r>
    <r>
      <rPr>
        <sz val="10"/>
        <rFont val="나눔고딕"/>
        <family val="2"/>
      </rPr>
      <t xml:space="preserve">챗</t>
    </r>
    <r>
      <rPr>
        <sz val="10"/>
        <rFont val="Arial"/>
        <family val="0"/>
        <charset val="1"/>
      </rPr>
      <t xml:space="preserve">GPT</t>
    </r>
  </si>
  <si>
    <t xml:space="preserve">김덕은</t>
  </si>
  <si>
    <r>
      <rPr>
        <sz val="10"/>
        <rFont val="Arial"/>
        <family val="0"/>
        <charset val="1"/>
      </rPr>
      <t xml:space="preserve">MQL4 </t>
    </r>
    <r>
      <rPr>
        <sz val="10"/>
        <rFont val="나눔고딕"/>
        <family val="2"/>
      </rPr>
      <t xml:space="preserve">언어를 활용한 </t>
    </r>
    <r>
      <rPr>
        <sz val="10"/>
        <rFont val="Arial"/>
        <family val="0"/>
        <charset val="1"/>
      </rPr>
      <t xml:space="preserve">EA </t>
    </r>
    <r>
      <rPr>
        <sz val="10"/>
        <rFont val="나눔고딕"/>
        <family val="2"/>
      </rPr>
      <t xml:space="preserve">코딩</t>
    </r>
  </si>
  <si>
    <t xml:space="preserve">김국한</t>
  </si>
  <si>
    <t xml:space="preserve">커맨드라인 러스트</t>
  </si>
  <si>
    <r>
      <rPr>
        <sz val="10"/>
        <rFont val="나눔고딕"/>
        <family val="2"/>
      </rPr>
      <t xml:space="preserve">켄 유엔스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</rPr>
      <t xml:space="preserve">클락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조성만 역</t>
    </r>
  </si>
  <si>
    <t xml:space="preserve">파이썬 시계열 예측 분석</t>
  </si>
  <si>
    <r>
      <rPr>
        <sz val="10"/>
        <rFont val="나눔고딕"/>
        <family val="2"/>
      </rPr>
      <t xml:space="preserve">마르쿠 페이셰이루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동동구 역</t>
    </r>
  </si>
  <si>
    <r>
      <rPr>
        <sz val="10"/>
        <rFont val="나눔고딕"/>
        <family val="2"/>
      </rPr>
      <t xml:space="preserve">명품 </t>
    </r>
    <r>
      <rPr>
        <sz val="10"/>
        <rFont val="Arial"/>
        <family val="0"/>
        <charset val="1"/>
      </rPr>
      <t xml:space="preserve">JAVA Programming</t>
    </r>
  </si>
  <si>
    <r>
      <rPr>
        <sz val="10"/>
        <rFont val="나눔고딕"/>
        <family val="2"/>
      </rPr>
      <t xml:space="preserve">황기태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김효수</t>
    </r>
  </si>
  <si>
    <r>
      <rPr>
        <sz val="10"/>
        <rFont val="나눔고딕"/>
        <family val="2"/>
      </rPr>
      <t xml:space="preserve">파이썬 코딩의 기술 </t>
    </r>
    <r>
      <rPr>
        <sz val="10"/>
        <rFont val="Arial"/>
        <family val="0"/>
        <charset val="1"/>
      </rPr>
      <t xml:space="preserve">51 Better Python Code</t>
    </r>
  </si>
  <si>
    <r>
      <rPr>
        <sz val="10"/>
        <rFont val="나눔고딕"/>
        <family val="2"/>
      </rPr>
      <t xml:space="preserve">데이비드 메르츠 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김진호 역</t>
    </r>
  </si>
  <si>
    <r>
      <rPr>
        <sz val="10"/>
        <rFont val="나눔고딕"/>
        <family val="2"/>
      </rPr>
      <t xml:space="preserve">미라클 </t>
    </r>
    <r>
      <rPr>
        <sz val="10"/>
        <rFont val="Arial"/>
        <family val="0"/>
        <charset val="1"/>
      </rPr>
      <t xml:space="preserve">HTML5+CSS3+</t>
    </r>
    <r>
      <rPr>
        <sz val="10"/>
        <rFont val="나눔고딕"/>
        <family val="2"/>
      </rPr>
      <t xml:space="preserve">자바스크립트</t>
    </r>
  </si>
  <si>
    <r>
      <rPr>
        <sz val="10"/>
        <rFont val="나눔고딕"/>
        <family val="2"/>
      </rPr>
      <t xml:space="preserve">나의 첫 노션 </t>
    </r>
    <r>
      <rPr>
        <sz val="10"/>
        <rFont val="Arial"/>
        <family val="0"/>
        <charset val="1"/>
      </rPr>
      <t xml:space="preserve">Notion </t>
    </r>
    <r>
      <rPr>
        <sz val="10"/>
        <rFont val="나눔고딕"/>
        <family val="2"/>
      </rPr>
      <t xml:space="preserve">마스터북</t>
    </r>
  </si>
  <si>
    <t xml:space="preserve">이유미</t>
  </si>
  <si>
    <t xml:space="preserve">비즈니스북스</t>
  </si>
  <si>
    <t xml:space="preserve">모형 전자공작 아두이노 프로그램편</t>
  </si>
  <si>
    <r>
      <rPr>
        <sz val="10"/>
        <rFont val="나눔고딕"/>
        <family val="2"/>
      </rPr>
      <t xml:space="preserve">박성윤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박철종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</si>
</sst>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&quot; 권&quot;"/>
    <numFmt numFmtId="166" formatCode="\₩#,##0"/>
    <numFmt numFmtId="167" formatCode="#,##0"/>
    <numFmt numFmtId="168" formatCode="0.0%"/>
    <numFmt numFmtId="169" formatCode="0.00"/>
  </numFmts>
  <fonts count="17">
    <font>
      <sz val="11"/>
      <color theme="1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b val="true"/>
      <sz val="18"/>
      <color rgb="FF1F4E78"/>
      <name val="나눔고딕"/>
      <family val="2"/>
    </font>
    <font>
      <sz val="10"/>
      <color rgb="FF595959"/>
      <name val="나눔고딕"/>
      <family val="2"/>
    </font>
    <font>
      <b val="true"/>
      <sz val="16"/>
      <color rgb="FF1F4E78"/>
      <name val="Arial"/>
      <family val="0"/>
      <charset val="1"/>
    </font>
    <font>
      <b val="true"/>
      <sz val="13"/>
      <color rgb="FF000000"/>
      <name val="나눔고딕"/>
      <family val="2"/>
    </font>
    <font>
      <b val="true"/>
      <sz val="11"/>
      <color rgb="FFFFFFFF"/>
      <name val="나눔고딕"/>
      <family val="2"/>
    </font>
    <font>
      <b val="true"/>
      <sz val="11"/>
      <color rgb="FFFFFFFF"/>
      <name val="Arial"/>
      <family val="0"/>
      <charset val="1"/>
    </font>
    <font>
      <sz val="10"/>
      <name val="나눔고딕"/>
      <family val="2"/>
    </font>
    <font>
      <sz val="10"/>
      <name val="Arial"/>
      <family val="0"/>
      <charset val="1"/>
    </font>
    <font>
      <b val="true"/>
      <sz val="18"/>
      <color rgb="FF000000"/>
      <name val="나눔고딕"/>
      <family val="2"/>
    </font>
    <font>
      <sz val="10"/>
      <color rgb="FF000000"/>
      <name val="나눔고딕"/>
      <family val="2"/>
    </font>
    <font>
      <b val="true"/>
      <sz val="10"/>
      <color rgb="FF000000"/>
      <name val="나눔고딕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9F9F9"/>
      </patternFill>
    </fill>
    <fill>
      <patternFill patternType="solid">
        <fgColor rgb="FF1F4E78"/>
        <bgColor rgb="FF003366"/>
      </patternFill>
    </fill>
    <fill>
      <patternFill patternType="solid">
        <fgColor rgb="FFF9FBFD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BFD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주요 출판사별 베스트셀러 등록 도서 수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Dashboard!C9</c:f>
              <c:strCache>
                <c:ptCount val="1"/>
                <c:pt idx="0">
                  <c:v>도서 수 (권)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Dashboard!$B$10:$B$17</c:f>
              <c:strCache>
                <c:ptCount val="8"/>
                <c:pt idx="0">
                  <c:v>한빛미디어</c:v>
                </c:pt>
                <c:pt idx="1">
                  <c:v>길벗</c:v>
                </c:pt>
                <c:pt idx="2">
                  <c:v>제이펍</c:v>
                </c:pt>
                <c:pt idx="3">
                  <c:v>이지스퍼블리싱</c:v>
                </c:pt>
                <c:pt idx="4">
                  <c:v>골든래빗</c:v>
                </c:pt>
                <c:pt idx="5">
                  <c:v>위키북스</c:v>
                </c:pt>
                <c:pt idx="6">
                  <c:v>영진닷컴</c:v>
                </c:pt>
                <c:pt idx="7">
                  <c:v>커뮤니케이션북스</c:v>
                </c:pt>
              </c:strCache>
            </c:strRef>
          </c:cat>
          <c:val>
            <c:numRef>
              <c:f>Dashboard!$C$10:$C$17</c:f>
              <c:numCache>
                <c:formatCode>#,##0</c:formatCode>
                <c:ptCount val="8"/>
                <c:pt idx="0">
                  <c:v>150</c:v>
                </c:pt>
                <c:pt idx="1">
                  <c:v>74</c:v>
                </c:pt>
                <c:pt idx="2">
                  <c:v>51</c:v>
                </c:pt>
                <c:pt idx="3">
                  <c:v>50</c:v>
                </c:pt>
                <c:pt idx="4">
                  <c:v>43</c:v>
                </c:pt>
                <c:pt idx="5">
                  <c:v>36</c:v>
                </c:pt>
                <c:pt idx="6">
                  <c:v>36</c:v>
                </c:pt>
                <c:pt idx="7">
                  <c:v>30</c:v>
                </c:pt>
              </c:numCache>
            </c:numRef>
          </c:val>
        </c:ser>
        <c:gapWidth val="150"/>
        <c:overlap val="0"/>
        <c:axId val="8713549"/>
        <c:axId val="3996448"/>
      </c:barChart>
      <c:catAx>
        <c:axId val="8713549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도서 수 (권)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996448"/>
        <c:crosses val="autoZero"/>
        <c:auto val="1"/>
        <c:lblAlgn val="ctr"/>
        <c:lblOffset val="100"/>
        <c:noMultiLvlLbl val="0"/>
      </c:catAx>
      <c:valAx>
        <c:axId val="39964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출판사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71354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분철 여부별 평균 판매지수 비교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Dashboard!I9</c:f>
              <c:strCache>
                <c:ptCount val="1"/>
                <c:pt idx="0">
                  <c:v>평균 판매지수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Dashboard!$G$10:$G$11</c:f>
              <c:strCache>
                <c:ptCount val="2"/>
                <c:pt idx="0">
                  <c:v>분철 서비스 지원 (Y)</c:v>
                </c:pt>
                <c:pt idx="1">
                  <c:v>분철 서비스 미지원 (N)</c:v>
                </c:pt>
              </c:strCache>
            </c:strRef>
          </c:cat>
          <c:val>
            <c:numRef>
              <c:f>Dashboard!$I$10:$I$11</c:f>
              <c:numCache>
                <c:formatCode>#,##0</c:formatCode>
                <c:ptCount val="2"/>
                <c:pt idx="0">
                  <c:v>8687.81632653061</c:v>
                </c:pt>
                <c:pt idx="1">
                  <c:v>2050.44196951934</c:v>
                </c:pt>
              </c:numCache>
            </c:numRef>
          </c:val>
        </c:ser>
        <c:gapWidth val="150"/>
        <c:overlap val="0"/>
        <c:axId val="20512259"/>
        <c:axId val="86357901"/>
      </c:barChart>
      <c:catAx>
        <c:axId val="205122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분철 여부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357901"/>
        <c:crosses val="autoZero"/>
        <c:auto val="1"/>
        <c:lblAlgn val="ctr"/>
        <c:lblOffset val="100"/>
        <c:noMultiLvlLbl val="0"/>
      </c:catAx>
      <c:valAx>
        <c:axId val="863579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평균 판매지수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51225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0</xdr:rowOff>
    </xdr:from>
    <xdr:to>
      <xdr:col>6</xdr:col>
      <xdr:colOff>42480</xdr:colOff>
      <xdr:row>36</xdr:row>
      <xdr:rowOff>170640</xdr:rowOff>
    </xdr:to>
    <xdr:graphicFrame>
      <xdr:nvGraphicFramePr>
        <xdr:cNvPr id="1" name="Chart 1"/>
        <xdr:cNvGraphicFramePr/>
      </xdr:nvGraphicFramePr>
      <xdr:xfrm>
        <a:off x="211320" y="361116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0</xdr:rowOff>
    </xdr:from>
    <xdr:to>
      <xdr:col>9</xdr:col>
      <xdr:colOff>309600</xdr:colOff>
      <xdr:row>37</xdr:row>
      <xdr:rowOff>170640</xdr:rowOff>
    </xdr:to>
    <xdr:graphicFrame>
      <xdr:nvGraphicFramePr>
        <xdr:cNvPr id="2" name="Chart 2"/>
        <xdr:cNvGraphicFramePr/>
      </xdr:nvGraphicFramePr>
      <xdr:xfrm>
        <a:off x="5568480" y="3801600"/>
        <a:ext cx="46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0.87"/>
    <col collapsed="false" customWidth="true" hidden="false" outlineLevel="0" max="3" min="3" style="0" width="13.35"/>
    <col collapsed="false" customWidth="true" hidden="false" outlineLevel="0" max="4" min="4" style="0" width="15.02"/>
    <col collapsed="false" customWidth="true" hidden="false" outlineLevel="0" max="5" min="5" style="0" width="11.68"/>
    <col collapsed="false" customWidth="true" hidden="false" outlineLevel="0" max="6" min="6" style="0" width="2.5"/>
    <col collapsed="false" customWidth="true" hidden="false" outlineLevel="0" max="7" min="7" style="0" width="23.37"/>
    <col collapsed="false" customWidth="true" hidden="false" outlineLevel="0" max="8" min="8" style="0" width="13.35"/>
    <col collapsed="false" customWidth="true" hidden="false" outlineLevel="0" max="9" min="9" style="0" width="15.02"/>
  </cols>
  <sheetData>
    <row r="2" customFormat="false" ht="22.3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2" t="s">
        <v>2</v>
      </c>
      <c r="D4" s="2" t="s">
        <v>3</v>
      </c>
      <c r="E4" s="2" t="s">
        <v>4</v>
      </c>
    </row>
    <row r="5" customFormat="false" ht="19.7" hidden="false" customHeight="false" outlineLevel="0" collapsed="false">
      <c r="B5" s="3" t="n">
        <f aca="false">COUNTA(Data!D:D)-1</f>
        <v>1000</v>
      </c>
      <c r="C5" s="4" t="n">
        <f aca="false">AVERAGE(Data!I:I)</f>
        <v>23479.81</v>
      </c>
      <c r="D5" s="5" t="n">
        <f aca="false">AVERAGE(Data!L:L)</f>
        <v>3026.136</v>
      </c>
      <c r="E5" s="6" t="n">
        <f aca="false">COUNTIF(Data!O:O, "Y")/COUNTA(Data!O:O)</f>
        <v>0.146853146853147</v>
      </c>
    </row>
    <row r="8" customFormat="false" ht="16.15" hidden="false" customHeight="false" outlineLevel="0" collapsed="false">
      <c r="B8" s="7" t="s">
        <v>5</v>
      </c>
      <c r="G8" s="7" t="s">
        <v>6</v>
      </c>
    </row>
    <row r="9" customFormat="false" ht="15" hidden="false" customHeight="false" outlineLevel="0" collapsed="false">
      <c r="B9" s="8" t="s">
        <v>7</v>
      </c>
      <c r="C9" s="8" t="s">
        <v>8</v>
      </c>
      <c r="D9" s="8" t="s">
        <v>9</v>
      </c>
      <c r="E9" s="8" t="s">
        <v>10</v>
      </c>
      <c r="G9" s="8" t="s">
        <v>11</v>
      </c>
      <c r="H9" s="8" t="s">
        <v>8</v>
      </c>
      <c r="I9" s="8" t="s">
        <v>9</v>
      </c>
    </row>
    <row r="10" customFormat="false" ht="15" hidden="false" customHeight="false" outlineLevel="0" collapsed="false">
      <c r="B10" s="9" t="s">
        <v>12</v>
      </c>
      <c r="C10" s="10" t="n">
        <f aca="false">COUNTIF(Data!F:F, "한빛미디어")</f>
        <v>150</v>
      </c>
      <c r="D10" s="10" t="n">
        <f aca="false">AVERAGEIF(Data!F:F, "한빛미디어", Data!L:L)</f>
        <v>4893.08</v>
      </c>
      <c r="E10" s="11" t="n">
        <f aca="false">AVERAGEIF(Data!F:F, "한빛미디어", Data!N:N)</f>
        <v>9.43466666666667</v>
      </c>
      <c r="G10" s="9" t="s">
        <v>13</v>
      </c>
      <c r="H10" s="10" t="n">
        <f aca="false">COUNTIF(Data!O:O, "Y")</f>
        <v>147</v>
      </c>
      <c r="I10" s="10" t="n">
        <f aca="false">AVERAGEIF(Data!O:O, "Y", Data!L:L)</f>
        <v>8687.81632653061</v>
      </c>
    </row>
    <row r="11" customFormat="false" ht="15" hidden="false" customHeight="false" outlineLevel="0" collapsed="false">
      <c r="B11" s="12" t="s">
        <v>14</v>
      </c>
      <c r="C11" s="13" t="n">
        <f aca="false">COUNTIF(Data!F:F, "길벗")</f>
        <v>74</v>
      </c>
      <c r="D11" s="13" t="n">
        <f aca="false">AVERAGEIF(Data!F:F, "길벗", Data!L:L)</f>
        <v>2628.85135135135</v>
      </c>
      <c r="E11" s="14" t="n">
        <f aca="false">AVERAGEIF(Data!F:F, "길벗", Data!N:N)</f>
        <v>9.40135135135135</v>
      </c>
      <c r="G11" s="12" t="s">
        <v>15</v>
      </c>
      <c r="H11" s="13" t="n">
        <f aca="false">COUNTIF(Data!O:O, "N")</f>
        <v>853</v>
      </c>
      <c r="I11" s="13" t="n">
        <f aca="false">AVERAGEIF(Data!O:O, "N", Data!L:L)</f>
        <v>2050.44196951934</v>
      </c>
    </row>
    <row r="12" customFormat="false" ht="15" hidden="false" customHeight="false" outlineLevel="0" collapsed="false">
      <c r="B12" s="9" t="s">
        <v>16</v>
      </c>
      <c r="C12" s="10" t="n">
        <f aca="false">COUNTIF(Data!F:F, "제이펍")</f>
        <v>51</v>
      </c>
      <c r="D12" s="10" t="n">
        <f aca="false">AVERAGEIF(Data!F:F, "제이펍", Data!L:L)</f>
        <v>2900.23529411765</v>
      </c>
      <c r="E12" s="11" t="n">
        <f aca="false">AVERAGEIF(Data!F:F, "제이펍", Data!N:N)</f>
        <v>8.26470588235294</v>
      </c>
    </row>
    <row r="13" customFormat="false" ht="16.15" hidden="false" customHeight="false" outlineLevel="0" collapsed="false">
      <c r="B13" s="12" t="s">
        <v>17</v>
      </c>
      <c r="C13" s="13" t="n">
        <f aca="false">COUNTIF(Data!F:F, "이지스퍼블리싱")</f>
        <v>50</v>
      </c>
      <c r="D13" s="13" t="n">
        <f aca="false">AVERAGEIF(Data!F:F, "이지스퍼블리싱", Data!L:L)</f>
        <v>6937.98</v>
      </c>
      <c r="E13" s="14" t="n">
        <f aca="false">AVERAGEIF(Data!F:F, "이지스퍼블리싱", Data!N:N)</f>
        <v>9.622</v>
      </c>
      <c r="G13" s="7" t="s">
        <v>18</v>
      </c>
    </row>
    <row r="14" customFormat="false" ht="15" hidden="false" customHeight="false" outlineLevel="0" collapsed="false">
      <c r="B14" s="9" t="s">
        <v>19</v>
      </c>
      <c r="C14" s="10" t="n">
        <f aca="false">COUNTIF(Data!F:F, "골든래빗")</f>
        <v>43</v>
      </c>
      <c r="D14" s="10" t="n">
        <f aca="false">AVERAGEIF(Data!F:F, "골든래빗", Data!L:L)</f>
        <v>7490.51162790698</v>
      </c>
      <c r="E14" s="11" t="n">
        <f aca="false">AVERAGEIF(Data!F:F, "골든래빗", Data!N:N)</f>
        <v>8</v>
      </c>
      <c r="G14" s="8" t="s">
        <v>20</v>
      </c>
      <c r="H14" s="8" t="s">
        <v>8</v>
      </c>
      <c r="I14" s="8" t="s">
        <v>9</v>
      </c>
    </row>
    <row r="15" customFormat="false" ht="15" hidden="false" customHeight="false" outlineLevel="0" collapsed="false">
      <c r="B15" s="12" t="s">
        <v>21</v>
      </c>
      <c r="C15" s="13" t="n">
        <f aca="false">COUNTIF(Data!F:F, "위키북스")</f>
        <v>36</v>
      </c>
      <c r="D15" s="13" t="n">
        <f aca="false">AVERAGEIF(Data!F:F, "위키북스", Data!L:L)</f>
        <v>1746.66666666667</v>
      </c>
      <c r="E15" s="14" t="n">
        <f aca="false">AVERAGEIF(Data!F:F, "위키북스", Data!N:N)</f>
        <v>6.14166666666667</v>
      </c>
      <c r="G15" s="15" t="s">
        <v>22</v>
      </c>
      <c r="H15" s="10" t="n">
        <f aca="false">COUNTIF(Data!I:I, "&lt;15000")</f>
        <v>104</v>
      </c>
      <c r="I15" s="10" t="n">
        <f aca="false">AVERAGEIF(Data!I:I, "&lt;15000", Data!L:L)</f>
        <v>1183.21153846154</v>
      </c>
    </row>
    <row r="16" customFormat="false" ht="15" hidden="false" customHeight="false" outlineLevel="0" collapsed="false">
      <c r="B16" s="9" t="s">
        <v>23</v>
      </c>
      <c r="C16" s="10" t="n">
        <f aca="false">COUNTIF(Data!F:F, "영진닷컴")</f>
        <v>36</v>
      </c>
      <c r="D16" s="10" t="n">
        <f aca="false">AVERAGEIF(Data!F:F, "영진닷컴", Data!L:L)</f>
        <v>1244.33333333333</v>
      </c>
      <c r="E16" s="11" t="n">
        <f aca="false">AVERAGEIF(Data!F:F, "영진닷컴", Data!N:N)</f>
        <v>9.31666666666667</v>
      </c>
      <c r="G16" s="16" t="s">
        <v>24</v>
      </c>
      <c r="H16" s="13" t="n">
        <f aca="false">COUNTIFS(Data!I:I, "&gt;=15000", Data!I:I, "&lt;25000")</f>
        <v>534</v>
      </c>
      <c r="I16" s="13" t="n">
        <f aca="false">AVERAGEIFS(Data!L:L, Data!I:I, "&gt;=15000", Data!I:I, "&lt;25000")</f>
        <v>3857.48876404494</v>
      </c>
    </row>
    <row r="17" customFormat="false" ht="15" hidden="false" customHeight="false" outlineLevel="0" collapsed="false">
      <c r="B17" s="12" t="s">
        <v>25</v>
      </c>
      <c r="C17" s="13" t="n">
        <f aca="false">COUNTIF(Data!F:F, "커뮤니케이션북스")</f>
        <v>30</v>
      </c>
      <c r="D17" s="13" t="n">
        <f aca="false">AVERAGEIF(Data!F:F, "커뮤니케이션북스", Data!L:L)</f>
        <v>148.6</v>
      </c>
      <c r="E17" s="14" t="n">
        <f aca="false">AVERAGEIF(Data!F:F, "커뮤니케이션북스", Data!N:N)</f>
        <v>0.333333333333333</v>
      </c>
      <c r="G17" s="15" t="s">
        <v>26</v>
      </c>
      <c r="H17" s="10" t="n">
        <f aca="false">COUNTIFS(Data!I:I, "&gt;=25000", Data!I:I, "&lt;35000")</f>
        <v>269</v>
      </c>
      <c r="I17" s="10" t="n">
        <f aca="false">AVERAGEIFS(Data!L:L, Data!I:I, "&gt;=25000", Data!I:I, "&lt;35000")</f>
        <v>2625.21189591078</v>
      </c>
    </row>
    <row r="18" customFormat="false" ht="15" hidden="false" customHeight="false" outlineLevel="0" collapsed="false">
      <c r="G18" s="16" t="s">
        <v>27</v>
      </c>
      <c r="H18" s="13" t="n">
        <f aca="false">COUNTIF(Data!I:I, "&gt;=35000")</f>
        <v>93</v>
      </c>
      <c r="I18" s="13" t="n">
        <f aca="false">AVERAGEIF(Data!I:I, "&gt;=35000", Data!L:L)</f>
        <v>1473.12903225806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10.02"/>
    <col collapsed="false" customWidth="true" hidden="false" outlineLevel="0" max="2" min="2" style="0" width="9.18"/>
    <col collapsed="false" customWidth="true" hidden="false" outlineLevel="0" max="3" min="3" style="0" width="10.85"/>
    <col collapsed="false" customWidth="true" hidden="false" outlineLevel="0" max="4" min="4" style="0" width="85.96"/>
    <col collapsed="false" customWidth="true" hidden="false" outlineLevel="0" max="5" min="5" style="0" width="98.48"/>
    <col collapsed="false" customWidth="true" hidden="false" outlineLevel="0" max="6" min="6" style="0" width="15.86"/>
    <col collapsed="false" customWidth="true" hidden="false" outlineLevel="0" max="7" min="7" style="0" width="12.52"/>
    <col collapsed="false" customWidth="true" hidden="false" outlineLevel="0" max="8" min="8" style="0" width="13.35"/>
    <col collapsed="false" customWidth="true" hidden="false" outlineLevel="0" max="9" min="9" style="0" width="10.85"/>
    <col collapsed="false" customWidth="true" hidden="false" outlineLevel="0" max="10" min="10" style="0" width="14.19"/>
    <col collapsed="false" customWidth="true" hidden="false" outlineLevel="0" max="11" min="11" style="0" width="9.18"/>
    <col collapsed="false" customWidth="true" hidden="false" outlineLevel="0" max="12" min="12" style="0" width="10.85"/>
    <col collapsed="false" customWidth="true" hidden="false" outlineLevel="0" max="13" min="13" style="0" width="12.52"/>
    <col collapsed="false" customWidth="true" hidden="false" outlineLevel="0" max="14" min="14" style="0" width="9.18"/>
    <col collapsed="false" customWidth="true" hidden="false" outlineLevel="0" max="15" min="15" style="0" width="14.19"/>
  </cols>
  <sheetData>
    <row r="1" customFormat="false" ht="15" hidden="false" customHeight="false" outlineLevel="0" collapsed="false">
      <c r="A1" s="17" t="s">
        <v>28</v>
      </c>
      <c r="B1" s="17" t="s">
        <v>29</v>
      </c>
      <c r="C1" s="17" t="s">
        <v>30</v>
      </c>
      <c r="D1" s="17" t="s">
        <v>31</v>
      </c>
      <c r="E1" s="17" t="s">
        <v>32</v>
      </c>
      <c r="F1" s="17" t="s">
        <v>33</v>
      </c>
      <c r="G1" s="17" t="s">
        <v>34</v>
      </c>
      <c r="H1" s="17" t="s">
        <v>35</v>
      </c>
      <c r="I1" s="17" t="s">
        <v>36</v>
      </c>
      <c r="J1" s="17" t="s">
        <v>37</v>
      </c>
      <c r="K1" s="17" t="s">
        <v>38</v>
      </c>
      <c r="L1" s="17" t="s">
        <v>39</v>
      </c>
      <c r="M1" s="17" t="s">
        <v>40</v>
      </c>
      <c r="N1" s="17" t="s">
        <v>41</v>
      </c>
      <c r="O1" s="17" t="s">
        <v>42</v>
      </c>
    </row>
    <row r="2" customFormat="false" ht="15" hidden="false" customHeight="false" outlineLevel="0" collapsed="false">
      <c r="A2" s="18" t="n">
        <v>167573138</v>
      </c>
      <c r="B2" s="10" t="n">
        <v>1</v>
      </c>
      <c r="C2" s="18" t="s">
        <v>43</v>
      </c>
      <c r="D2" s="9" t="s">
        <v>44</v>
      </c>
      <c r="E2" s="9" t="s">
        <v>45</v>
      </c>
      <c r="F2" s="9" t="s">
        <v>12</v>
      </c>
      <c r="G2" s="10" t="n">
        <v>2025</v>
      </c>
      <c r="H2" s="10" t="n">
        <v>10</v>
      </c>
      <c r="I2" s="19" t="n">
        <v>27000</v>
      </c>
      <c r="J2" s="19" t="n">
        <v>30000</v>
      </c>
      <c r="K2" s="10" t="n">
        <v>1500</v>
      </c>
      <c r="L2" s="10" t="n">
        <v>71388</v>
      </c>
      <c r="M2" s="10" t="n">
        <v>163</v>
      </c>
      <c r="N2" s="11" t="n">
        <v>9.9</v>
      </c>
      <c r="O2" s="18" t="s">
        <v>46</v>
      </c>
    </row>
    <row r="3" customFormat="false" ht="15" hidden="false" customHeight="false" outlineLevel="0" collapsed="false">
      <c r="A3" s="18" t="n">
        <v>176901674</v>
      </c>
      <c r="B3" s="10" t="n">
        <v>2</v>
      </c>
      <c r="C3" s="18" t="s">
        <v>43</v>
      </c>
      <c r="D3" s="9" t="s">
        <v>47</v>
      </c>
      <c r="E3" s="9" t="s">
        <v>48</v>
      </c>
      <c r="F3" s="9" t="s">
        <v>19</v>
      </c>
      <c r="G3" s="10" t="n">
        <v>2026</v>
      </c>
      <c r="H3" s="10" t="n">
        <v>10</v>
      </c>
      <c r="I3" s="19" t="n">
        <v>21600</v>
      </c>
      <c r="J3" s="19" t="n">
        <v>24000</v>
      </c>
      <c r="K3" s="10" t="n">
        <v>1200</v>
      </c>
      <c r="L3" s="10" t="n">
        <v>78003</v>
      </c>
      <c r="M3" s="10" t="n">
        <v>159</v>
      </c>
      <c r="N3" s="11" t="n">
        <v>9.8</v>
      </c>
      <c r="O3" s="18" t="s">
        <v>46</v>
      </c>
    </row>
    <row r="4" customFormat="false" ht="15" hidden="false" customHeight="false" outlineLevel="0" collapsed="false">
      <c r="A4" s="18" t="n">
        <v>189211422</v>
      </c>
      <c r="B4" s="10" t="n">
        <v>3</v>
      </c>
      <c r="C4" s="18" t="s">
        <v>43</v>
      </c>
      <c r="D4" s="9" t="s">
        <v>49</v>
      </c>
      <c r="E4" s="15" t="s">
        <v>50</v>
      </c>
      <c r="F4" s="9" t="s">
        <v>51</v>
      </c>
      <c r="G4" s="10" t="n">
        <v>2026</v>
      </c>
      <c r="H4" s="10" t="n">
        <v>10</v>
      </c>
      <c r="I4" s="19" t="n">
        <v>29700</v>
      </c>
      <c r="J4" s="19" t="n">
        <v>33000</v>
      </c>
      <c r="K4" s="10" t="n">
        <v>1650</v>
      </c>
      <c r="L4" s="10" t="n">
        <v>22863</v>
      </c>
      <c r="M4" s="10" t="n">
        <v>11</v>
      </c>
      <c r="N4" s="11" t="n">
        <v>10</v>
      </c>
      <c r="O4" s="18" t="s">
        <v>46</v>
      </c>
    </row>
    <row r="5" customFormat="false" ht="15" hidden="false" customHeight="false" outlineLevel="0" collapsed="false">
      <c r="A5" s="18" t="n">
        <v>189855418</v>
      </c>
      <c r="B5" s="10" t="n">
        <v>4</v>
      </c>
      <c r="C5" s="18" t="s">
        <v>43</v>
      </c>
      <c r="D5" s="9" t="s">
        <v>52</v>
      </c>
      <c r="E5" s="9" t="s">
        <v>53</v>
      </c>
      <c r="F5" s="9" t="s">
        <v>12</v>
      </c>
      <c r="G5" s="10" t="n">
        <v>2026</v>
      </c>
      <c r="H5" s="10" t="n">
        <v>10</v>
      </c>
      <c r="I5" s="19" t="n">
        <v>27000</v>
      </c>
      <c r="J5" s="19" t="n">
        <v>30000</v>
      </c>
      <c r="K5" s="10" t="n">
        <v>1500</v>
      </c>
      <c r="L5" s="10" t="n">
        <v>14598</v>
      </c>
      <c r="M5" s="10" t="n">
        <v>0</v>
      </c>
      <c r="N5" s="11" t="n">
        <v>0</v>
      </c>
      <c r="O5" s="18" t="s">
        <v>46</v>
      </c>
    </row>
    <row r="6" customFormat="false" ht="15" hidden="false" customHeight="false" outlineLevel="0" collapsed="false">
      <c r="A6" s="18" t="n">
        <v>189114943</v>
      </c>
      <c r="B6" s="10" t="n">
        <v>5</v>
      </c>
      <c r="C6" s="18" t="s">
        <v>43</v>
      </c>
      <c r="D6" s="9" t="s">
        <v>54</v>
      </c>
      <c r="E6" s="9" t="s">
        <v>55</v>
      </c>
      <c r="F6" s="9" t="s">
        <v>19</v>
      </c>
      <c r="G6" s="10" t="n">
        <v>2026</v>
      </c>
      <c r="H6" s="10" t="n">
        <v>10</v>
      </c>
      <c r="I6" s="19" t="n">
        <v>25200</v>
      </c>
      <c r="J6" s="19" t="n">
        <v>28000</v>
      </c>
      <c r="K6" s="10" t="n">
        <v>1400</v>
      </c>
      <c r="L6" s="10" t="n">
        <v>18120</v>
      </c>
      <c r="M6" s="10" t="n">
        <v>1</v>
      </c>
      <c r="N6" s="11" t="n">
        <v>10</v>
      </c>
      <c r="O6" s="18" t="s">
        <v>56</v>
      </c>
    </row>
    <row r="7" customFormat="false" ht="15" hidden="false" customHeight="false" outlineLevel="0" collapsed="false">
      <c r="A7" s="18" t="n">
        <v>189818905</v>
      </c>
      <c r="B7" s="10" t="n">
        <v>6</v>
      </c>
      <c r="C7" s="18" t="s">
        <v>43</v>
      </c>
      <c r="D7" s="9" t="s">
        <v>57</v>
      </c>
      <c r="E7" s="9" t="s">
        <v>58</v>
      </c>
      <c r="F7" s="9" t="s">
        <v>12</v>
      </c>
      <c r="G7" s="10" t="n">
        <v>2026</v>
      </c>
      <c r="H7" s="10" t="n">
        <v>10</v>
      </c>
      <c r="I7" s="19" t="n">
        <v>27000</v>
      </c>
      <c r="J7" s="19" t="n">
        <v>30000</v>
      </c>
      <c r="K7" s="10" t="n">
        <v>1500</v>
      </c>
      <c r="L7" s="10" t="n">
        <v>6846</v>
      </c>
      <c r="M7" s="10" t="n">
        <v>0</v>
      </c>
      <c r="N7" s="11" t="n">
        <v>0</v>
      </c>
      <c r="O7" s="18" t="s">
        <v>56</v>
      </c>
    </row>
    <row r="8" customFormat="false" ht="15" hidden="false" customHeight="false" outlineLevel="0" collapsed="false">
      <c r="A8" s="18" t="n">
        <v>189212536</v>
      </c>
      <c r="B8" s="10" t="n">
        <v>7</v>
      </c>
      <c r="C8" s="18" t="s">
        <v>43</v>
      </c>
      <c r="D8" s="9" t="s">
        <v>59</v>
      </c>
      <c r="E8" s="9" t="s">
        <v>60</v>
      </c>
      <c r="F8" s="9" t="s">
        <v>61</v>
      </c>
      <c r="G8" s="10" t="n">
        <v>2026</v>
      </c>
      <c r="H8" s="10" t="n">
        <v>10</v>
      </c>
      <c r="I8" s="19" t="n">
        <v>18000</v>
      </c>
      <c r="J8" s="19" t="n">
        <v>20000</v>
      </c>
      <c r="K8" s="10" t="n">
        <v>1000</v>
      </c>
      <c r="L8" s="10" t="n">
        <v>9162</v>
      </c>
      <c r="M8" s="10" t="n">
        <v>0</v>
      </c>
      <c r="N8" s="11" t="n">
        <v>0</v>
      </c>
      <c r="O8" s="18" t="s">
        <v>56</v>
      </c>
    </row>
    <row r="9" customFormat="false" ht="15" hidden="false" customHeight="false" outlineLevel="0" collapsed="false">
      <c r="A9" s="18" t="n">
        <v>169849422</v>
      </c>
      <c r="B9" s="10" t="n">
        <v>8</v>
      </c>
      <c r="C9" s="18" t="s">
        <v>43</v>
      </c>
      <c r="D9" s="9" t="s">
        <v>62</v>
      </c>
      <c r="E9" s="9" t="s">
        <v>63</v>
      </c>
      <c r="F9" s="9" t="s">
        <v>64</v>
      </c>
      <c r="G9" s="10" t="n">
        <v>2025</v>
      </c>
      <c r="H9" s="10" t="n">
        <v>10</v>
      </c>
      <c r="I9" s="19" t="n">
        <v>17820</v>
      </c>
      <c r="J9" s="19" t="n">
        <v>19800</v>
      </c>
      <c r="K9" s="10" t="n">
        <v>990</v>
      </c>
      <c r="L9" s="10" t="n">
        <v>37359</v>
      </c>
      <c r="M9" s="10" t="n">
        <v>92</v>
      </c>
      <c r="N9" s="11" t="n">
        <v>10</v>
      </c>
      <c r="O9" s="18" t="s">
        <v>56</v>
      </c>
    </row>
    <row r="10" customFormat="false" ht="15" hidden="false" customHeight="false" outlineLevel="0" collapsed="false">
      <c r="A10" s="18" t="n">
        <v>150566390</v>
      </c>
      <c r="B10" s="10" t="n">
        <v>9</v>
      </c>
      <c r="C10" s="18" t="s">
        <v>43</v>
      </c>
      <c r="D10" s="15" t="s">
        <v>65</v>
      </c>
      <c r="E10" s="9" t="s">
        <v>66</v>
      </c>
      <c r="F10" s="9" t="s">
        <v>67</v>
      </c>
      <c r="G10" s="10" t="n">
        <v>2025</v>
      </c>
      <c r="H10" s="10" t="n">
        <v>10</v>
      </c>
      <c r="I10" s="19" t="n">
        <v>24300</v>
      </c>
      <c r="J10" s="19" t="n">
        <v>27000</v>
      </c>
      <c r="K10" s="10" t="n">
        <v>1350</v>
      </c>
      <c r="L10" s="10" t="n">
        <v>68448</v>
      </c>
      <c r="M10" s="10" t="n">
        <v>60</v>
      </c>
      <c r="N10" s="11" t="n">
        <v>9.5</v>
      </c>
      <c r="O10" s="18" t="s">
        <v>46</v>
      </c>
    </row>
    <row r="11" customFormat="false" ht="15" hidden="false" customHeight="false" outlineLevel="0" collapsed="false">
      <c r="A11" s="18" t="n">
        <v>189114942</v>
      </c>
      <c r="B11" s="10" t="n">
        <v>10</v>
      </c>
      <c r="C11" s="18" t="s">
        <v>43</v>
      </c>
      <c r="D11" s="9" t="s">
        <v>68</v>
      </c>
      <c r="E11" s="9" t="s">
        <v>69</v>
      </c>
      <c r="F11" s="9" t="s">
        <v>19</v>
      </c>
      <c r="G11" s="10" t="n">
        <v>2026</v>
      </c>
      <c r="H11" s="10" t="n">
        <v>10</v>
      </c>
      <c r="I11" s="19" t="n">
        <v>21600</v>
      </c>
      <c r="J11" s="19" t="n">
        <v>24000</v>
      </c>
      <c r="K11" s="10" t="n">
        <v>1200</v>
      </c>
      <c r="L11" s="10" t="n">
        <v>5832</v>
      </c>
      <c r="M11" s="10" t="n">
        <v>0</v>
      </c>
      <c r="N11" s="11" t="n">
        <v>0</v>
      </c>
      <c r="O11" s="18" t="s">
        <v>46</v>
      </c>
    </row>
    <row r="12" customFormat="false" ht="15" hidden="false" customHeight="false" outlineLevel="0" collapsed="false">
      <c r="A12" s="18" t="n">
        <v>186846424</v>
      </c>
      <c r="B12" s="10" t="n">
        <v>11</v>
      </c>
      <c r="C12" s="18" t="s">
        <v>43</v>
      </c>
      <c r="D12" s="9" t="s">
        <v>70</v>
      </c>
      <c r="E12" s="9" t="s">
        <v>71</v>
      </c>
      <c r="F12" s="9" t="s">
        <v>12</v>
      </c>
      <c r="G12" s="10" t="n">
        <v>2026</v>
      </c>
      <c r="H12" s="10" t="n">
        <v>10</v>
      </c>
      <c r="I12" s="19" t="n">
        <v>32400</v>
      </c>
      <c r="J12" s="19" t="n">
        <v>36000</v>
      </c>
      <c r="K12" s="10" t="n">
        <v>1800</v>
      </c>
      <c r="L12" s="10" t="n">
        <v>17472</v>
      </c>
      <c r="M12" s="10" t="n">
        <v>22</v>
      </c>
      <c r="N12" s="11" t="n">
        <v>9.8</v>
      </c>
      <c r="O12" s="18" t="s">
        <v>46</v>
      </c>
    </row>
    <row r="13" customFormat="false" ht="15" hidden="false" customHeight="false" outlineLevel="0" collapsed="false">
      <c r="A13" s="18" t="n">
        <v>183751609</v>
      </c>
      <c r="B13" s="10" t="n">
        <v>12</v>
      </c>
      <c r="C13" s="18" t="s">
        <v>43</v>
      </c>
      <c r="D13" s="9" t="s">
        <v>72</v>
      </c>
      <c r="E13" s="15" t="s">
        <v>73</v>
      </c>
      <c r="F13" s="9" t="s">
        <v>12</v>
      </c>
      <c r="G13" s="10" t="n">
        <v>2026</v>
      </c>
      <c r="H13" s="10" t="n">
        <v>10</v>
      </c>
      <c r="I13" s="19" t="n">
        <v>23400</v>
      </c>
      <c r="J13" s="19" t="n">
        <v>26000</v>
      </c>
      <c r="K13" s="10" t="n">
        <v>1300</v>
      </c>
      <c r="L13" s="10" t="n">
        <v>10959</v>
      </c>
      <c r="M13" s="10" t="n">
        <v>146</v>
      </c>
      <c r="N13" s="11" t="n">
        <v>9.9</v>
      </c>
      <c r="O13" s="18" t="s">
        <v>56</v>
      </c>
    </row>
    <row r="14" customFormat="false" ht="15" hidden="false" customHeight="false" outlineLevel="0" collapsed="false">
      <c r="A14" s="18" t="n">
        <v>185897982</v>
      </c>
      <c r="B14" s="10" t="n">
        <v>13</v>
      </c>
      <c r="C14" s="18" t="s">
        <v>43</v>
      </c>
      <c r="D14" s="9" t="s">
        <v>74</v>
      </c>
      <c r="E14" s="9" t="s">
        <v>75</v>
      </c>
      <c r="F14" s="9" t="s">
        <v>76</v>
      </c>
      <c r="G14" s="10" t="n">
        <v>2026</v>
      </c>
      <c r="H14" s="10" t="n">
        <v>10</v>
      </c>
      <c r="I14" s="19" t="n">
        <v>21600</v>
      </c>
      <c r="J14" s="19" t="n">
        <v>24000</v>
      </c>
      <c r="K14" s="10" t="n">
        <v>1200</v>
      </c>
      <c r="L14" s="10" t="n">
        <v>18243</v>
      </c>
      <c r="M14" s="10" t="n">
        <v>17</v>
      </c>
      <c r="N14" s="11" t="n">
        <v>10</v>
      </c>
      <c r="O14" s="18" t="s">
        <v>46</v>
      </c>
    </row>
    <row r="15" customFormat="false" ht="15" hidden="false" customHeight="false" outlineLevel="0" collapsed="false">
      <c r="A15" s="18" t="n">
        <v>188182444</v>
      </c>
      <c r="B15" s="10" t="n">
        <v>14</v>
      </c>
      <c r="C15" s="18" t="s">
        <v>43</v>
      </c>
      <c r="D15" s="9" t="s">
        <v>77</v>
      </c>
      <c r="E15" s="9" t="s">
        <v>78</v>
      </c>
      <c r="F15" s="9" t="s">
        <v>17</v>
      </c>
      <c r="G15" s="10" t="n">
        <v>2026</v>
      </c>
      <c r="H15" s="10" t="n">
        <v>10</v>
      </c>
      <c r="I15" s="19" t="n">
        <v>19800</v>
      </c>
      <c r="J15" s="19" t="n">
        <v>22000</v>
      </c>
      <c r="K15" s="10" t="n">
        <v>1100</v>
      </c>
      <c r="L15" s="10" t="n">
        <v>10758</v>
      </c>
      <c r="M15" s="10" t="n">
        <v>16</v>
      </c>
      <c r="N15" s="11" t="n">
        <v>10</v>
      </c>
      <c r="O15" s="18" t="s">
        <v>56</v>
      </c>
    </row>
    <row r="16" customFormat="false" ht="15" hidden="false" customHeight="false" outlineLevel="0" collapsed="false">
      <c r="A16" s="18" t="n">
        <v>187927629</v>
      </c>
      <c r="B16" s="10" t="n">
        <v>15</v>
      </c>
      <c r="C16" s="18" t="s">
        <v>43</v>
      </c>
      <c r="D16" s="15" t="s">
        <v>79</v>
      </c>
      <c r="E16" s="9" t="s">
        <v>80</v>
      </c>
      <c r="F16" s="9" t="s">
        <v>81</v>
      </c>
      <c r="G16" s="10" t="n">
        <v>2026</v>
      </c>
      <c r="H16" s="10" t="n">
        <v>10</v>
      </c>
      <c r="I16" s="19" t="n">
        <v>19800</v>
      </c>
      <c r="J16" s="19" t="n">
        <v>22000</v>
      </c>
      <c r="K16" s="10" t="n">
        <v>1100</v>
      </c>
      <c r="L16" s="10" t="n">
        <v>10116</v>
      </c>
      <c r="M16" s="10" t="n">
        <v>12</v>
      </c>
      <c r="N16" s="11" t="n">
        <v>9.7</v>
      </c>
      <c r="O16" s="18" t="s">
        <v>56</v>
      </c>
    </row>
    <row r="17" customFormat="false" ht="15" hidden="false" customHeight="false" outlineLevel="0" collapsed="false">
      <c r="A17" s="18" t="n">
        <v>185166276</v>
      </c>
      <c r="B17" s="10" t="n">
        <v>16</v>
      </c>
      <c r="C17" s="18" t="s">
        <v>43</v>
      </c>
      <c r="D17" s="9" t="s">
        <v>82</v>
      </c>
      <c r="E17" s="9" t="s">
        <v>83</v>
      </c>
      <c r="F17" s="9" t="s">
        <v>19</v>
      </c>
      <c r="G17" s="10" t="n">
        <v>2026</v>
      </c>
      <c r="H17" s="10" t="n">
        <v>10</v>
      </c>
      <c r="I17" s="19" t="n">
        <v>21600</v>
      </c>
      <c r="J17" s="19" t="n">
        <v>24000</v>
      </c>
      <c r="K17" s="10" t="n">
        <v>1200</v>
      </c>
      <c r="L17" s="10" t="n">
        <v>14079</v>
      </c>
      <c r="M17" s="10" t="n">
        <v>9</v>
      </c>
      <c r="N17" s="11" t="n">
        <v>9.8</v>
      </c>
      <c r="O17" s="18" t="s">
        <v>46</v>
      </c>
    </row>
    <row r="18" customFormat="false" ht="15" hidden="false" customHeight="false" outlineLevel="0" collapsed="false">
      <c r="A18" s="18" t="n">
        <v>106711883</v>
      </c>
      <c r="B18" s="10" t="n">
        <v>17</v>
      </c>
      <c r="C18" s="18" t="s">
        <v>43</v>
      </c>
      <c r="D18" s="9" t="s">
        <v>84</v>
      </c>
      <c r="E18" s="9" t="s">
        <v>85</v>
      </c>
      <c r="F18" s="9" t="s">
        <v>16</v>
      </c>
      <c r="G18" s="10" t="n">
        <v>2022</v>
      </c>
      <c r="H18" s="10" t="n">
        <v>10</v>
      </c>
      <c r="I18" s="19" t="n">
        <v>18900</v>
      </c>
      <c r="J18" s="19" t="n">
        <v>21000</v>
      </c>
      <c r="K18" s="10" t="n">
        <v>1050</v>
      </c>
      <c r="L18" s="10" t="n">
        <v>69147</v>
      </c>
      <c r="M18" s="10" t="n">
        <v>388</v>
      </c>
      <c r="N18" s="11" t="n">
        <v>9.8</v>
      </c>
      <c r="O18" s="18" t="s">
        <v>46</v>
      </c>
    </row>
    <row r="19" customFormat="false" ht="15" hidden="false" customHeight="false" outlineLevel="0" collapsed="false">
      <c r="A19" s="18" t="n">
        <v>189674360</v>
      </c>
      <c r="B19" s="10" t="n">
        <v>18</v>
      </c>
      <c r="C19" s="18" t="s">
        <v>43</v>
      </c>
      <c r="D19" s="9" t="s">
        <v>86</v>
      </c>
      <c r="E19" s="9" t="s">
        <v>87</v>
      </c>
      <c r="F19" s="9" t="s">
        <v>88</v>
      </c>
      <c r="G19" s="10" t="n">
        <v>2026</v>
      </c>
      <c r="H19" s="10" t="n">
        <v>10</v>
      </c>
      <c r="I19" s="19" t="n">
        <v>27000</v>
      </c>
      <c r="J19" s="19" t="n">
        <v>30000</v>
      </c>
      <c r="K19" s="10" t="n">
        <v>1500</v>
      </c>
      <c r="L19" s="10" t="n">
        <v>2616</v>
      </c>
      <c r="M19" s="10" t="n">
        <v>0</v>
      </c>
      <c r="N19" s="11" t="n">
        <v>0</v>
      </c>
      <c r="O19" s="18" t="s">
        <v>56</v>
      </c>
    </row>
    <row r="20" customFormat="false" ht="15" hidden="false" customHeight="false" outlineLevel="0" collapsed="false">
      <c r="A20" s="18" t="n">
        <v>119293186</v>
      </c>
      <c r="B20" s="10" t="n">
        <v>19</v>
      </c>
      <c r="C20" s="18" t="s">
        <v>43</v>
      </c>
      <c r="D20" s="15" t="s">
        <v>89</v>
      </c>
      <c r="E20" s="9" t="s">
        <v>90</v>
      </c>
      <c r="F20" s="9" t="s">
        <v>17</v>
      </c>
      <c r="G20" s="10" t="n">
        <v>2023</v>
      </c>
      <c r="H20" s="10" t="n">
        <v>10</v>
      </c>
      <c r="I20" s="19" t="n">
        <v>19800</v>
      </c>
      <c r="J20" s="19" t="n">
        <v>22000</v>
      </c>
      <c r="K20" s="10" t="n">
        <v>1100</v>
      </c>
      <c r="L20" s="10" t="n">
        <v>43893</v>
      </c>
      <c r="M20" s="10" t="n">
        <v>147</v>
      </c>
      <c r="N20" s="11" t="n">
        <v>9.7</v>
      </c>
      <c r="O20" s="18" t="s">
        <v>46</v>
      </c>
    </row>
    <row r="21" customFormat="false" ht="15" hidden="false" customHeight="false" outlineLevel="0" collapsed="false">
      <c r="A21" s="18" t="n">
        <v>183545796</v>
      </c>
      <c r="B21" s="10" t="n">
        <v>20</v>
      </c>
      <c r="C21" s="18" t="s">
        <v>43</v>
      </c>
      <c r="D21" s="9" t="s">
        <v>91</v>
      </c>
      <c r="E21" s="9" t="s">
        <v>92</v>
      </c>
      <c r="F21" s="9" t="s">
        <v>93</v>
      </c>
      <c r="G21" s="10" t="n">
        <v>2026</v>
      </c>
      <c r="H21" s="10" t="n">
        <v>10</v>
      </c>
      <c r="I21" s="19" t="n">
        <v>27000</v>
      </c>
      <c r="J21" s="19" t="n">
        <v>30000</v>
      </c>
      <c r="K21" s="10" t="n">
        <v>1500</v>
      </c>
      <c r="L21" s="10" t="n">
        <v>9513</v>
      </c>
      <c r="M21" s="10" t="n">
        <v>26</v>
      </c>
      <c r="N21" s="11" t="n">
        <v>10</v>
      </c>
      <c r="O21" s="18" t="s">
        <v>56</v>
      </c>
    </row>
    <row r="22" customFormat="false" ht="15" hidden="false" customHeight="false" outlineLevel="0" collapsed="false">
      <c r="A22" s="18" t="n">
        <v>183674597</v>
      </c>
      <c r="B22" s="10" t="n">
        <v>21</v>
      </c>
      <c r="C22" s="18" t="s">
        <v>43</v>
      </c>
      <c r="D22" s="9" t="s">
        <v>94</v>
      </c>
      <c r="E22" s="9" t="s">
        <v>95</v>
      </c>
      <c r="F22" s="9" t="s">
        <v>12</v>
      </c>
      <c r="G22" s="10" t="n">
        <v>2026</v>
      </c>
      <c r="H22" s="10" t="n">
        <v>10</v>
      </c>
      <c r="I22" s="19" t="n">
        <v>23400</v>
      </c>
      <c r="J22" s="19" t="n">
        <v>26000</v>
      </c>
      <c r="K22" s="10" t="n">
        <v>1300</v>
      </c>
      <c r="L22" s="10" t="n">
        <v>15819</v>
      </c>
      <c r="M22" s="10" t="n">
        <v>23</v>
      </c>
      <c r="N22" s="11" t="n">
        <v>9.1</v>
      </c>
      <c r="O22" s="18" t="s">
        <v>56</v>
      </c>
    </row>
    <row r="23" customFormat="false" ht="15" hidden="false" customHeight="false" outlineLevel="0" collapsed="false">
      <c r="A23" s="18" t="n">
        <v>187173505</v>
      </c>
      <c r="B23" s="10" t="n">
        <v>22</v>
      </c>
      <c r="C23" s="18" t="s">
        <v>43</v>
      </c>
      <c r="D23" s="9" t="s">
        <v>96</v>
      </c>
      <c r="E23" s="9" t="s">
        <v>97</v>
      </c>
      <c r="F23" s="9" t="s">
        <v>12</v>
      </c>
      <c r="G23" s="10" t="n">
        <v>2026</v>
      </c>
      <c r="H23" s="10" t="n">
        <v>10</v>
      </c>
      <c r="I23" s="19" t="n">
        <v>19800</v>
      </c>
      <c r="J23" s="19" t="n">
        <v>22000</v>
      </c>
      <c r="K23" s="10" t="n">
        <v>1100</v>
      </c>
      <c r="L23" s="10" t="n">
        <v>7707</v>
      </c>
      <c r="M23" s="10" t="n">
        <v>52</v>
      </c>
      <c r="N23" s="11" t="n">
        <v>10</v>
      </c>
      <c r="O23" s="18" t="s">
        <v>46</v>
      </c>
    </row>
    <row r="24" customFormat="false" ht="15" hidden="false" customHeight="false" outlineLevel="0" collapsed="false">
      <c r="A24" s="18" t="n">
        <v>189531001</v>
      </c>
      <c r="B24" s="10" t="n">
        <v>23</v>
      </c>
      <c r="C24" s="18" t="s">
        <v>43</v>
      </c>
      <c r="D24" s="9" t="s">
        <v>98</v>
      </c>
      <c r="E24" s="9" t="s">
        <v>99</v>
      </c>
      <c r="F24" s="9" t="s">
        <v>100</v>
      </c>
      <c r="G24" s="10" t="n">
        <v>2026</v>
      </c>
      <c r="H24" s="10" t="n">
        <v>10</v>
      </c>
      <c r="I24" s="19" t="n">
        <v>19800</v>
      </c>
      <c r="J24" s="19" t="n">
        <v>22000</v>
      </c>
      <c r="K24" s="10" t="n">
        <v>1100</v>
      </c>
      <c r="L24" s="10" t="n">
        <v>3060</v>
      </c>
      <c r="M24" s="10" t="n">
        <v>0</v>
      </c>
      <c r="N24" s="11" t="n">
        <v>0</v>
      </c>
      <c r="O24" s="18" t="s">
        <v>56</v>
      </c>
    </row>
    <row r="25" customFormat="false" ht="15" hidden="false" customHeight="false" outlineLevel="0" collapsed="false">
      <c r="A25" s="18" t="n">
        <v>190365713</v>
      </c>
      <c r="B25" s="10" t="n">
        <v>24</v>
      </c>
      <c r="C25" s="18" t="s">
        <v>43</v>
      </c>
      <c r="D25" s="9" t="s">
        <v>101</v>
      </c>
      <c r="E25" s="9" t="s">
        <v>102</v>
      </c>
      <c r="F25" s="9" t="s">
        <v>103</v>
      </c>
      <c r="G25" s="10" t="n">
        <v>2026</v>
      </c>
      <c r="H25" s="10" t="n">
        <v>10</v>
      </c>
      <c r="I25" s="19" t="n">
        <v>15120</v>
      </c>
      <c r="J25" s="19" t="n">
        <v>16800</v>
      </c>
      <c r="K25" s="10" t="n">
        <v>840</v>
      </c>
      <c r="L25" s="10" t="n">
        <v>1500</v>
      </c>
      <c r="M25" s="10" t="n">
        <v>16</v>
      </c>
      <c r="N25" s="11" t="n">
        <v>10</v>
      </c>
      <c r="O25" s="18" t="s">
        <v>56</v>
      </c>
    </row>
    <row r="26" customFormat="false" ht="15" hidden="false" customHeight="false" outlineLevel="0" collapsed="false">
      <c r="A26" s="18" t="n">
        <v>184533580</v>
      </c>
      <c r="B26" s="10" t="n">
        <v>25</v>
      </c>
      <c r="C26" s="18" t="s">
        <v>43</v>
      </c>
      <c r="D26" s="9" t="s">
        <v>104</v>
      </c>
      <c r="E26" s="9" t="s">
        <v>105</v>
      </c>
      <c r="F26" s="9" t="s">
        <v>106</v>
      </c>
      <c r="G26" s="10" t="n">
        <v>2026</v>
      </c>
      <c r="H26" s="10" t="n">
        <v>10</v>
      </c>
      <c r="I26" s="19" t="n">
        <v>17100</v>
      </c>
      <c r="J26" s="19" t="n">
        <v>19000</v>
      </c>
      <c r="K26" s="10" t="n">
        <v>950</v>
      </c>
      <c r="L26" s="10" t="n">
        <v>11025</v>
      </c>
      <c r="M26" s="10" t="n">
        <v>13</v>
      </c>
      <c r="N26" s="11" t="n">
        <v>10</v>
      </c>
      <c r="O26" s="18" t="s">
        <v>56</v>
      </c>
    </row>
    <row r="27" customFormat="false" ht="15" hidden="false" customHeight="false" outlineLevel="0" collapsed="false">
      <c r="A27" s="18" t="n">
        <v>189037004</v>
      </c>
      <c r="B27" s="10" t="n">
        <v>26</v>
      </c>
      <c r="C27" s="18" t="s">
        <v>43</v>
      </c>
      <c r="D27" s="9" t="s">
        <v>107</v>
      </c>
      <c r="E27" s="9" t="s">
        <v>108</v>
      </c>
      <c r="F27" s="9" t="s">
        <v>109</v>
      </c>
      <c r="G27" s="10" t="n">
        <v>2026</v>
      </c>
      <c r="H27" s="10" t="n">
        <v>10</v>
      </c>
      <c r="I27" s="19" t="n">
        <v>22500</v>
      </c>
      <c r="J27" s="19" t="n">
        <v>25000</v>
      </c>
      <c r="K27" s="10" t="n">
        <v>1250</v>
      </c>
      <c r="L27" s="10" t="n">
        <v>4059</v>
      </c>
      <c r="M27" s="10" t="n">
        <v>0</v>
      </c>
      <c r="N27" s="11" t="n">
        <v>0</v>
      </c>
      <c r="O27" s="18" t="s">
        <v>56</v>
      </c>
    </row>
    <row r="28" customFormat="false" ht="15" hidden="false" customHeight="false" outlineLevel="0" collapsed="false">
      <c r="A28" s="18" t="n">
        <v>180510836</v>
      </c>
      <c r="B28" s="10" t="n">
        <v>27</v>
      </c>
      <c r="C28" s="18" t="s">
        <v>43</v>
      </c>
      <c r="D28" s="9" t="s">
        <v>110</v>
      </c>
      <c r="E28" s="9" t="s">
        <v>111</v>
      </c>
      <c r="F28" s="9" t="s">
        <v>12</v>
      </c>
      <c r="G28" s="10" t="n">
        <v>2026</v>
      </c>
      <c r="H28" s="10" t="n">
        <v>10</v>
      </c>
      <c r="I28" s="19" t="n">
        <v>19800</v>
      </c>
      <c r="J28" s="19" t="n">
        <v>22000</v>
      </c>
      <c r="K28" s="10" t="n">
        <v>1100</v>
      </c>
      <c r="L28" s="10" t="n">
        <v>12564</v>
      </c>
      <c r="M28" s="10" t="n">
        <v>25</v>
      </c>
      <c r="N28" s="11" t="n">
        <v>9.5</v>
      </c>
      <c r="O28" s="18" t="s">
        <v>56</v>
      </c>
    </row>
    <row r="29" customFormat="false" ht="15" hidden="false" customHeight="false" outlineLevel="0" collapsed="false">
      <c r="A29" s="18" t="n">
        <v>187703288</v>
      </c>
      <c r="B29" s="10" t="n">
        <v>28</v>
      </c>
      <c r="C29" s="18" t="s">
        <v>43</v>
      </c>
      <c r="D29" s="9" t="s">
        <v>112</v>
      </c>
      <c r="E29" s="9" t="s">
        <v>113</v>
      </c>
      <c r="F29" s="9" t="s">
        <v>12</v>
      </c>
      <c r="G29" s="10" t="n">
        <v>2026</v>
      </c>
      <c r="H29" s="10" t="n">
        <v>10</v>
      </c>
      <c r="I29" s="19" t="n">
        <v>33300</v>
      </c>
      <c r="J29" s="19" t="n">
        <v>37000</v>
      </c>
      <c r="K29" s="10" t="n">
        <v>1850</v>
      </c>
      <c r="L29" s="10" t="n">
        <v>4989</v>
      </c>
      <c r="M29" s="10" t="n">
        <v>42</v>
      </c>
      <c r="N29" s="11" t="n">
        <v>10</v>
      </c>
      <c r="O29" s="18" t="s">
        <v>56</v>
      </c>
    </row>
    <row r="30" customFormat="false" ht="15" hidden="false" customHeight="false" outlineLevel="0" collapsed="false">
      <c r="A30" s="18" t="n">
        <v>182134623</v>
      </c>
      <c r="B30" s="10" t="n">
        <v>29</v>
      </c>
      <c r="C30" s="18" t="s">
        <v>43</v>
      </c>
      <c r="D30" s="9" t="s">
        <v>114</v>
      </c>
      <c r="E30" s="9" t="s">
        <v>115</v>
      </c>
      <c r="F30" s="9" t="s">
        <v>116</v>
      </c>
      <c r="G30" s="10" t="n">
        <v>2026</v>
      </c>
      <c r="H30" s="10" t="n">
        <v>10</v>
      </c>
      <c r="I30" s="19" t="n">
        <v>22500</v>
      </c>
      <c r="J30" s="19" t="n">
        <v>25000</v>
      </c>
      <c r="K30" s="10" t="n">
        <v>1250</v>
      </c>
      <c r="L30" s="10" t="n">
        <v>6684</v>
      </c>
      <c r="M30" s="10" t="n">
        <v>34</v>
      </c>
      <c r="N30" s="11" t="n">
        <v>9.9</v>
      </c>
      <c r="O30" s="18" t="s">
        <v>56</v>
      </c>
    </row>
    <row r="31" customFormat="false" ht="15" hidden="false" customHeight="false" outlineLevel="0" collapsed="false">
      <c r="A31" s="18" t="n">
        <v>109625396</v>
      </c>
      <c r="B31" s="10" t="n">
        <v>30</v>
      </c>
      <c r="C31" s="18" t="s">
        <v>43</v>
      </c>
      <c r="D31" s="9" t="s">
        <v>117</v>
      </c>
      <c r="E31" s="9" t="s">
        <v>118</v>
      </c>
      <c r="F31" s="9" t="s">
        <v>12</v>
      </c>
      <c r="G31" s="10" t="n">
        <v>2022</v>
      </c>
      <c r="H31" s="10" t="n">
        <v>10</v>
      </c>
      <c r="I31" s="19" t="n">
        <v>19800</v>
      </c>
      <c r="J31" s="19" t="n">
        <v>22000</v>
      </c>
      <c r="K31" s="10" t="n">
        <v>1100</v>
      </c>
      <c r="L31" s="10" t="n">
        <v>23343</v>
      </c>
      <c r="M31" s="10" t="n">
        <v>104</v>
      </c>
      <c r="N31" s="11" t="n">
        <v>9.4</v>
      </c>
      <c r="O31" s="18" t="s">
        <v>46</v>
      </c>
    </row>
    <row r="32" customFormat="false" ht="15" hidden="false" customHeight="false" outlineLevel="0" collapsed="false">
      <c r="A32" s="18" t="n">
        <v>189287920</v>
      </c>
      <c r="B32" s="10" t="n">
        <v>31</v>
      </c>
      <c r="C32" s="18" t="s">
        <v>43</v>
      </c>
      <c r="D32" s="9" t="s">
        <v>119</v>
      </c>
      <c r="E32" s="9" t="s">
        <v>120</v>
      </c>
      <c r="F32" s="9" t="s">
        <v>121</v>
      </c>
      <c r="G32" s="10" t="n">
        <v>2026</v>
      </c>
      <c r="H32" s="10" t="n">
        <v>10</v>
      </c>
      <c r="I32" s="19" t="n">
        <v>17100</v>
      </c>
      <c r="J32" s="19" t="n">
        <v>19000</v>
      </c>
      <c r="K32" s="10" t="n">
        <v>950</v>
      </c>
      <c r="L32" s="10" t="n">
        <v>1932</v>
      </c>
      <c r="M32" s="10" t="n">
        <v>0</v>
      </c>
      <c r="N32" s="11" t="n">
        <v>0</v>
      </c>
      <c r="O32" s="18" t="s">
        <v>56</v>
      </c>
    </row>
    <row r="33" customFormat="false" ht="15" hidden="false" customHeight="false" outlineLevel="0" collapsed="false">
      <c r="A33" s="18" t="n">
        <v>186833195</v>
      </c>
      <c r="B33" s="10" t="n">
        <v>32</v>
      </c>
      <c r="C33" s="18" t="s">
        <v>43</v>
      </c>
      <c r="D33" s="9" t="s">
        <v>122</v>
      </c>
      <c r="E33" s="9" t="s">
        <v>123</v>
      </c>
      <c r="F33" s="9" t="s">
        <v>124</v>
      </c>
      <c r="G33" s="10" t="n">
        <v>2026</v>
      </c>
      <c r="H33" s="10" t="n">
        <v>10</v>
      </c>
      <c r="I33" s="19" t="n">
        <v>31500</v>
      </c>
      <c r="J33" s="19" t="n">
        <v>35000</v>
      </c>
      <c r="K33" s="10" t="n">
        <v>1750</v>
      </c>
      <c r="L33" s="10" t="n">
        <v>10452</v>
      </c>
      <c r="M33" s="10" t="n">
        <v>12</v>
      </c>
      <c r="N33" s="11" t="n">
        <v>10</v>
      </c>
      <c r="O33" s="18" t="s">
        <v>56</v>
      </c>
    </row>
    <row r="34" customFormat="false" ht="15" hidden="false" customHeight="false" outlineLevel="0" collapsed="false">
      <c r="A34" s="18" t="n">
        <v>188266803</v>
      </c>
      <c r="B34" s="10" t="n">
        <v>33</v>
      </c>
      <c r="C34" s="18" t="s">
        <v>43</v>
      </c>
      <c r="D34" s="15" t="s">
        <v>125</v>
      </c>
      <c r="E34" s="9" t="s">
        <v>126</v>
      </c>
      <c r="F34" s="9" t="s">
        <v>127</v>
      </c>
      <c r="G34" s="10" t="n">
        <v>2026</v>
      </c>
      <c r="H34" s="10" t="n">
        <v>10</v>
      </c>
      <c r="I34" s="19" t="n">
        <v>19800</v>
      </c>
      <c r="J34" s="19" t="n">
        <v>22000</v>
      </c>
      <c r="K34" s="10" t="n">
        <v>1100</v>
      </c>
      <c r="L34" s="10" t="n">
        <v>10104</v>
      </c>
      <c r="M34" s="10" t="n">
        <v>5</v>
      </c>
      <c r="N34" s="11" t="n">
        <v>10</v>
      </c>
      <c r="O34" s="18" t="s">
        <v>56</v>
      </c>
    </row>
    <row r="35" customFormat="false" ht="15" hidden="false" customHeight="false" outlineLevel="0" collapsed="false">
      <c r="A35" s="18" t="n">
        <v>174018513</v>
      </c>
      <c r="B35" s="10" t="n">
        <v>34</v>
      </c>
      <c r="C35" s="18" t="s">
        <v>43</v>
      </c>
      <c r="D35" s="15" t="s">
        <v>128</v>
      </c>
      <c r="E35" s="9" t="s">
        <v>129</v>
      </c>
      <c r="F35" s="9" t="s">
        <v>12</v>
      </c>
      <c r="G35" s="10" t="n">
        <v>2026</v>
      </c>
      <c r="H35" s="10" t="n">
        <v>10</v>
      </c>
      <c r="I35" s="19" t="n">
        <v>28800</v>
      </c>
      <c r="J35" s="19" t="n">
        <v>32000</v>
      </c>
      <c r="K35" s="10" t="n">
        <v>1600</v>
      </c>
      <c r="L35" s="10" t="n">
        <v>11946</v>
      </c>
      <c r="M35" s="10" t="n">
        <v>17</v>
      </c>
      <c r="N35" s="11" t="n">
        <v>9.5</v>
      </c>
      <c r="O35" s="18" t="s">
        <v>56</v>
      </c>
    </row>
    <row r="36" customFormat="false" ht="15" hidden="false" customHeight="false" outlineLevel="0" collapsed="false">
      <c r="A36" s="18" t="n">
        <v>189128697</v>
      </c>
      <c r="B36" s="10" t="n">
        <v>35</v>
      </c>
      <c r="C36" s="18" t="s">
        <v>43</v>
      </c>
      <c r="D36" s="9" t="s">
        <v>130</v>
      </c>
      <c r="E36" s="9" t="s">
        <v>131</v>
      </c>
      <c r="F36" s="9" t="s">
        <v>16</v>
      </c>
      <c r="G36" s="10" t="n">
        <v>2026</v>
      </c>
      <c r="H36" s="10" t="n">
        <v>10</v>
      </c>
      <c r="I36" s="19" t="n">
        <v>19800</v>
      </c>
      <c r="J36" s="19" t="n">
        <v>22000</v>
      </c>
      <c r="K36" s="10" t="n">
        <v>1100</v>
      </c>
      <c r="L36" s="10" t="n">
        <v>5169</v>
      </c>
      <c r="M36" s="10" t="n">
        <v>29</v>
      </c>
      <c r="N36" s="11" t="n">
        <v>9.9</v>
      </c>
      <c r="O36" s="18" t="s">
        <v>56</v>
      </c>
    </row>
    <row r="37" customFormat="false" ht="15" hidden="false" customHeight="false" outlineLevel="0" collapsed="false">
      <c r="A37" s="18" t="n">
        <v>180513899</v>
      </c>
      <c r="B37" s="10" t="n">
        <v>36</v>
      </c>
      <c r="C37" s="18" t="s">
        <v>43</v>
      </c>
      <c r="D37" s="9" t="s">
        <v>132</v>
      </c>
      <c r="E37" s="9" t="s">
        <v>133</v>
      </c>
      <c r="F37" s="9" t="s">
        <v>21</v>
      </c>
      <c r="G37" s="10" t="n">
        <v>2026</v>
      </c>
      <c r="H37" s="10" t="n">
        <v>10</v>
      </c>
      <c r="I37" s="19" t="n">
        <v>23400</v>
      </c>
      <c r="J37" s="19" t="n">
        <v>26000</v>
      </c>
      <c r="K37" s="10" t="n">
        <v>1300</v>
      </c>
      <c r="L37" s="10" t="n">
        <v>16494</v>
      </c>
      <c r="M37" s="10" t="n">
        <v>8</v>
      </c>
      <c r="N37" s="11" t="n">
        <v>9.5</v>
      </c>
      <c r="O37" s="18" t="s">
        <v>46</v>
      </c>
    </row>
    <row r="38" customFormat="false" ht="15" hidden="false" customHeight="false" outlineLevel="0" collapsed="false">
      <c r="A38" s="18" t="n">
        <v>189413191</v>
      </c>
      <c r="B38" s="10" t="n">
        <v>37</v>
      </c>
      <c r="C38" s="18" t="s">
        <v>43</v>
      </c>
      <c r="D38" s="9" t="s">
        <v>134</v>
      </c>
      <c r="E38" s="9" t="s">
        <v>135</v>
      </c>
      <c r="F38" s="9" t="s">
        <v>12</v>
      </c>
      <c r="G38" s="10" t="n">
        <v>2026</v>
      </c>
      <c r="H38" s="10" t="n">
        <v>10</v>
      </c>
      <c r="I38" s="19" t="n">
        <v>19800</v>
      </c>
      <c r="J38" s="19" t="n">
        <v>22000</v>
      </c>
      <c r="K38" s="10" t="n">
        <v>1100</v>
      </c>
      <c r="L38" s="10" t="n">
        <v>3558</v>
      </c>
      <c r="M38" s="10" t="n">
        <v>53</v>
      </c>
      <c r="N38" s="11" t="n">
        <v>10</v>
      </c>
      <c r="O38" s="18" t="s">
        <v>56</v>
      </c>
    </row>
    <row r="39" customFormat="false" ht="15" hidden="false" customHeight="false" outlineLevel="0" collapsed="false">
      <c r="A39" s="18" t="n">
        <v>183538633</v>
      </c>
      <c r="B39" s="10" t="n">
        <v>38</v>
      </c>
      <c r="C39" s="18" t="s">
        <v>43</v>
      </c>
      <c r="D39" s="9" t="s">
        <v>136</v>
      </c>
      <c r="E39" s="9" t="s">
        <v>137</v>
      </c>
      <c r="F39" s="9" t="s">
        <v>12</v>
      </c>
      <c r="G39" s="10" t="n">
        <v>2026</v>
      </c>
      <c r="H39" s="10" t="n">
        <v>10</v>
      </c>
      <c r="I39" s="19" t="n">
        <v>21600</v>
      </c>
      <c r="J39" s="19" t="n">
        <v>24000</v>
      </c>
      <c r="K39" s="10" t="n">
        <v>1200</v>
      </c>
      <c r="L39" s="10" t="n">
        <v>12321</v>
      </c>
      <c r="M39" s="10" t="n">
        <v>123</v>
      </c>
      <c r="N39" s="11" t="n">
        <v>9.9</v>
      </c>
      <c r="O39" s="18" t="s">
        <v>56</v>
      </c>
    </row>
    <row r="40" customFormat="false" ht="15" hidden="false" customHeight="false" outlineLevel="0" collapsed="false">
      <c r="A40" s="18" t="n">
        <v>145426898</v>
      </c>
      <c r="B40" s="10" t="n">
        <v>39</v>
      </c>
      <c r="C40" s="18" t="s">
        <v>43</v>
      </c>
      <c r="D40" s="9" t="s">
        <v>138</v>
      </c>
      <c r="E40" s="9" t="s">
        <v>139</v>
      </c>
      <c r="F40" s="9" t="s">
        <v>12</v>
      </c>
      <c r="G40" s="10" t="n">
        <v>2025</v>
      </c>
      <c r="H40" s="10" t="n">
        <v>10</v>
      </c>
      <c r="I40" s="19" t="n">
        <v>18000</v>
      </c>
      <c r="J40" s="19" t="n">
        <v>20000</v>
      </c>
      <c r="K40" s="10" t="n">
        <v>1000</v>
      </c>
      <c r="L40" s="10" t="n">
        <v>87480</v>
      </c>
      <c r="M40" s="10" t="n">
        <v>65</v>
      </c>
      <c r="N40" s="11" t="n">
        <v>9.8</v>
      </c>
      <c r="O40" s="18" t="s">
        <v>56</v>
      </c>
    </row>
    <row r="41" customFormat="false" ht="15" hidden="false" customHeight="false" outlineLevel="0" collapsed="false">
      <c r="A41" s="18" t="n">
        <v>189520507</v>
      </c>
      <c r="B41" s="10" t="n">
        <v>40</v>
      </c>
      <c r="C41" s="18" t="s">
        <v>43</v>
      </c>
      <c r="D41" s="9" t="s">
        <v>140</v>
      </c>
      <c r="E41" s="9" t="s">
        <v>141</v>
      </c>
      <c r="F41" s="9" t="s">
        <v>17</v>
      </c>
      <c r="G41" s="10" t="n">
        <v>2026</v>
      </c>
      <c r="H41" s="10" t="n">
        <v>10</v>
      </c>
      <c r="I41" s="19" t="n">
        <v>19800</v>
      </c>
      <c r="J41" s="19" t="n">
        <v>22000</v>
      </c>
      <c r="K41" s="10" t="n">
        <v>1100</v>
      </c>
      <c r="L41" s="10" t="n">
        <v>3921</v>
      </c>
      <c r="M41" s="10" t="n">
        <v>9</v>
      </c>
      <c r="N41" s="11" t="n">
        <v>10</v>
      </c>
      <c r="O41" s="18" t="s">
        <v>56</v>
      </c>
    </row>
    <row r="42" customFormat="false" ht="15" hidden="false" customHeight="false" outlineLevel="0" collapsed="false">
      <c r="A42" s="18" t="n">
        <v>140835200</v>
      </c>
      <c r="B42" s="10" t="n">
        <v>41</v>
      </c>
      <c r="C42" s="18" t="s">
        <v>43</v>
      </c>
      <c r="D42" s="9" t="s">
        <v>142</v>
      </c>
      <c r="E42" s="9" t="s">
        <v>48</v>
      </c>
      <c r="F42" s="9" t="s">
        <v>19</v>
      </c>
      <c r="G42" s="10" t="n">
        <v>2025</v>
      </c>
      <c r="H42" s="10" t="n">
        <v>10</v>
      </c>
      <c r="I42" s="19" t="n">
        <v>21600</v>
      </c>
      <c r="J42" s="19" t="n">
        <v>24000</v>
      </c>
      <c r="K42" s="10" t="n">
        <v>1200</v>
      </c>
      <c r="L42" s="10" t="n">
        <v>30015</v>
      </c>
      <c r="M42" s="10" t="n">
        <v>259</v>
      </c>
      <c r="N42" s="11" t="n">
        <v>9.6</v>
      </c>
      <c r="O42" s="18" t="s">
        <v>46</v>
      </c>
    </row>
    <row r="43" customFormat="false" ht="15" hidden="false" customHeight="false" outlineLevel="0" collapsed="false">
      <c r="A43" s="18" t="n">
        <v>189521546</v>
      </c>
      <c r="B43" s="10" t="n">
        <v>42</v>
      </c>
      <c r="C43" s="18" t="s">
        <v>43</v>
      </c>
      <c r="D43" s="15" t="s">
        <v>143</v>
      </c>
      <c r="E43" s="9" t="s">
        <v>144</v>
      </c>
      <c r="F43" s="9" t="s">
        <v>145</v>
      </c>
      <c r="G43" s="10" t="n">
        <v>2026</v>
      </c>
      <c r="H43" s="10" t="n">
        <v>0</v>
      </c>
      <c r="I43" s="19" t="n">
        <v>20000</v>
      </c>
      <c r="J43" s="19" t="n">
        <v>20000</v>
      </c>
      <c r="K43" s="10" t="n">
        <v>0</v>
      </c>
      <c r="L43" s="10" t="n">
        <v>3630</v>
      </c>
      <c r="M43" s="10" t="n">
        <v>37</v>
      </c>
      <c r="N43" s="11" t="n">
        <v>10</v>
      </c>
      <c r="O43" s="18" t="s">
        <v>56</v>
      </c>
    </row>
    <row r="44" customFormat="false" ht="15" hidden="false" customHeight="false" outlineLevel="0" collapsed="false">
      <c r="A44" s="18" t="n">
        <v>190250717</v>
      </c>
      <c r="B44" s="10" t="n">
        <v>43</v>
      </c>
      <c r="C44" s="18" t="s">
        <v>43</v>
      </c>
      <c r="D44" s="15" t="s">
        <v>146</v>
      </c>
      <c r="E44" s="9" t="s">
        <v>147</v>
      </c>
      <c r="F44" s="9" t="s">
        <v>14</v>
      </c>
      <c r="G44" s="10" t="n">
        <v>2026</v>
      </c>
      <c r="H44" s="10" t="n">
        <v>10</v>
      </c>
      <c r="I44" s="19" t="n">
        <v>36000</v>
      </c>
      <c r="J44" s="19" t="n">
        <v>40000</v>
      </c>
      <c r="K44" s="10" t="n">
        <v>2000</v>
      </c>
      <c r="L44" s="10" t="n">
        <v>1128</v>
      </c>
      <c r="M44" s="10" t="n">
        <v>3</v>
      </c>
      <c r="N44" s="11" t="n">
        <v>10</v>
      </c>
      <c r="O44" s="18" t="s">
        <v>56</v>
      </c>
    </row>
    <row r="45" customFormat="false" ht="15" hidden="false" customHeight="false" outlineLevel="0" collapsed="false">
      <c r="A45" s="18" t="n">
        <v>186921504</v>
      </c>
      <c r="B45" s="10" t="n">
        <v>44</v>
      </c>
      <c r="C45" s="18" t="s">
        <v>43</v>
      </c>
      <c r="D45" s="15" t="s">
        <v>148</v>
      </c>
      <c r="E45" s="9" t="s">
        <v>149</v>
      </c>
      <c r="F45" s="9" t="s">
        <v>21</v>
      </c>
      <c r="G45" s="10" t="n">
        <v>2026</v>
      </c>
      <c r="H45" s="10" t="n">
        <v>10</v>
      </c>
      <c r="I45" s="19" t="n">
        <v>37800</v>
      </c>
      <c r="J45" s="19" t="n">
        <v>42000</v>
      </c>
      <c r="K45" s="10" t="n">
        <v>2100</v>
      </c>
      <c r="L45" s="10" t="n">
        <v>6903</v>
      </c>
      <c r="M45" s="10" t="n">
        <v>21</v>
      </c>
      <c r="N45" s="11" t="n">
        <v>9.9</v>
      </c>
      <c r="O45" s="18" t="s">
        <v>46</v>
      </c>
    </row>
    <row r="46" customFormat="false" ht="15" hidden="false" customHeight="false" outlineLevel="0" collapsed="false">
      <c r="A46" s="18" t="n">
        <v>184269953</v>
      </c>
      <c r="B46" s="10" t="n">
        <v>45</v>
      </c>
      <c r="C46" s="18" t="s">
        <v>43</v>
      </c>
      <c r="D46" s="9" t="s">
        <v>150</v>
      </c>
      <c r="E46" s="9" t="s">
        <v>151</v>
      </c>
      <c r="F46" s="9" t="s">
        <v>64</v>
      </c>
      <c r="G46" s="10" t="n">
        <v>2026</v>
      </c>
      <c r="H46" s="10" t="n">
        <v>10</v>
      </c>
      <c r="I46" s="19" t="n">
        <v>16920</v>
      </c>
      <c r="J46" s="19" t="n">
        <v>18800</v>
      </c>
      <c r="K46" s="10" t="n">
        <v>940</v>
      </c>
      <c r="L46" s="10" t="n">
        <v>4341</v>
      </c>
      <c r="M46" s="10" t="n">
        <v>7</v>
      </c>
      <c r="N46" s="11" t="n">
        <v>9.7</v>
      </c>
      <c r="O46" s="18" t="s">
        <v>56</v>
      </c>
    </row>
    <row r="47" customFormat="false" ht="15" hidden="false" customHeight="false" outlineLevel="0" collapsed="false">
      <c r="A47" s="18" t="n">
        <v>143907967</v>
      </c>
      <c r="B47" s="10" t="n">
        <v>46</v>
      </c>
      <c r="C47" s="18" t="s">
        <v>43</v>
      </c>
      <c r="D47" s="9" t="s">
        <v>152</v>
      </c>
      <c r="E47" s="9" t="s">
        <v>153</v>
      </c>
      <c r="F47" s="9" t="s">
        <v>17</v>
      </c>
      <c r="G47" s="10" t="n">
        <v>2025</v>
      </c>
      <c r="H47" s="10" t="n">
        <v>10</v>
      </c>
      <c r="I47" s="19" t="n">
        <v>19800</v>
      </c>
      <c r="J47" s="19" t="n">
        <v>22000</v>
      </c>
      <c r="K47" s="10" t="n">
        <v>1100</v>
      </c>
      <c r="L47" s="10" t="n">
        <v>27948</v>
      </c>
      <c r="M47" s="10" t="n">
        <v>61</v>
      </c>
      <c r="N47" s="11" t="n">
        <v>9.9</v>
      </c>
      <c r="O47" s="18" t="s">
        <v>46</v>
      </c>
    </row>
    <row r="48" customFormat="false" ht="15" hidden="false" customHeight="false" outlineLevel="0" collapsed="false">
      <c r="A48" s="18" t="n">
        <v>187491806</v>
      </c>
      <c r="B48" s="10" t="n">
        <v>47</v>
      </c>
      <c r="C48" s="18" t="s">
        <v>43</v>
      </c>
      <c r="D48" s="9" t="s">
        <v>154</v>
      </c>
      <c r="E48" s="9" t="s">
        <v>155</v>
      </c>
      <c r="F48" s="9" t="s">
        <v>19</v>
      </c>
      <c r="G48" s="10" t="n">
        <v>2026</v>
      </c>
      <c r="H48" s="10" t="n">
        <v>10</v>
      </c>
      <c r="I48" s="19" t="n">
        <v>21600</v>
      </c>
      <c r="J48" s="19" t="n">
        <v>24000</v>
      </c>
      <c r="K48" s="10" t="n">
        <v>1200</v>
      </c>
      <c r="L48" s="10" t="n">
        <v>4821</v>
      </c>
      <c r="M48" s="10" t="n">
        <v>15</v>
      </c>
      <c r="N48" s="11" t="n">
        <v>10</v>
      </c>
      <c r="O48" s="18" t="s">
        <v>56</v>
      </c>
    </row>
    <row r="49" customFormat="false" ht="15" hidden="false" customHeight="false" outlineLevel="0" collapsed="false">
      <c r="A49" s="18" t="n">
        <v>191018764</v>
      </c>
      <c r="B49" s="10" t="n">
        <v>48</v>
      </c>
      <c r="C49" s="18" t="s">
        <v>43</v>
      </c>
      <c r="D49" s="15" t="s">
        <v>156</v>
      </c>
      <c r="E49" s="9" t="s">
        <v>157</v>
      </c>
      <c r="F49" s="9" t="s">
        <v>158</v>
      </c>
      <c r="G49" s="10" t="n">
        <v>2026</v>
      </c>
      <c r="H49" s="10" t="n">
        <v>10</v>
      </c>
      <c r="I49" s="19" t="n">
        <v>18000</v>
      </c>
      <c r="J49" s="19" t="n">
        <v>20000</v>
      </c>
      <c r="K49" s="10" t="n">
        <v>1000</v>
      </c>
      <c r="L49" s="10" t="n">
        <v>840</v>
      </c>
      <c r="M49" s="10" t="n">
        <v>0</v>
      </c>
      <c r="N49" s="11" t="n">
        <v>0</v>
      </c>
      <c r="O49" s="18" t="s">
        <v>56</v>
      </c>
    </row>
    <row r="50" customFormat="false" ht="15" hidden="false" customHeight="false" outlineLevel="0" collapsed="false">
      <c r="A50" s="18" t="n">
        <v>132412221</v>
      </c>
      <c r="B50" s="10" t="n">
        <v>49</v>
      </c>
      <c r="C50" s="18" t="s">
        <v>43</v>
      </c>
      <c r="D50" s="15" t="s">
        <v>159</v>
      </c>
      <c r="E50" s="9" t="s">
        <v>160</v>
      </c>
      <c r="F50" s="9" t="s">
        <v>161</v>
      </c>
      <c r="G50" s="10" t="n">
        <v>2024</v>
      </c>
      <c r="H50" s="10" t="n">
        <v>10</v>
      </c>
      <c r="I50" s="19" t="n">
        <v>12600</v>
      </c>
      <c r="J50" s="19" t="n">
        <v>14000</v>
      </c>
      <c r="K50" s="10" t="n">
        <v>700</v>
      </c>
      <c r="L50" s="10" t="n">
        <v>2946</v>
      </c>
      <c r="M50" s="10" t="n">
        <v>1</v>
      </c>
      <c r="N50" s="11" t="n">
        <v>10</v>
      </c>
      <c r="O50" s="18" t="s">
        <v>56</v>
      </c>
    </row>
    <row r="51" customFormat="false" ht="15" hidden="false" customHeight="false" outlineLevel="0" collapsed="false">
      <c r="A51" s="18" t="n">
        <v>187024885</v>
      </c>
      <c r="B51" s="10" t="n">
        <v>50</v>
      </c>
      <c r="C51" s="18" t="s">
        <v>43</v>
      </c>
      <c r="D51" s="9" t="s">
        <v>162</v>
      </c>
      <c r="E51" s="9" t="s">
        <v>163</v>
      </c>
      <c r="F51" s="9" t="s">
        <v>19</v>
      </c>
      <c r="G51" s="10" t="n">
        <v>2026</v>
      </c>
      <c r="H51" s="10" t="n">
        <v>10</v>
      </c>
      <c r="I51" s="19" t="n">
        <v>23400</v>
      </c>
      <c r="J51" s="19" t="n">
        <v>26000</v>
      </c>
      <c r="K51" s="10" t="n">
        <v>1300</v>
      </c>
      <c r="L51" s="10" t="n">
        <v>4764</v>
      </c>
      <c r="M51" s="10" t="n">
        <v>14</v>
      </c>
      <c r="N51" s="11" t="n">
        <v>9.9</v>
      </c>
      <c r="O51" s="18" t="s">
        <v>46</v>
      </c>
    </row>
    <row r="52" customFormat="false" ht="15" hidden="false" customHeight="false" outlineLevel="0" collapsed="false">
      <c r="A52" s="18" t="n">
        <v>169665962</v>
      </c>
      <c r="B52" s="10" t="n">
        <v>51</v>
      </c>
      <c r="C52" s="18" t="s">
        <v>43</v>
      </c>
      <c r="D52" s="9" t="s">
        <v>164</v>
      </c>
      <c r="E52" s="9" t="s">
        <v>165</v>
      </c>
      <c r="F52" s="9" t="s">
        <v>19</v>
      </c>
      <c r="G52" s="10" t="n">
        <v>2026</v>
      </c>
      <c r="H52" s="10" t="n">
        <v>10</v>
      </c>
      <c r="I52" s="19" t="n">
        <v>23400</v>
      </c>
      <c r="J52" s="19" t="n">
        <v>26000</v>
      </c>
      <c r="K52" s="10" t="n">
        <v>1300</v>
      </c>
      <c r="L52" s="10" t="n">
        <v>7860</v>
      </c>
      <c r="M52" s="10" t="n">
        <v>10</v>
      </c>
      <c r="N52" s="11" t="n">
        <v>10</v>
      </c>
      <c r="O52" s="18" t="s">
        <v>56</v>
      </c>
    </row>
    <row r="53" customFormat="false" ht="15" hidden="false" customHeight="false" outlineLevel="0" collapsed="false">
      <c r="A53" s="18" t="n">
        <v>188600611</v>
      </c>
      <c r="B53" s="10" t="n">
        <v>52</v>
      </c>
      <c r="C53" s="18" t="s">
        <v>43</v>
      </c>
      <c r="D53" s="9" t="s">
        <v>166</v>
      </c>
      <c r="E53" s="9" t="s">
        <v>167</v>
      </c>
      <c r="F53" s="9" t="s">
        <v>19</v>
      </c>
      <c r="G53" s="10" t="n">
        <v>2026</v>
      </c>
      <c r="H53" s="10" t="n">
        <v>10</v>
      </c>
      <c r="I53" s="19" t="n">
        <v>21600</v>
      </c>
      <c r="J53" s="19" t="n">
        <v>24000</v>
      </c>
      <c r="K53" s="10" t="n">
        <v>1200</v>
      </c>
      <c r="L53" s="10" t="n">
        <v>3060</v>
      </c>
      <c r="M53" s="10" t="n">
        <v>96</v>
      </c>
      <c r="N53" s="11" t="n">
        <v>10</v>
      </c>
      <c r="O53" s="18" t="s">
        <v>56</v>
      </c>
    </row>
    <row r="54" customFormat="false" ht="15" hidden="false" customHeight="false" outlineLevel="0" collapsed="false">
      <c r="A54" s="18" t="n">
        <v>187519430</v>
      </c>
      <c r="B54" s="10" t="n">
        <v>53</v>
      </c>
      <c r="C54" s="18" t="s">
        <v>43</v>
      </c>
      <c r="D54" s="9" t="s">
        <v>168</v>
      </c>
      <c r="E54" s="9" t="s">
        <v>169</v>
      </c>
      <c r="F54" s="9" t="s">
        <v>12</v>
      </c>
      <c r="G54" s="10" t="n">
        <v>2026</v>
      </c>
      <c r="H54" s="10" t="n">
        <v>10</v>
      </c>
      <c r="I54" s="19" t="n">
        <v>37800</v>
      </c>
      <c r="J54" s="19" t="n">
        <v>42000</v>
      </c>
      <c r="K54" s="10" t="n">
        <v>2100</v>
      </c>
      <c r="L54" s="10" t="n">
        <v>2631</v>
      </c>
      <c r="M54" s="10" t="n">
        <v>12</v>
      </c>
      <c r="N54" s="11" t="n">
        <v>9.7</v>
      </c>
      <c r="O54" s="18" t="s">
        <v>56</v>
      </c>
    </row>
    <row r="55" customFormat="false" ht="15" hidden="false" customHeight="false" outlineLevel="0" collapsed="false">
      <c r="A55" s="18" t="n">
        <v>175110068</v>
      </c>
      <c r="B55" s="10" t="n">
        <v>54</v>
      </c>
      <c r="C55" s="18" t="s">
        <v>43</v>
      </c>
      <c r="D55" s="9" t="s">
        <v>170</v>
      </c>
      <c r="E55" s="9" t="s">
        <v>171</v>
      </c>
      <c r="F55" s="9" t="s">
        <v>19</v>
      </c>
      <c r="G55" s="10" t="n">
        <v>2026</v>
      </c>
      <c r="H55" s="10" t="n">
        <v>10</v>
      </c>
      <c r="I55" s="19" t="n">
        <v>25200</v>
      </c>
      <c r="J55" s="19" t="n">
        <v>28000</v>
      </c>
      <c r="K55" s="10" t="n">
        <v>1400</v>
      </c>
      <c r="L55" s="10" t="n">
        <v>5091</v>
      </c>
      <c r="M55" s="10" t="n">
        <v>35</v>
      </c>
      <c r="N55" s="11" t="n">
        <v>9.9</v>
      </c>
      <c r="O55" s="18" t="s">
        <v>56</v>
      </c>
    </row>
    <row r="56" customFormat="false" ht="15" hidden="false" customHeight="false" outlineLevel="0" collapsed="false">
      <c r="A56" s="18" t="n">
        <v>163301895</v>
      </c>
      <c r="B56" s="10" t="n">
        <v>55</v>
      </c>
      <c r="C56" s="18" t="s">
        <v>43</v>
      </c>
      <c r="D56" s="9" t="s">
        <v>172</v>
      </c>
      <c r="E56" s="9" t="s">
        <v>173</v>
      </c>
      <c r="F56" s="9" t="s">
        <v>17</v>
      </c>
      <c r="G56" s="10" t="n">
        <v>2025</v>
      </c>
      <c r="H56" s="10" t="n">
        <v>10</v>
      </c>
      <c r="I56" s="19" t="n">
        <v>18000</v>
      </c>
      <c r="J56" s="19" t="n">
        <v>20000</v>
      </c>
      <c r="K56" s="10" t="n">
        <v>1000</v>
      </c>
      <c r="L56" s="10" t="n">
        <v>73566</v>
      </c>
      <c r="M56" s="10" t="n">
        <v>78</v>
      </c>
      <c r="N56" s="11" t="n">
        <v>9.8</v>
      </c>
      <c r="O56" s="18" t="s">
        <v>46</v>
      </c>
    </row>
    <row r="57" customFormat="false" ht="15" hidden="false" customHeight="false" outlineLevel="0" collapsed="false">
      <c r="A57" s="18" t="n">
        <v>146955725</v>
      </c>
      <c r="B57" s="10" t="n">
        <v>56</v>
      </c>
      <c r="C57" s="18" t="s">
        <v>43</v>
      </c>
      <c r="D57" s="9" t="s">
        <v>174</v>
      </c>
      <c r="E57" s="9" t="s">
        <v>175</v>
      </c>
      <c r="F57" s="9" t="s">
        <v>17</v>
      </c>
      <c r="G57" s="10" t="n">
        <v>2025</v>
      </c>
      <c r="H57" s="10" t="n">
        <v>10</v>
      </c>
      <c r="I57" s="19" t="n">
        <v>18000</v>
      </c>
      <c r="J57" s="19" t="n">
        <v>20000</v>
      </c>
      <c r="K57" s="10" t="n">
        <v>1000</v>
      </c>
      <c r="L57" s="10" t="n">
        <v>35010</v>
      </c>
      <c r="M57" s="10" t="n">
        <v>99</v>
      </c>
      <c r="N57" s="11" t="n">
        <v>9.5</v>
      </c>
      <c r="O57" s="18" t="s">
        <v>46</v>
      </c>
    </row>
    <row r="58" customFormat="false" ht="15" hidden="false" customHeight="false" outlineLevel="0" collapsed="false">
      <c r="A58" s="18" t="n">
        <v>185824258</v>
      </c>
      <c r="B58" s="10" t="n">
        <v>57</v>
      </c>
      <c r="C58" s="18" t="s">
        <v>43</v>
      </c>
      <c r="D58" s="9" t="s">
        <v>176</v>
      </c>
      <c r="E58" s="9" t="s">
        <v>177</v>
      </c>
      <c r="F58" s="9" t="s">
        <v>19</v>
      </c>
      <c r="G58" s="10" t="n">
        <v>2026</v>
      </c>
      <c r="H58" s="10" t="n">
        <v>10</v>
      </c>
      <c r="I58" s="19" t="n">
        <v>23220</v>
      </c>
      <c r="J58" s="19" t="n">
        <v>25800</v>
      </c>
      <c r="K58" s="10" t="n">
        <v>1290</v>
      </c>
      <c r="L58" s="10" t="n">
        <v>3090</v>
      </c>
      <c r="M58" s="10" t="n">
        <v>14</v>
      </c>
      <c r="N58" s="11" t="n">
        <v>9.9</v>
      </c>
      <c r="O58" s="18" t="s">
        <v>56</v>
      </c>
    </row>
    <row r="59" customFormat="false" ht="15" hidden="false" customHeight="false" outlineLevel="0" collapsed="false">
      <c r="A59" s="18" t="n">
        <v>190806231</v>
      </c>
      <c r="B59" s="10" t="n">
        <v>58</v>
      </c>
      <c r="C59" s="18" t="s">
        <v>43</v>
      </c>
      <c r="D59" s="9" t="s">
        <v>178</v>
      </c>
      <c r="E59" s="9" t="s">
        <v>179</v>
      </c>
      <c r="F59" s="9" t="s">
        <v>19</v>
      </c>
      <c r="G59" s="10" t="n">
        <v>2026</v>
      </c>
      <c r="H59" s="10" t="n">
        <v>10</v>
      </c>
      <c r="I59" s="19" t="n">
        <v>27000</v>
      </c>
      <c r="J59" s="19" t="n">
        <v>30000</v>
      </c>
      <c r="K59" s="10" t="n">
        <v>1500</v>
      </c>
      <c r="L59" s="10" t="n">
        <v>840</v>
      </c>
      <c r="M59" s="10" t="n">
        <v>0</v>
      </c>
      <c r="N59" s="11" t="n">
        <v>0</v>
      </c>
      <c r="O59" s="18" t="s">
        <v>56</v>
      </c>
    </row>
    <row r="60" customFormat="false" ht="15" hidden="false" customHeight="false" outlineLevel="0" collapsed="false">
      <c r="A60" s="18" t="n">
        <v>189854100</v>
      </c>
      <c r="B60" s="10" t="n">
        <v>59</v>
      </c>
      <c r="C60" s="18" t="s">
        <v>43</v>
      </c>
      <c r="D60" s="15" t="s">
        <v>180</v>
      </c>
      <c r="E60" s="9" t="s">
        <v>181</v>
      </c>
      <c r="F60" s="9" t="s">
        <v>14</v>
      </c>
      <c r="G60" s="10" t="n">
        <v>2026</v>
      </c>
      <c r="H60" s="10" t="n">
        <v>10</v>
      </c>
      <c r="I60" s="19" t="n">
        <v>25200</v>
      </c>
      <c r="J60" s="19" t="n">
        <v>28000</v>
      </c>
      <c r="K60" s="10" t="n">
        <v>1400</v>
      </c>
      <c r="L60" s="10" t="n">
        <v>1098</v>
      </c>
      <c r="M60" s="10" t="n">
        <v>3</v>
      </c>
      <c r="N60" s="11" t="n">
        <v>8.7</v>
      </c>
      <c r="O60" s="18" t="s">
        <v>56</v>
      </c>
    </row>
    <row r="61" customFormat="false" ht="15" hidden="false" customHeight="false" outlineLevel="0" collapsed="false">
      <c r="A61" s="18" t="n">
        <v>189629427</v>
      </c>
      <c r="B61" s="10" t="n">
        <v>60</v>
      </c>
      <c r="C61" s="18" t="s">
        <v>43</v>
      </c>
      <c r="D61" s="9" t="s">
        <v>182</v>
      </c>
      <c r="E61" s="9" t="s">
        <v>183</v>
      </c>
      <c r="F61" s="9" t="s">
        <v>184</v>
      </c>
      <c r="G61" s="10" t="n">
        <v>2026</v>
      </c>
      <c r="H61" s="10" t="n">
        <v>0</v>
      </c>
      <c r="I61" s="19" t="n">
        <v>19000</v>
      </c>
      <c r="J61" s="19" t="n">
        <v>19000</v>
      </c>
      <c r="K61" s="10" t="n">
        <v>0</v>
      </c>
      <c r="L61" s="10" t="n">
        <v>2049</v>
      </c>
      <c r="M61" s="10" t="n">
        <v>23</v>
      </c>
      <c r="N61" s="11" t="n">
        <v>10</v>
      </c>
      <c r="O61" s="18" t="s">
        <v>56</v>
      </c>
    </row>
    <row r="62" customFormat="false" ht="15" hidden="false" customHeight="false" outlineLevel="0" collapsed="false">
      <c r="A62" s="18" t="n">
        <v>189257260</v>
      </c>
      <c r="B62" s="10" t="n">
        <v>61</v>
      </c>
      <c r="C62" s="18" t="s">
        <v>43</v>
      </c>
      <c r="D62" s="9" t="s">
        <v>185</v>
      </c>
      <c r="E62" s="9" t="s">
        <v>186</v>
      </c>
      <c r="F62" s="9" t="s">
        <v>88</v>
      </c>
      <c r="G62" s="10" t="n">
        <v>2026</v>
      </c>
      <c r="H62" s="10" t="n">
        <v>10</v>
      </c>
      <c r="I62" s="19" t="n">
        <v>29700</v>
      </c>
      <c r="J62" s="19" t="n">
        <v>33000</v>
      </c>
      <c r="K62" s="10" t="n">
        <v>1650</v>
      </c>
      <c r="L62" s="10" t="n">
        <v>1650</v>
      </c>
      <c r="M62" s="10" t="n">
        <v>1</v>
      </c>
      <c r="N62" s="11" t="n">
        <v>10</v>
      </c>
      <c r="O62" s="18" t="s">
        <v>56</v>
      </c>
    </row>
    <row r="63" customFormat="false" ht="15" hidden="false" customHeight="false" outlineLevel="0" collapsed="false">
      <c r="A63" s="18" t="n">
        <v>184275427</v>
      </c>
      <c r="B63" s="10" t="n">
        <v>62</v>
      </c>
      <c r="C63" s="18" t="s">
        <v>43</v>
      </c>
      <c r="D63" s="9" t="s">
        <v>187</v>
      </c>
      <c r="E63" s="9" t="s">
        <v>188</v>
      </c>
      <c r="F63" s="9" t="s">
        <v>19</v>
      </c>
      <c r="G63" s="10" t="n">
        <v>2026</v>
      </c>
      <c r="H63" s="10" t="n">
        <v>5</v>
      </c>
      <c r="I63" s="19" t="n">
        <v>23750</v>
      </c>
      <c r="J63" s="19" t="n">
        <v>25000</v>
      </c>
      <c r="K63" s="10" t="n">
        <v>1250</v>
      </c>
      <c r="L63" s="10" t="n">
        <v>5493</v>
      </c>
      <c r="M63" s="10" t="n">
        <v>34</v>
      </c>
      <c r="N63" s="11" t="n">
        <v>9.8</v>
      </c>
      <c r="O63" s="18" t="s">
        <v>46</v>
      </c>
    </row>
    <row r="64" customFormat="false" ht="15" hidden="false" customHeight="false" outlineLevel="0" collapsed="false">
      <c r="A64" s="18" t="n">
        <v>175525819</v>
      </c>
      <c r="B64" s="10" t="n">
        <v>63</v>
      </c>
      <c r="C64" s="18" t="s">
        <v>43</v>
      </c>
      <c r="D64" s="15" t="s">
        <v>189</v>
      </c>
      <c r="E64" s="15" t="s">
        <v>190</v>
      </c>
      <c r="F64" s="9" t="s">
        <v>14</v>
      </c>
      <c r="G64" s="10" t="n">
        <v>2026</v>
      </c>
      <c r="H64" s="10" t="n">
        <v>10</v>
      </c>
      <c r="I64" s="19" t="n">
        <v>28800</v>
      </c>
      <c r="J64" s="19" t="n">
        <v>32000</v>
      </c>
      <c r="K64" s="10" t="n">
        <v>1600</v>
      </c>
      <c r="L64" s="10" t="n">
        <v>7179</v>
      </c>
      <c r="M64" s="10" t="n">
        <v>25</v>
      </c>
      <c r="N64" s="11" t="n">
        <v>9.6</v>
      </c>
      <c r="O64" s="18" t="s">
        <v>56</v>
      </c>
    </row>
    <row r="65" customFormat="false" ht="15" hidden="false" customHeight="false" outlineLevel="0" collapsed="false">
      <c r="A65" s="18" t="n">
        <v>37335066</v>
      </c>
      <c r="B65" s="10" t="n">
        <v>64</v>
      </c>
      <c r="C65" s="18" t="s">
        <v>43</v>
      </c>
      <c r="D65" s="9" t="s">
        <v>191</v>
      </c>
      <c r="E65" s="9" t="s">
        <v>192</v>
      </c>
      <c r="F65" s="9" t="s">
        <v>14</v>
      </c>
      <c r="G65" s="10" t="n">
        <v>2017</v>
      </c>
      <c r="H65" s="10" t="n">
        <v>10</v>
      </c>
      <c r="I65" s="19" t="n">
        <v>19800</v>
      </c>
      <c r="J65" s="19" t="n">
        <v>22000</v>
      </c>
      <c r="K65" s="10" t="n">
        <v>1100</v>
      </c>
      <c r="L65" s="10" t="n">
        <v>4698</v>
      </c>
      <c r="M65" s="10" t="n">
        <v>17</v>
      </c>
      <c r="N65" s="11" t="n">
        <v>8.2</v>
      </c>
      <c r="O65" s="18" t="s">
        <v>56</v>
      </c>
    </row>
    <row r="66" customFormat="false" ht="15" hidden="false" customHeight="false" outlineLevel="0" collapsed="false">
      <c r="A66" s="18" t="n">
        <v>152644865</v>
      </c>
      <c r="B66" s="10" t="n">
        <v>65</v>
      </c>
      <c r="C66" s="18" t="s">
        <v>43</v>
      </c>
      <c r="D66" s="9" t="s">
        <v>193</v>
      </c>
      <c r="E66" s="9" t="s">
        <v>194</v>
      </c>
      <c r="F66" s="9" t="s">
        <v>195</v>
      </c>
      <c r="G66" s="10" t="n">
        <v>2025</v>
      </c>
      <c r="H66" s="10" t="n">
        <v>10</v>
      </c>
      <c r="I66" s="19" t="n">
        <v>18000</v>
      </c>
      <c r="J66" s="19" t="n">
        <v>20000</v>
      </c>
      <c r="K66" s="10" t="n">
        <v>1000</v>
      </c>
      <c r="L66" s="10" t="n">
        <v>19836</v>
      </c>
      <c r="M66" s="10" t="n">
        <v>30</v>
      </c>
      <c r="N66" s="11" t="n">
        <v>9.7</v>
      </c>
      <c r="O66" s="18" t="s">
        <v>56</v>
      </c>
    </row>
    <row r="67" customFormat="false" ht="15" hidden="false" customHeight="false" outlineLevel="0" collapsed="false">
      <c r="A67" s="18" t="n">
        <v>189850864</v>
      </c>
      <c r="B67" s="10" t="n">
        <v>66</v>
      </c>
      <c r="C67" s="18" t="s">
        <v>43</v>
      </c>
      <c r="D67" s="9" t="s">
        <v>196</v>
      </c>
      <c r="E67" s="9" t="s">
        <v>197</v>
      </c>
      <c r="F67" s="9" t="s">
        <v>81</v>
      </c>
      <c r="G67" s="10" t="n">
        <v>2026</v>
      </c>
      <c r="H67" s="10" t="n">
        <v>10</v>
      </c>
      <c r="I67" s="19" t="n">
        <v>18000</v>
      </c>
      <c r="J67" s="19" t="n">
        <v>20000</v>
      </c>
      <c r="K67" s="10" t="n">
        <v>1000</v>
      </c>
      <c r="L67" s="10" t="n">
        <v>1872</v>
      </c>
      <c r="M67" s="10" t="n">
        <v>1</v>
      </c>
      <c r="N67" s="11" t="n">
        <v>10</v>
      </c>
      <c r="O67" s="18" t="s">
        <v>56</v>
      </c>
    </row>
    <row r="68" customFormat="false" ht="15" hidden="false" customHeight="false" outlineLevel="0" collapsed="false">
      <c r="A68" s="18" t="n">
        <v>189823964</v>
      </c>
      <c r="B68" s="10" t="n">
        <v>67</v>
      </c>
      <c r="C68" s="18" t="s">
        <v>43</v>
      </c>
      <c r="D68" s="9" t="s">
        <v>198</v>
      </c>
      <c r="E68" s="9" t="s">
        <v>199</v>
      </c>
      <c r="F68" s="9" t="s">
        <v>19</v>
      </c>
      <c r="G68" s="10" t="n">
        <v>2026</v>
      </c>
      <c r="H68" s="10" t="n">
        <v>10</v>
      </c>
      <c r="I68" s="19" t="n">
        <v>21600</v>
      </c>
      <c r="J68" s="19" t="n">
        <v>24000</v>
      </c>
      <c r="K68" s="10" t="n">
        <v>1200</v>
      </c>
      <c r="L68" s="10" t="n">
        <v>1557</v>
      </c>
      <c r="M68" s="10" t="n">
        <v>0</v>
      </c>
      <c r="N68" s="11" t="n">
        <v>0</v>
      </c>
      <c r="O68" s="18" t="s">
        <v>56</v>
      </c>
    </row>
    <row r="69" customFormat="false" ht="15" hidden="false" customHeight="false" outlineLevel="0" collapsed="false">
      <c r="A69" s="18" t="n">
        <v>183539313</v>
      </c>
      <c r="B69" s="10" t="n">
        <v>68</v>
      </c>
      <c r="C69" s="18" t="s">
        <v>43</v>
      </c>
      <c r="D69" s="15" t="s">
        <v>200</v>
      </c>
      <c r="E69" s="9" t="s">
        <v>201</v>
      </c>
      <c r="F69" s="9" t="s">
        <v>202</v>
      </c>
      <c r="G69" s="10" t="n">
        <v>2026</v>
      </c>
      <c r="H69" s="10" t="n">
        <v>10</v>
      </c>
      <c r="I69" s="19" t="n">
        <v>19800</v>
      </c>
      <c r="J69" s="19" t="n">
        <v>22000</v>
      </c>
      <c r="K69" s="10" t="n">
        <v>1100</v>
      </c>
      <c r="L69" s="10" t="n">
        <v>5352</v>
      </c>
      <c r="M69" s="10" t="n">
        <v>9</v>
      </c>
      <c r="N69" s="11" t="n">
        <v>10</v>
      </c>
      <c r="O69" s="18" t="s">
        <v>56</v>
      </c>
    </row>
    <row r="70" customFormat="false" ht="15" hidden="false" customHeight="false" outlineLevel="0" collapsed="false">
      <c r="A70" s="18" t="n">
        <v>183530330</v>
      </c>
      <c r="B70" s="10" t="n">
        <v>69</v>
      </c>
      <c r="C70" s="18" t="s">
        <v>43</v>
      </c>
      <c r="D70" s="9" t="s">
        <v>203</v>
      </c>
      <c r="E70" s="9" t="s">
        <v>204</v>
      </c>
      <c r="F70" s="9" t="s">
        <v>19</v>
      </c>
      <c r="G70" s="10" t="n">
        <v>2026</v>
      </c>
      <c r="H70" s="10" t="n">
        <v>10</v>
      </c>
      <c r="I70" s="19" t="n">
        <v>27000</v>
      </c>
      <c r="J70" s="19" t="n">
        <v>30000</v>
      </c>
      <c r="K70" s="10" t="n">
        <v>1500</v>
      </c>
      <c r="L70" s="10" t="n">
        <v>3765</v>
      </c>
      <c r="M70" s="10" t="n">
        <v>10</v>
      </c>
      <c r="N70" s="11" t="n">
        <v>10</v>
      </c>
      <c r="O70" s="18" t="s">
        <v>56</v>
      </c>
    </row>
    <row r="71" customFormat="false" ht="15" hidden="false" customHeight="false" outlineLevel="0" collapsed="false">
      <c r="A71" s="18" t="n">
        <v>174048990</v>
      </c>
      <c r="B71" s="10" t="n">
        <v>70</v>
      </c>
      <c r="C71" s="18" t="s">
        <v>43</v>
      </c>
      <c r="D71" s="9" t="s">
        <v>205</v>
      </c>
      <c r="E71" s="15" t="s">
        <v>206</v>
      </c>
      <c r="F71" s="9" t="s">
        <v>195</v>
      </c>
      <c r="G71" s="10" t="n">
        <v>2026</v>
      </c>
      <c r="H71" s="10" t="n">
        <v>10</v>
      </c>
      <c r="I71" s="19" t="n">
        <v>16200</v>
      </c>
      <c r="J71" s="19" t="n">
        <v>18000</v>
      </c>
      <c r="K71" s="10" t="n">
        <v>900</v>
      </c>
      <c r="L71" s="10" t="n">
        <v>4830</v>
      </c>
      <c r="M71" s="10" t="n">
        <v>14</v>
      </c>
      <c r="N71" s="11" t="n">
        <v>10</v>
      </c>
      <c r="O71" s="18" t="s">
        <v>46</v>
      </c>
    </row>
    <row r="72" customFormat="false" ht="15" hidden="false" customHeight="false" outlineLevel="0" collapsed="false">
      <c r="A72" s="18" t="n">
        <v>190216116</v>
      </c>
      <c r="B72" s="10" t="n">
        <v>71</v>
      </c>
      <c r="C72" s="18" t="s">
        <v>43</v>
      </c>
      <c r="D72" s="9" t="s">
        <v>207</v>
      </c>
      <c r="E72" s="9" t="s">
        <v>208</v>
      </c>
      <c r="F72" s="9" t="s">
        <v>14</v>
      </c>
      <c r="G72" s="10" t="n">
        <v>2026</v>
      </c>
      <c r="H72" s="10" t="n">
        <v>10</v>
      </c>
      <c r="I72" s="19" t="n">
        <v>19800</v>
      </c>
      <c r="J72" s="19" t="n">
        <v>22000</v>
      </c>
      <c r="K72" s="10" t="n">
        <v>1100</v>
      </c>
      <c r="L72" s="10" t="n">
        <v>1392</v>
      </c>
      <c r="M72" s="10" t="n">
        <v>1</v>
      </c>
      <c r="N72" s="11" t="n">
        <v>10</v>
      </c>
      <c r="O72" s="18" t="s">
        <v>56</v>
      </c>
    </row>
    <row r="73" customFormat="false" ht="15" hidden="false" customHeight="false" outlineLevel="0" collapsed="false">
      <c r="A73" s="18" t="n">
        <v>189634812</v>
      </c>
      <c r="B73" s="10" t="n">
        <v>72</v>
      </c>
      <c r="C73" s="18" t="s">
        <v>43</v>
      </c>
      <c r="D73" s="9" t="s">
        <v>209</v>
      </c>
      <c r="E73" s="9" t="s">
        <v>210</v>
      </c>
      <c r="F73" s="9" t="s">
        <v>211</v>
      </c>
      <c r="G73" s="10" t="n">
        <v>2026</v>
      </c>
      <c r="H73" s="10" t="n">
        <v>10</v>
      </c>
      <c r="I73" s="19" t="n">
        <v>24300</v>
      </c>
      <c r="J73" s="19" t="n">
        <v>27000</v>
      </c>
      <c r="K73" s="10" t="n">
        <v>1350</v>
      </c>
      <c r="L73" s="10" t="n">
        <v>1623</v>
      </c>
      <c r="M73" s="10" t="n">
        <v>15</v>
      </c>
      <c r="N73" s="11" t="n">
        <v>10</v>
      </c>
      <c r="O73" s="18" t="s">
        <v>56</v>
      </c>
    </row>
    <row r="74" customFormat="false" ht="15" hidden="false" customHeight="false" outlineLevel="0" collapsed="false">
      <c r="A74" s="18" t="n">
        <v>185714339</v>
      </c>
      <c r="B74" s="10" t="n">
        <v>73</v>
      </c>
      <c r="C74" s="18" t="s">
        <v>43</v>
      </c>
      <c r="D74" s="15" t="s">
        <v>212</v>
      </c>
      <c r="E74" s="9" t="s">
        <v>213</v>
      </c>
      <c r="F74" s="9" t="s">
        <v>211</v>
      </c>
      <c r="G74" s="10" t="n">
        <v>2026</v>
      </c>
      <c r="H74" s="10" t="n">
        <v>10</v>
      </c>
      <c r="I74" s="19" t="n">
        <v>22500</v>
      </c>
      <c r="J74" s="19" t="n">
        <v>25000</v>
      </c>
      <c r="K74" s="10" t="n">
        <v>1250</v>
      </c>
      <c r="L74" s="10" t="n">
        <v>3642</v>
      </c>
      <c r="M74" s="10" t="n">
        <v>205</v>
      </c>
      <c r="N74" s="11" t="n">
        <v>9.6</v>
      </c>
      <c r="O74" s="18" t="s">
        <v>56</v>
      </c>
    </row>
    <row r="75" customFormat="false" ht="15" hidden="false" customHeight="false" outlineLevel="0" collapsed="false">
      <c r="A75" s="18" t="n">
        <v>189445450</v>
      </c>
      <c r="B75" s="10" t="n">
        <v>74</v>
      </c>
      <c r="C75" s="18" t="s">
        <v>43</v>
      </c>
      <c r="D75" s="15" t="s">
        <v>214</v>
      </c>
      <c r="E75" s="9" t="s">
        <v>215</v>
      </c>
      <c r="F75" s="9" t="s">
        <v>211</v>
      </c>
      <c r="G75" s="10" t="n">
        <v>2026</v>
      </c>
      <c r="H75" s="10" t="n">
        <v>10</v>
      </c>
      <c r="I75" s="19" t="n">
        <v>27000</v>
      </c>
      <c r="J75" s="19" t="n">
        <v>30000</v>
      </c>
      <c r="K75" s="10" t="n">
        <v>1500</v>
      </c>
      <c r="L75" s="10" t="n">
        <v>1308</v>
      </c>
      <c r="M75" s="10" t="n">
        <v>19</v>
      </c>
      <c r="N75" s="11" t="n">
        <v>10</v>
      </c>
      <c r="O75" s="18" t="s">
        <v>56</v>
      </c>
    </row>
    <row r="76" customFormat="false" ht="15" hidden="false" customHeight="false" outlineLevel="0" collapsed="false">
      <c r="A76" s="18" t="n">
        <v>189188156</v>
      </c>
      <c r="B76" s="10" t="n">
        <v>75</v>
      </c>
      <c r="C76" s="18" t="s">
        <v>43</v>
      </c>
      <c r="D76" s="15" t="s">
        <v>216</v>
      </c>
      <c r="E76" s="9" t="s">
        <v>217</v>
      </c>
      <c r="F76" s="9" t="s">
        <v>17</v>
      </c>
      <c r="G76" s="10" t="n">
        <v>2026</v>
      </c>
      <c r="H76" s="10" t="n">
        <v>10</v>
      </c>
      <c r="I76" s="19" t="n">
        <v>21600</v>
      </c>
      <c r="J76" s="19" t="n">
        <v>24000</v>
      </c>
      <c r="K76" s="10" t="n">
        <v>1200</v>
      </c>
      <c r="L76" s="10" t="n">
        <v>1581</v>
      </c>
      <c r="M76" s="10" t="n">
        <v>6</v>
      </c>
      <c r="N76" s="11" t="n">
        <v>10</v>
      </c>
      <c r="O76" s="18" t="s">
        <v>56</v>
      </c>
    </row>
    <row r="77" customFormat="false" ht="15" hidden="false" customHeight="false" outlineLevel="0" collapsed="false">
      <c r="A77" s="18" t="n">
        <v>188882750</v>
      </c>
      <c r="B77" s="10" t="n">
        <v>76</v>
      </c>
      <c r="C77" s="18" t="s">
        <v>43</v>
      </c>
      <c r="D77" s="9" t="s">
        <v>218</v>
      </c>
      <c r="E77" s="9" t="s">
        <v>219</v>
      </c>
      <c r="F77" s="9" t="s">
        <v>12</v>
      </c>
      <c r="G77" s="10" t="n">
        <v>2026</v>
      </c>
      <c r="H77" s="10" t="n">
        <v>10</v>
      </c>
      <c r="I77" s="19" t="n">
        <v>16200</v>
      </c>
      <c r="J77" s="19" t="n">
        <v>18000</v>
      </c>
      <c r="K77" s="10" t="n">
        <v>900</v>
      </c>
      <c r="L77" s="10" t="n">
        <v>1806</v>
      </c>
      <c r="M77" s="10" t="n">
        <v>9</v>
      </c>
      <c r="N77" s="11" t="n">
        <v>10</v>
      </c>
      <c r="O77" s="18" t="s">
        <v>56</v>
      </c>
    </row>
    <row r="78" customFormat="false" ht="15" hidden="false" customHeight="false" outlineLevel="0" collapsed="false">
      <c r="A78" s="18" t="n">
        <v>187039263</v>
      </c>
      <c r="B78" s="10" t="n">
        <v>77</v>
      </c>
      <c r="C78" s="18" t="s">
        <v>43</v>
      </c>
      <c r="D78" s="9" t="s">
        <v>220</v>
      </c>
      <c r="E78" s="9" t="s">
        <v>221</v>
      </c>
      <c r="F78" s="9" t="s">
        <v>100</v>
      </c>
      <c r="G78" s="10" t="n">
        <v>2026</v>
      </c>
      <c r="H78" s="10" t="n">
        <v>10</v>
      </c>
      <c r="I78" s="19" t="n">
        <v>19800</v>
      </c>
      <c r="J78" s="19" t="n">
        <v>22000</v>
      </c>
      <c r="K78" s="10" t="n">
        <v>1100</v>
      </c>
      <c r="L78" s="10" t="n">
        <v>2823</v>
      </c>
      <c r="M78" s="10" t="n">
        <v>5</v>
      </c>
      <c r="N78" s="11" t="n">
        <v>10</v>
      </c>
      <c r="O78" s="18" t="s">
        <v>56</v>
      </c>
    </row>
    <row r="79" customFormat="false" ht="15" hidden="false" customHeight="false" outlineLevel="0" collapsed="false">
      <c r="A79" s="18" t="n">
        <v>182256559</v>
      </c>
      <c r="B79" s="10" t="n">
        <v>78</v>
      </c>
      <c r="C79" s="18" t="s">
        <v>43</v>
      </c>
      <c r="D79" s="9" t="s">
        <v>222</v>
      </c>
      <c r="E79" s="9" t="s">
        <v>223</v>
      </c>
      <c r="F79" s="9" t="s">
        <v>12</v>
      </c>
      <c r="G79" s="10" t="n">
        <v>2026</v>
      </c>
      <c r="H79" s="10" t="n">
        <v>10</v>
      </c>
      <c r="I79" s="19" t="n">
        <v>17100</v>
      </c>
      <c r="J79" s="19" t="n">
        <v>19000</v>
      </c>
      <c r="K79" s="10" t="n">
        <v>950</v>
      </c>
      <c r="L79" s="10" t="n">
        <v>3306</v>
      </c>
      <c r="M79" s="10" t="n">
        <v>33</v>
      </c>
      <c r="N79" s="11" t="n">
        <v>9.3</v>
      </c>
      <c r="O79" s="18" t="s">
        <v>56</v>
      </c>
    </row>
    <row r="80" customFormat="false" ht="15" hidden="false" customHeight="false" outlineLevel="0" collapsed="false">
      <c r="A80" s="18" t="n">
        <v>180508055</v>
      </c>
      <c r="B80" s="10" t="n">
        <v>79</v>
      </c>
      <c r="C80" s="18" t="s">
        <v>43</v>
      </c>
      <c r="D80" s="9" t="s">
        <v>224</v>
      </c>
      <c r="E80" s="9" t="s">
        <v>153</v>
      </c>
      <c r="F80" s="9" t="s">
        <v>17</v>
      </c>
      <c r="G80" s="10" t="n">
        <v>2026</v>
      </c>
      <c r="H80" s="10" t="n">
        <v>10</v>
      </c>
      <c r="I80" s="19" t="n">
        <v>18900</v>
      </c>
      <c r="J80" s="19" t="n">
        <v>21000</v>
      </c>
      <c r="K80" s="10" t="n">
        <v>1050</v>
      </c>
      <c r="L80" s="10" t="n">
        <v>3606</v>
      </c>
      <c r="M80" s="10" t="n">
        <v>72</v>
      </c>
      <c r="N80" s="11" t="n">
        <v>9.9</v>
      </c>
      <c r="O80" s="18" t="s">
        <v>56</v>
      </c>
    </row>
    <row r="81" customFormat="false" ht="15" hidden="false" customHeight="false" outlineLevel="0" collapsed="false">
      <c r="A81" s="18" t="n">
        <v>174658020</v>
      </c>
      <c r="B81" s="10" t="n">
        <v>80</v>
      </c>
      <c r="C81" s="18" t="s">
        <v>43</v>
      </c>
      <c r="D81" s="9" t="s">
        <v>225</v>
      </c>
      <c r="E81" s="9" t="s">
        <v>226</v>
      </c>
      <c r="F81" s="9" t="s">
        <v>19</v>
      </c>
      <c r="G81" s="10" t="n">
        <v>2026</v>
      </c>
      <c r="H81" s="10" t="n">
        <v>10</v>
      </c>
      <c r="I81" s="19" t="n">
        <v>25200</v>
      </c>
      <c r="J81" s="19" t="n">
        <v>28000</v>
      </c>
      <c r="K81" s="10" t="n">
        <v>1400</v>
      </c>
      <c r="L81" s="10" t="n">
        <v>18756</v>
      </c>
      <c r="M81" s="10" t="n">
        <v>28</v>
      </c>
      <c r="N81" s="11" t="n">
        <v>9.8</v>
      </c>
      <c r="O81" s="18" t="s">
        <v>46</v>
      </c>
    </row>
    <row r="82" customFormat="false" ht="15" hidden="false" customHeight="false" outlineLevel="0" collapsed="false">
      <c r="A82" s="18" t="n">
        <v>151066074</v>
      </c>
      <c r="B82" s="10" t="n">
        <v>81</v>
      </c>
      <c r="C82" s="18" t="s">
        <v>43</v>
      </c>
      <c r="D82" s="9" t="s">
        <v>227</v>
      </c>
      <c r="E82" s="9" t="s">
        <v>228</v>
      </c>
      <c r="F82" s="9" t="s">
        <v>12</v>
      </c>
      <c r="G82" s="10" t="n">
        <v>2025</v>
      </c>
      <c r="H82" s="10" t="n">
        <v>10</v>
      </c>
      <c r="I82" s="19" t="n">
        <v>24300</v>
      </c>
      <c r="J82" s="19" t="n">
        <v>27000</v>
      </c>
      <c r="K82" s="10" t="n">
        <v>1350</v>
      </c>
      <c r="L82" s="10" t="n">
        <v>13251</v>
      </c>
      <c r="M82" s="10" t="n">
        <v>42</v>
      </c>
      <c r="N82" s="11" t="n">
        <v>9.6</v>
      </c>
      <c r="O82" s="18" t="s">
        <v>46</v>
      </c>
    </row>
    <row r="83" customFormat="false" ht="15" hidden="false" customHeight="false" outlineLevel="0" collapsed="false">
      <c r="A83" s="18" t="n">
        <v>189829859</v>
      </c>
      <c r="B83" s="10" t="n">
        <v>82</v>
      </c>
      <c r="C83" s="18" t="s">
        <v>43</v>
      </c>
      <c r="D83" s="15" t="s">
        <v>229</v>
      </c>
      <c r="E83" s="9" t="s">
        <v>230</v>
      </c>
      <c r="F83" s="9" t="s">
        <v>231</v>
      </c>
      <c r="G83" s="10" t="n">
        <v>2026</v>
      </c>
      <c r="H83" s="10" t="n">
        <v>10</v>
      </c>
      <c r="I83" s="19" t="n">
        <v>22500</v>
      </c>
      <c r="J83" s="19" t="n">
        <v>25000</v>
      </c>
      <c r="K83" s="10" t="n">
        <v>1250</v>
      </c>
      <c r="L83" s="10" t="n">
        <v>786</v>
      </c>
      <c r="M83" s="10" t="n">
        <v>0</v>
      </c>
      <c r="N83" s="11" t="n">
        <v>0</v>
      </c>
      <c r="O83" s="18" t="s">
        <v>56</v>
      </c>
    </row>
    <row r="84" customFormat="false" ht="15" hidden="false" customHeight="false" outlineLevel="0" collapsed="false">
      <c r="A84" s="18" t="n">
        <v>190210781</v>
      </c>
      <c r="B84" s="10" t="n">
        <v>83</v>
      </c>
      <c r="C84" s="18" t="s">
        <v>43</v>
      </c>
      <c r="D84" s="9" t="s">
        <v>232</v>
      </c>
      <c r="E84" s="9" t="s">
        <v>233</v>
      </c>
      <c r="F84" s="9" t="s">
        <v>19</v>
      </c>
      <c r="G84" s="10" t="n">
        <v>2026</v>
      </c>
      <c r="H84" s="10" t="n">
        <v>10</v>
      </c>
      <c r="I84" s="19" t="n">
        <v>21600</v>
      </c>
      <c r="J84" s="19" t="n">
        <v>24000</v>
      </c>
      <c r="K84" s="10" t="n">
        <v>1200</v>
      </c>
      <c r="L84" s="10" t="n">
        <v>582</v>
      </c>
      <c r="M84" s="10" t="n">
        <v>0</v>
      </c>
      <c r="N84" s="11" t="n">
        <v>0</v>
      </c>
      <c r="O84" s="18" t="s">
        <v>56</v>
      </c>
    </row>
    <row r="85" customFormat="false" ht="15" hidden="false" customHeight="false" outlineLevel="0" collapsed="false">
      <c r="A85" s="18" t="n">
        <v>189790267</v>
      </c>
      <c r="B85" s="10" t="n">
        <v>84</v>
      </c>
      <c r="C85" s="18" t="s">
        <v>43</v>
      </c>
      <c r="D85" s="15" t="s">
        <v>234</v>
      </c>
      <c r="E85" s="9" t="s">
        <v>235</v>
      </c>
      <c r="F85" s="9" t="s">
        <v>17</v>
      </c>
      <c r="G85" s="10" t="n">
        <v>2026</v>
      </c>
      <c r="H85" s="10" t="n">
        <v>10</v>
      </c>
      <c r="I85" s="19" t="n">
        <v>32400</v>
      </c>
      <c r="J85" s="19" t="n">
        <v>36000</v>
      </c>
      <c r="K85" s="10" t="n">
        <v>1800</v>
      </c>
      <c r="L85" s="10" t="n">
        <v>1044</v>
      </c>
      <c r="M85" s="10" t="n">
        <v>0</v>
      </c>
      <c r="N85" s="11" t="n">
        <v>0</v>
      </c>
      <c r="O85" s="18" t="s">
        <v>56</v>
      </c>
    </row>
    <row r="86" customFormat="false" ht="15" hidden="false" customHeight="false" outlineLevel="0" collapsed="false">
      <c r="A86" s="18" t="n">
        <v>188188392</v>
      </c>
      <c r="B86" s="10" t="n">
        <v>85</v>
      </c>
      <c r="C86" s="18" t="s">
        <v>43</v>
      </c>
      <c r="D86" s="9" t="s">
        <v>236</v>
      </c>
      <c r="E86" s="9" t="s">
        <v>237</v>
      </c>
      <c r="F86" s="9" t="s">
        <v>238</v>
      </c>
      <c r="G86" s="10" t="n">
        <v>2026</v>
      </c>
      <c r="H86" s="10" t="n">
        <v>10</v>
      </c>
      <c r="I86" s="19" t="n">
        <v>17100</v>
      </c>
      <c r="J86" s="19" t="n">
        <v>19000</v>
      </c>
      <c r="K86" s="10" t="n">
        <v>950</v>
      </c>
      <c r="L86" s="10" t="n">
        <v>2976</v>
      </c>
      <c r="M86" s="10" t="n">
        <v>0</v>
      </c>
      <c r="N86" s="11" t="n">
        <v>0</v>
      </c>
      <c r="O86" s="18" t="s">
        <v>56</v>
      </c>
    </row>
    <row r="87" customFormat="false" ht="15" hidden="false" customHeight="false" outlineLevel="0" collapsed="false">
      <c r="A87" s="18" t="n">
        <v>187954810</v>
      </c>
      <c r="B87" s="10" t="n">
        <v>86</v>
      </c>
      <c r="C87" s="18" t="s">
        <v>43</v>
      </c>
      <c r="D87" s="9" t="s">
        <v>239</v>
      </c>
      <c r="E87" s="9" t="s">
        <v>240</v>
      </c>
      <c r="F87" s="9" t="s">
        <v>12</v>
      </c>
      <c r="G87" s="10" t="n">
        <v>2026</v>
      </c>
      <c r="H87" s="10" t="n">
        <v>10</v>
      </c>
      <c r="I87" s="19" t="n">
        <v>19800</v>
      </c>
      <c r="J87" s="19" t="n">
        <v>22000</v>
      </c>
      <c r="K87" s="10" t="n">
        <v>1100</v>
      </c>
      <c r="L87" s="10" t="n">
        <v>2883</v>
      </c>
      <c r="M87" s="10" t="n">
        <v>13</v>
      </c>
      <c r="N87" s="11" t="n">
        <v>10</v>
      </c>
      <c r="O87" s="18" t="s">
        <v>56</v>
      </c>
    </row>
    <row r="88" customFormat="false" ht="15" hidden="false" customHeight="false" outlineLevel="0" collapsed="false">
      <c r="A88" s="18" t="n">
        <v>187222189</v>
      </c>
      <c r="B88" s="10" t="n">
        <v>87</v>
      </c>
      <c r="C88" s="18" t="s">
        <v>43</v>
      </c>
      <c r="D88" s="9" t="s">
        <v>241</v>
      </c>
      <c r="E88" s="9" t="s">
        <v>242</v>
      </c>
      <c r="F88" s="9" t="s">
        <v>12</v>
      </c>
      <c r="G88" s="10" t="n">
        <v>2026</v>
      </c>
      <c r="H88" s="10" t="n">
        <v>10</v>
      </c>
      <c r="I88" s="19" t="n">
        <v>21600</v>
      </c>
      <c r="J88" s="19" t="n">
        <v>24000</v>
      </c>
      <c r="K88" s="10" t="n">
        <v>1200</v>
      </c>
      <c r="L88" s="10" t="n">
        <v>3927</v>
      </c>
      <c r="M88" s="10" t="n">
        <v>102</v>
      </c>
      <c r="N88" s="11" t="n">
        <v>10</v>
      </c>
      <c r="O88" s="18" t="s">
        <v>56</v>
      </c>
    </row>
    <row r="89" customFormat="false" ht="15" hidden="false" customHeight="false" outlineLevel="0" collapsed="false">
      <c r="A89" s="18" t="n">
        <v>179619230</v>
      </c>
      <c r="B89" s="10" t="n">
        <v>88</v>
      </c>
      <c r="C89" s="18" t="s">
        <v>43</v>
      </c>
      <c r="D89" s="9" t="s">
        <v>243</v>
      </c>
      <c r="E89" s="9" t="s">
        <v>244</v>
      </c>
      <c r="F89" s="9" t="s">
        <v>12</v>
      </c>
      <c r="G89" s="10" t="n">
        <v>2026</v>
      </c>
      <c r="H89" s="10" t="n">
        <v>10</v>
      </c>
      <c r="I89" s="19" t="n">
        <v>24300</v>
      </c>
      <c r="J89" s="19" t="n">
        <v>27000</v>
      </c>
      <c r="K89" s="10" t="n">
        <v>1350</v>
      </c>
      <c r="L89" s="10" t="n">
        <v>3204</v>
      </c>
      <c r="M89" s="10" t="n">
        <v>123</v>
      </c>
      <c r="N89" s="11" t="n">
        <v>9.9</v>
      </c>
      <c r="O89" s="18" t="s">
        <v>46</v>
      </c>
    </row>
    <row r="90" customFormat="false" ht="15" hidden="false" customHeight="false" outlineLevel="0" collapsed="false">
      <c r="A90" s="18" t="n">
        <v>172517063</v>
      </c>
      <c r="B90" s="10" t="n">
        <v>89</v>
      </c>
      <c r="C90" s="18" t="s">
        <v>43</v>
      </c>
      <c r="D90" s="9" t="s">
        <v>245</v>
      </c>
      <c r="E90" s="9" t="s">
        <v>246</v>
      </c>
      <c r="F90" s="9" t="s">
        <v>12</v>
      </c>
      <c r="G90" s="10" t="n">
        <v>2026</v>
      </c>
      <c r="H90" s="10" t="n">
        <v>10</v>
      </c>
      <c r="I90" s="19" t="n">
        <v>17100</v>
      </c>
      <c r="J90" s="19" t="n">
        <v>19000</v>
      </c>
      <c r="K90" s="10" t="n">
        <v>950</v>
      </c>
      <c r="L90" s="10" t="n">
        <v>13983</v>
      </c>
      <c r="M90" s="10" t="n">
        <v>43</v>
      </c>
      <c r="N90" s="11" t="n">
        <v>9.5</v>
      </c>
      <c r="O90" s="18" t="s">
        <v>46</v>
      </c>
    </row>
    <row r="91" customFormat="false" ht="15" hidden="false" customHeight="false" outlineLevel="0" collapsed="false">
      <c r="A91" s="18" t="n">
        <v>146036009</v>
      </c>
      <c r="B91" s="10" t="n">
        <v>90</v>
      </c>
      <c r="C91" s="18" t="s">
        <v>43</v>
      </c>
      <c r="D91" s="15" t="s">
        <v>247</v>
      </c>
      <c r="E91" s="9" t="s">
        <v>248</v>
      </c>
      <c r="F91" s="9" t="s">
        <v>17</v>
      </c>
      <c r="G91" s="10" t="n">
        <v>2025</v>
      </c>
      <c r="H91" s="10" t="n">
        <v>10</v>
      </c>
      <c r="I91" s="19" t="n">
        <v>31500</v>
      </c>
      <c r="J91" s="19" t="n">
        <v>35000</v>
      </c>
      <c r="K91" s="10" t="n">
        <v>1750</v>
      </c>
      <c r="L91" s="10" t="n">
        <v>18075</v>
      </c>
      <c r="M91" s="10" t="n">
        <v>22</v>
      </c>
      <c r="N91" s="11" t="n">
        <v>9.7</v>
      </c>
      <c r="O91" s="18" t="s">
        <v>46</v>
      </c>
    </row>
    <row r="92" customFormat="false" ht="15" hidden="false" customHeight="false" outlineLevel="0" collapsed="false">
      <c r="A92" s="18" t="n">
        <v>144979816</v>
      </c>
      <c r="B92" s="10" t="n">
        <v>91</v>
      </c>
      <c r="C92" s="18" t="s">
        <v>43</v>
      </c>
      <c r="D92" s="9" t="s">
        <v>249</v>
      </c>
      <c r="E92" s="9" t="s">
        <v>250</v>
      </c>
      <c r="F92" s="9" t="s">
        <v>251</v>
      </c>
      <c r="G92" s="10" t="n">
        <v>2025</v>
      </c>
      <c r="H92" s="10" t="n">
        <v>10</v>
      </c>
      <c r="I92" s="19" t="n">
        <v>18900</v>
      </c>
      <c r="J92" s="19" t="n">
        <v>21000</v>
      </c>
      <c r="K92" s="10" t="n">
        <v>1050</v>
      </c>
      <c r="L92" s="10" t="n">
        <v>10083</v>
      </c>
      <c r="M92" s="10" t="n">
        <v>11</v>
      </c>
      <c r="N92" s="11" t="n">
        <v>9.8</v>
      </c>
      <c r="O92" s="18" t="s">
        <v>56</v>
      </c>
    </row>
    <row r="93" customFormat="false" ht="15" hidden="false" customHeight="false" outlineLevel="0" collapsed="false">
      <c r="A93" s="18" t="n">
        <v>112941801</v>
      </c>
      <c r="B93" s="10" t="n">
        <v>92</v>
      </c>
      <c r="C93" s="18" t="s">
        <v>43</v>
      </c>
      <c r="D93" s="9" t="s">
        <v>252</v>
      </c>
      <c r="E93" s="9" t="s">
        <v>253</v>
      </c>
      <c r="F93" s="9" t="s">
        <v>254</v>
      </c>
      <c r="G93" s="10" t="n">
        <v>2022</v>
      </c>
      <c r="H93" s="10" t="n">
        <v>10</v>
      </c>
      <c r="I93" s="19" t="n">
        <v>16200</v>
      </c>
      <c r="J93" s="19" t="n">
        <v>18000</v>
      </c>
      <c r="K93" s="10" t="n">
        <v>900</v>
      </c>
      <c r="L93" s="10" t="n">
        <v>15456</v>
      </c>
      <c r="M93" s="10" t="n">
        <v>79</v>
      </c>
      <c r="N93" s="11" t="n">
        <v>9.7</v>
      </c>
      <c r="O93" s="18" t="s">
        <v>46</v>
      </c>
    </row>
    <row r="94" customFormat="false" ht="15" hidden="false" customHeight="false" outlineLevel="0" collapsed="false">
      <c r="A94" s="18" t="n">
        <v>190419762</v>
      </c>
      <c r="B94" s="10" t="n">
        <v>93</v>
      </c>
      <c r="C94" s="18" t="s">
        <v>43</v>
      </c>
      <c r="D94" s="9" t="s">
        <v>255</v>
      </c>
      <c r="E94" s="9" t="s">
        <v>256</v>
      </c>
      <c r="F94" s="9" t="s">
        <v>19</v>
      </c>
      <c r="G94" s="10" t="n">
        <v>2026</v>
      </c>
      <c r="H94" s="10" t="n">
        <v>10</v>
      </c>
      <c r="I94" s="19" t="n">
        <v>22500</v>
      </c>
      <c r="J94" s="19" t="n">
        <v>25000</v>
      </c>
      <c r="K94" s="10" t="n">
        <v>1250</v>
      </c>
      <c r="L94" s="10" t="n">
        <v>720</v>
      </c>
      <c r="M94" s="10" t="n">
        <v>12</v>
      </c>
      <c r="N94" s="11" t="n">
        <v>9.8</v>
      </c>
      <c r="O94" s="18" t="s">
        <v>56</v>
      </c>
    </row>
    <row r="95" customFormat="false" ht="15" hidden="false" customHeight="false" outlineLevel="0" collapsed="false">
      <c r="A95" s="18" t="n">
        <v>188601300</v>
      </c>
      <c r="B95" s="10" t="n">
        <v>94</v>
      </c>
      <c r="C95" s="18" t="s">
        <v>43</v>
      </c>
      <c r="D95" s="9" t="s">
        <v>257</v>
      </c>
      <c r="E95" s="9" t="s">
        <v>258</v>
      </c>
      <c r="F95" s="9" t="s">
        <v>259</v>
      </c>
      <c r="G95" s="10" t="n">
        <v>2026</v>
      </c>
      <c r="H95" s="10" t="n">
        <v>10</v>
      </c>
      <c r="I95" s="19" t="n">
        <v>15120</v>
      </c>
      <c r="J95" s="19" t="n">
        <v>16800</v>
      </c>
      <c r="K95" s="10" t="n">
        <v>840</v>
      </c>
      <c r="L95" s="10" t="n">
        <v>3738</v>
      </c>
      <c r="M95" s="10" t="n">
        <v>33</v>
      </c>
      <c r="N95" s="11" t="n">
        <v>9.4</v>
      </c>
      <c r="O95" s="18" t="s">
        <v>56</v>
      </c>
    </row>
    <row r="96" customFormat="false" ht="15" hidden="false" customHeight="false" outlineLevel="0" collapsed="false">
      <c r="A96" s="18" t="n">
        <v>189857110</v>
      </c>
      <c r="B96" s="10" t="n">
        <v>95</v>
      </c>
      <c r="C96" s="18" t="s">
        <v>43</v>
      </c>
      <c r="D96" s="9" t="s">
        <v>260</v>
      </c>
      <c r="E96" s="9" t="s">
        <v>261</v>
      </c>
      <c r="F96" s="9" t="s">
        <v>195</v>
      </c>
      <c r="G96" s="10" t="n">
        <v>2026</v>
      </c>
      <c r="H96" s="10" t="n">
        <v>10</v>
      </c>
      <c r="I96" s="19" t="n">
        <v>19800</v>
      </c>
      <c r="J96" s="19" t="n">
        <v>22000</v>
      </c>
      <c r="K96" s="10" t="n">
        <v>1100</v>
      </c>
      <c r="L96" s="10" t="n">
        <v>954</v>
      </c>
      <c r="M96" s="10" t="n">
        <v>0</v>
      </c>
      <c r="N96" s="11" t="n">
        <v>0</v>
      </c>
      <c r="O96" s="18" t="s">
        <v>56</v>
      </c>
    </row>
    <row r="97" customFormat="false" ht="15" hidden="false" customHeight="false" outlineLevel="0" collapsed="false">
      <c r="A97" s="18" t="n">
        <v>189759363</v>
      </c>
      <c r="B97" s="10" t="n">
        <v>96</v>
      </c>
      <c r="C97" s="18" t="s">
        <v>43</v>
      </c>
      <c r="D97" s="9" t="s">
        <v>262</v>
      </c>
      <c r="E97" s="9" t="s">
        <v>263</v>
      </c>
      <c r="F97" s="9" t="s">
        <v>12</v>
      </c>
      <c r="G97" s="10" t="n">
        <v>2026</v>
      </c>
      <c r="H97" s="10" t="n">
        <v>10</v>
      </c>
      <c r="I97" s="19" t="n">
        <v>35100</v>
      </c>
      <c r="J97" s="19" t="n">
        <v>39000</v>
      </c>
      <c r="K97" s="10" t="n">
        <v>1950</v>
      </c>
      <c r="L97" s="10" t="n">
        <v>678</v>
      </c>
      <c r="M97" s="10" t="n">
        <v>0</v>
      </c>
      <c r="N97" s="11" t="n">
        <v>0</v>
      </c>
      <c r="O97" s="18" t="s">
        <v>46</v>
      </c>
    </row>
    <row r="98" customFormat="false" ht="15" hidden="false" customHeight="false" outlineLevel="0" collapsed="false">
      <c r="A98" s="18" t="n">
        <v>188838987</v>
      </c>
      <c r="B98" s="10" t="n">
        <v>97</v>
      </c>
      <c r="C98" s="18" t="s">
        <v>43</v>
      </c>
      <c r="D98" s="9" t="s">
        <v>264</v>
      </c>
      <c r="E98" s="9" t="s">
        <v>265</v>
      </c>
      <c r="F98" s="9" t="s">
        <v>184</v>
      </c>
      <c r="G98" s="10" t="n">
        <v>2026</v>
      </c>
      <c r="H98" s="10" t="n">
        <v>0</v>
      </c>
      <c r="I98" s="19" t="n">
        <v>19000</v>
      </c>
      <c r="J98" s="19" t="n">
        <v>19000</v>
      </c>
      <c r="K98" s="10" t="n">
        <v>0</v>
      </c>
      <c r="L98" s="10" t="n">
        <v>2232</v>
      </c>
      <c r="M98" s="10" t="n">
        <v>49</v>
      </c>
      <c r="N98" s="11" t="n">
        <v>9.9</v>
      </c>
      <c r="O98" s="18" t="s">
        <v>46</v>
      </c>
    </row>
    <row r="99" customFormat="false" ht="15" hidden="false" customHeight="false" outlineLevel="0" collapsed="false">
      <c r="A99" s="18" t="n">
        <v>185269651</v>
      </c>
      <c r="B99" s="10" t="n">
        <v>98</v>
      </c>
      <c r="C99" s="18" t="s">
        <v>43</v>
      </c>
      <c r="D99" s="15" t="s">
        <v>266</v>
      </c>
      <c r="E99" s="9" t="s">
        <v>267</v>
      </c>
      <c r="F99" s="9" t="s">
        <v>12</v>
      </c>
      <c r="G99" s="10" t="n">
        <v>2026</v>
      </c>
      <c r="H99" s="10" t="n">
        <v>10</v>
      </c>
      <c r="I99" s="19" t="n">
        <v>25200</v>
      </c>
      <c r="J99" s="19" t="n">
        <v>28000</v>
      </c>
      <c r="K99" s="10" t="n">
        <v>1400</v>
      </c>
      <c r="L99" s="10" t="n">
        <v>2841</v>
      </c>
      <c r="M99" s="10" t="n">
        <v>113</v>
      </c>
      <c r="N99" s="11" t="n">
        <v>9.9</v>
      </c>
      <c r="O99" s="18" t="s">
        <v>56</v>
      </c>
    </row>
    <row r="100" customFormat="false" ht="15" hidden="false" customHeight="false" outlineLevel="0" collapsed="false">
      <c r="A100" s="18" t="n">
        <v>182995232</v>
      </c>
      <c r="B100" s="10" t="n">
        <v>99</v>
      </c>
      <c r="C100" s="18" t="s">
        <v>43</v>
      </c>
      <c r="D100" s="15" t="s">
        <v>268</v>
      </c>
      <c r="E100" s="9" t="s">
        <v>269</v>
      </c>
      <c r="F100" s="9" t="s">
        <v>14</v>
      </c>
      <c r="G100" s="10" t="n">
        <v>2026</v>
      </c>
      <c r="H100" s="10" t="n">
        <v>10</v>
      </c>
      <c r="I100" s="19" t="n">
        <v>23400</v>
      </c>
      <c r="J100" s="19" t="n">
        <v>26000</v>
      </c>
      <c r="K100" s="10" t="n">
        <v>1300</v>
      </c>
      <c r="L100" s="10" t="n">
        <v>3996</v>
      </c>
      <c r="M100" s="10" t="n">
        <v>44</v>
      </c>
      <c r="N100" s="11" t="n">
        <v>9.8</v>
      </c>
      <c r="O100" s="18" t="s">
        <v>56</v>
      </c>
    </row>
    <row r="101" customFormat="false" ht="15" hidden="false" customHeight="false" outlineLevel="0" collapsed="false">
      <c r="A101" s="18" t="n">
        <v>168871803</v>
      </c>
      <c r="B101" s="10" t="n">
        <v>100</v>
      </c>
      <c r="C101" s="18" t="s">
        <v>43</v>
      </c>
      <c r="D101" s="9" t="s">
        <v>270</v>
      </c>
      <c r="E101" s="9" t="s">
        <v>271</v>
      </c>
      <c r="F101" s="9" t="s">
        <v>272</v>
      </c>
      <c r="G101" s="10" t="n">
        <v>2026</v>
      </c>
      <c r="H101" s="10" t="n">
        <v>10</v>
      </c>
      <c r="I101" s="19" t="n">
        <v>20700</v>
      </c>
      <c r="J101" s="19" t="n">
        <v>23000</v>
      </c>
      <c r="K101" s="10" t="n">
        <v>1150</v>
      </c>
      <c r="L101" s="10" t="n">
        <v>3612</v>
      </c>
      <c r="M101" s="10" t="n">
        <v>0</v>
      </c>
      <c r="N101" s="11" t="n">
        <v>0</v>
      </c>
      <c r="O101" s="18" t="s">
        <v>56</v>
      </c>
    </row>
    <row r="102" customFormat="false" ht="15" hidden="false" customHeight="false" outlineLevel="0" collapsed="false">
      <c r="A102" s="18" t="n">
        <v>167719977</v>
      </c>
      <c r="B102" s="10" t="n">
        <v>101</v>
      </c>
      <c r="C102" s="18" t="s">
        <v>43</v>
      </c>
      <c r="D102" s="9" t="s">
        <v>273</v>
      </c>
      <c r="E102" s="9" t="s">
        <v>274</v>
      </c>
      <c r="F102" s="9" t="s">
        <v>64</v>
      </c>
      <c r="G102" s="10" t="n">
        <v>2025</v>
      </c>
      <c r="H102" s="10" t="n">
        <v>10</v>
      </c>
      <c r="I102" s="19" t="n">
        <v>22950</v>
      </c>
      <c r="J102" s="19" t="n">
        <v>25500</v>
      </c>
      <c r="K102" s="10" t="n">
        <v>1270</v>
      </c>
      <c r="L102" s="10" t="n">
        <v>5868</v>
      </c>
      <c r="M102" s="10" t="n">
        <v>13</v>
      </c>
      <c r="N102" s="11" t="n">
        <v>10</v>
      </c>
      <c r="O102" s="18" t="s">
        <v>56</v>
      </c>
    </row>
    <row r="103" customFormat="false" ht="15" hidden="false" customHeight="false" outlineLevel="0" collapsed="false">
      <c r="A103" s="18" t="n">
        <v>166665802</v>
      </c>
      <c r="B103" s="10" t="n">
        <v>102</v>
      </c>
      <c r="C103" s="18" t="s">
        <v>43</v>
      </c>
      <c r="D103" s="9" t="s">
        <v>275</v>
      </c>
      <c r="E103" s="9" t="s">
        <v>276</v>
      </c>
      <c r="F103" s="9" t="s">
        <v>14</v>
      </c>
      <c r="G103" s="10" t="n">
        <v>2025</v>
      </c>
      <c r="H103" s="10" t="n">
        <v>10</v>
      </c>
      <c r="I103" s="19" t="n">
        <v>19800</v>
      </c>
      <c r="J103" s="19" t="n">
        <v>22000</v>
      </c>
      <c r="K103" s="10" t="n">
        <v>1100</v>
      </c>
      <c r="L103" s="10" t="n">
        <v>3378</v>
      </c>
      <c r="M103" s="10" t="n">
        <v>17</v>
      </c>
      <c r="N103" s="11" t="n">
        <v>10</v>
      </c>
      <c r="O103" s="18" t="s">
        <v>56</v>
      </c>
    </row>
    <row r="104" customFormat="false" ht="15" hidden="false" customHeight="false" outlineLevel="0" collapsed="false">
      <c r="A104" s="18" t="n">
        <v>152079426</v>
      </c>
      <c r="B104" s="10" t="n">
        <v>103</v>
      </c>
      <c r="C104" s="18" t="s">
        <v>43</v>
      </c>
      <c r="D104" s="9" t="s">
        <v>277</v>
      </c>
      <c r="E104" s="9" t="s">
        <v>278</v>
      </c>
      <c r="F104" s="9" t="s">
        <v>279</v>
      </c>
      <c r="G104" s="10" t="n">
        <v>2025</v>
      </c>
      <c r="H104" s="10" t="n">
        <v>10</v>
      </c>
      <c r="I104" s="19" t="n">
        <v>19800</v>
      </c>
      <c r="J104" s="19" t="n">
        <v>22000</v>
      </c>
      <c r="K104" s="10" t="n">
        <v>1100</v>
      </c>
      <c r="L104" s="10" t="n">
        <v>21912</v>
      </c>
      <c r="M104" s="10" t="n">
        <v>43</v>
      </c>
      <c r="N104" s="11" t="n">
        <v>10</v>
      </c>
      <c r="O104" s="18" t="s">
        <v>56</v>
      </c>
    </row>
    <row r="105" customFormat="false" ht="15" hidden="false" customHeight="false" outlineLevel="0" collapsed="false">
      <c r="A105" s="18" t="n">
        <v>147735087</v>
      </c>
      <c r="B105" s="10" t="n">
        <v>104</v>
      </c>
      <c r="C105" s="18" t="s">
        <v>43</v>
      </c>
      <c r="D105" s="9" t="s">
        <v>280</v>
      </c>
      <c r="E105" s="9" t="s">
        <v>281</v>
      </c>
      <c r="F105" s="9" t="s">
        <v>12</v>
      </c>
      <c r="G105" s="10" t="n">
        <v>2025</v>
      </c>
      <c r="H105" s="10" t="n">
        <v>10</v>
      </c>
      <c r="I105" s="19" t="n">
        <v>34200</v>
      </c>
      <c r="J105" s="19" t="n">
        <v>38000</v>
      </c>
      <c r="K105" s="10" t="n">
        <v>1900</v>
      </c>
      <c r="L105" s="10" t="n">
        <v>5934</v>
      </c>
      <c r="M105" s="10" t="n">
        <v>9</v>
      </c>
      <c r="N105" s="11" t="n">
        <v>10</v>
      </c>
      <c r="O105" s="18" t="s">
        <v>56</v>
      </c>
    </row>
    <row r="106" customFormat="false" ht="15" hidden="false" customHeight="false" outlineLevel="0" collapsed="false">
      <c r="A106" s="18" t="n">
        <v>143912145</v>
      </c>
      <c r="B106" s="10" t="n">
        <v>105</v>
      </c>
      <c r="C106" s="18" t="s">
        <v>43</v>
      </c>
      <c r="D106" s="9" t="s">
        <v>282</v>
      </c>
      <c r="E106" s="9" t="s">
        <v>283</v>
      </c>
      <c r="F106" s="9" t="s">
        <v>12</v>
      </c>
      <c r="G106" s="10" t="n">
        <v>2025</v>
      </c>
      <c r="H106" s="10" t="n">
        <v>10</v>
      </c>
      <c r="I106" s="19" t="n">
        <v>28800</v>
      </c>
      <c r="J106" s="19" t="n">
        <v>32000</v>
      </c>
      <c r="K106" s="10" t="n">
        <v>1600</v>
      </c>
      <c r="L106" s="10" t="n">
        <v>17148</v>
      </c>
      <c r="M106" s="10" t="n">
        <v>147</v>
      </c>
      <c r="N106" s="11" t="n">
        <v>9.7</v>
      </c>
      <c r="O106" s="18" t="s">
        <v>46</v>
      </c>
    </row>
    <row r="107" customFormat="false" ht="15" hidden="false" customHeight="false" outlineLevel="0" collapsed="false">
      <c r="A107" s="18" t="n">
        <v>141787639</v>
      </c>
      <c r="B107" s="10" t="n">
        <v>106</v>
      </c>
      <c r="C107" s="18" t="s">
        <v>43</v>
      </c>
      <c r="D107" s="9" t="s">
        <v>284</v>
      </c>
      <c r="E107" s="9" t="s">
        <v>285</v>
      </c>
      <c r="F107" s="9" t="s">
        <v>12</v>
      </c>
      <c r="G107" s="10" t="n">
        <v>2025</v>
      </c>
      <c r="H107" s="10" t="n">
        <v>10</v>
      </c>
      <c r="I107" s="19" t="n">
        <v>23400</v>
      </c>
      <c r="J107" s="19" t="n">
        <v>26000</v>
      </c>
      <c r="K107" s="10" t="n">
        <v>1300</v>
      </c>
      <c r="L107" s="10" t="n">
        <v>9309</v>
      </c>
      <c r="M107" s="10" t="n">
        <v>138</v>
      </c>
      <c r="N107" s="11" t="n">
        <v>9.3</v>
      </c>
      <c r="O107" s="18" t="s">
        <v>56</v>
      </c>
    </row>
    <row r="108" customFormat="false" ht="15" hidden="false" customHeight="false" outlineLevel="0" collapsed="false">
      <c r="A108" s="18" t="n">
        <v>132189588</v>
      </c>
      <c r="B108" s="10" t="n">
        <v>107</v>
      </c>
      <c r="C108" s="18" t="s">
        <v>43</v>
      </c>
      <c r="D108" s="15" t="s">
        <v>286</v>
      </c>
      <c r="E108" s="9" t="s">
        <v>160</v>
      </c>
      <c r="F108" s="9" t="s">
        <v>161</v>
      </c>
      <c r="G108" s="10" t="n">
        <v>2024</v>
      </c>
      <c r="H108" s="10" t="n">
        <v>10</v>
      </c>
      <c r="I108" s="19" t="n">
        <v>12600</v>
      </c>
      <c r="J108" s="19" t="n">
        <v>14000</v>
      </c>
      <c r="K108" s="10" t="n">
        <v>700</v>
      </c>
      <c r="L108" s="10" t="n">
        <v>2838</v>
      </c>
      <c r="M108" s="10" t="n">
        <v>4</v>
      </c>
      <c r="N108" s="11" t="n">
        <v>9.5</v>
      </c>
      <c r="O108" s="18" t="s">
        <v>56</v>
      </c>
    </row>
    <row r="109" customFormat="false" ht="15" hidden="false" customHeight="false" outlineLevel="0" collapsed="false">
      <c r="A109" s="18" t="n">
        <v>183919456</v>
      </c>
      <c r="B109" s="10" t="n">
        <v>108</v>
      </c>
      <c r="C109" s="18" t="s">
        <v>43</v>
      </c>
      <c r="D109" s="9" t="s">
        <v>287</v>
      </c>
      <c r="E109" s="9" t="s">
        <v>288</v>
      </c>
      <c r="F109" s="9" t="s">
        <v>259</v>
      </c>
      <c r="G109" s="10" t="n">
        <v>2026</v>
      </c>
      <c r="H109" s="10" t="n">
        <v>10</v>
      </c>
      <c r="I109" s="19" t="n">
        <v>15120</v>
      </c>
      <c r="J109" s="19" t="n">
        <v>16800</v>
      </c>
      <c r="K109" s="10" t="n">
        <v>160</v>
      </c>
      <c r="L109" s="10" t="n">
        <v>2721</v>
      </c>
      <c r="M109" s="10" t="n">
        <v>52</v>
      </c>
      <c r="N109" s="11" t="n">
        <v>9.8</v>
      </c>
      <c r="O109" s="18" t="s">
        <v>56</v>
      </c>
    </row>
    <row r="110" customFormat="false" ht="15" hidden="false" customHeight="false" outlineLevel="0" collapsed="false">
      <c r="A110" s="18" t="n">
        <v>189477317</v>
      </c>
      <c r="B110" s="10" t="n">
        <v>109</v>
      </c>
      <c r="C110" s="18" t="s">
        <v>43</v>
      </c>
      <c r="D110" s="9" t="s">
        <v>289</v>
      </c>
      <c r="E110" s="9" t="s">
        <v>290</v>
      </c>
      <c r="F110" s="9" t="s">
        <v>259</v>
      </c>
      <c r="G110" s="10" t="n">
        <v>2026</v>
      </c>
      <c r="H110" s="10" t="n">
        <v>10</v>
      </c>
      <c r="I110" s="19" t="n">
        <v>19800</v>
      </c>
      <c r="J110" s="19" t="n">
        <v>22000</v>
      </c>
      <c r="K110" s="10" t="n">
        <v>1100</v>
      </c>
      <c r="L110" s="10" t="n">
        <v>1464</v>
      </c>
      <c r="M110" s="10" t="n">
        <v>8</v>
      </c>
      <c r="N110" s="11" t="n">
        <v>10</v>
      </c>
      <c r="O110" s="18" t="s">
        <v>56</v>
      </c>
    </row>
    <row r="111" customFormat="false" ht="15" hidden="false" customHeight="false" outlineLevel="0" collapsed="false">
      <c r="A111" s="18" t="n">
        <v>189753516</v>
      </c>
      <c r="B111" s="10" t="n">
        <v>110</v>
      </c>
      <c r="C111" s="18" t="s">
        <v>43</v>
      </c>
      <c r="D111" s="15" t="s">
        <v>291</v>
      </c>
      <c r="E111" s="9" t="s">
        <v>292</v>
      </c>
      <c r="F111" s="9" t="s">
        <v>12</v>
      </c>
      <c r="G111" s="10" t="n">
        <v>2026</v>
      </c>
      <c r="H111" s="10" t="n">
        <v>10</v>
      </c>
      <c r="I111" s="19" t="n">
        <v>28800</v>
      </c>
      <c r="J111" s="19" t="n">
        <v>32000</v>
      </c>
      <c r="K111" s="10" t="n">
        <v>1600</v>
      </c>
      <c r="L111" s="10" t="n">
        <v>672</v>
      </c>
      <c r="M111" s="10" t="n">
        <v>1</v>
      </c>
      <c r="N111" s="11" t="n">
        <v>10</v>
      </c>
      <c r="O111" s="18" t="s">
        <v>56</v>
      </c>
    </row>
    <row r="112" customFormat="false" ht="15" hidden="false" customHeight="false" outlineLevel="0" collapsed="false">
      <c r="A112" s="18" t="n">
        <v>188108093</v>
      </c>
      <c r="B112" s="10" t="n">
        <v>111</v>
      </c>
      <c r="C112" s="18" t="s">
        <v>43</v>
      </c>
      <c r="D112" s="9" t="s">
        <v>293</v>
      </c>
      <c r="E112" s="9" t="s">
        <v>294</v>
      </c>
      <c r="F112" s="9" t="s">
        <v>12</v>
      </c>
      <c r="G112" s="10" t="n">
        <v>2026</v>
      </c>
      <c r="H112" s="10" t="n">
        <v>10</v>
      </c>
      <c r="I112" s="19" t="n">
        <v>23400</v>
      </c>
      <c r="J112" s="19" t="n">
        <v>26000</v>
      </c>
      <c r="K112" s="10" t="n">
        <v>1300</v>
      </c>
      <c r="L112" s="10" t="n">
        <v>1275</v>
      </c>
      <c r="M112" s="10" t="n">
        <v>40</v>
      </c>
      <c r="N112" s="11" t="n">
        <v>9.9</v>
      </c>
      <c r="O112" s="18" t="s">
        <v>56</v>
      </c>
    </row>
    <row r="113" customFormat="false" ht="15" hidden="false" customHeight="false" outlineLevel="0" collapsed="false">
      <c r="A113" s="18" t="n">
        <v>188012932</v>
      </c>
      <c r="B113" s="10" t="n">
        <v>112</v>
      </c>
      <c r="C113" s="18" t="s">
        <v>43</v>
      </c>
      <c r="D113" s="9" t="s">
        <v>295</v>
      </c>
      <c r="E113" s="9" t="s">
        <v>296</v>
      </c>
      <c r="F113" s="9" t="s">
        <v>17</v>
      </c>
      <c r="G113" s="10" t="n">
        <v>2026</v>
      </c>
      <c r="H113" s="10" t="n">
        <v>10</v>
      </c>
      <c r="I113" s="19" t="n">
        <v>21600</v>
      </c>
      <c r="J113" s="19" t="n">
        <v>24000</v>
      </c>
      <c r="K113" s="10" t="n">
        <v>1200</v>
      </c>
      <c r="L113" s="10" t="n">
        <v>2166</v>
      </c>
      <c r="M113" s="10" t="n">
        <v>8</v>
      </c>
      <c r="N113" s="11" t="n">
        <v>10</v>
      </c>
      <c r="O113" s="18" t="s">
        <v>56</v>
      </c>
    </row>
    <row r="114" customFormat="false" ht="15" hidden="false" customHeight="false" outlineLevel="0" collapsed="false">
      <c r="A114" s="18" t="n">
        <v>180209658</v>
      </c>
      <c r="B114" s="10" t="n">
        <v>113</v>
      </c>
      <c r="C114" s="18" t="s">
        <v>43</v>
      </c>
      <c r="D114" s="9" t="s">
        <v>297</v>
      </c>
      <c r="E114" s="9" t="s">
        <v>298</v>
      </c>
      <c r="F114" s="9" t="s">
        <v>259</v>
      </c>
      <c r="G114" s="10" t="n">
        <v>2026</v>
      </c>
      <c r="H114" s="10" t="n">
        <v>10</v>
      </c>
      <c r="I114" s="19" t="n">
        <v>21600</v>
      </c>
      <c r="J114" s="19" t="n">
        <v>24000</v>
      </c>
      <c r="K114" s="10" t="n">
        <v>240</v>
      </c>
      <c r="L114" s="10" t="n">
        <v>3858</v>
      </c>
      <c r="M114" s="10" t="n">
        <v>61</v>
      </c>
      <c r="N114" s="11" t="n">
        <v>9.9</v>
      </c>
      <c r="O114" s="18" t="s">
        <v>56</v>
      </c>
    </row>
    <row r="115" customFormat="false" ht="15" hidden="false" customHeight="false" outlineLevel="0" collapsed="false">
      <c r="A115" s="18" t="n">
        <v>167428992</v>
      </c>
      <c r="B115" s="10" t="n">
        <v>114</v>
      </c>
      <c r="C115" s="18" t="s">
        <v>43</v>
      </c>
      <c r="D115" s="9" t="s">
        <v>299</v>
      </c>
      <c r="E115" s="9" t="s">
        <v>204</v>
      </c>
      <c r="F115" s="9" t="s">
        <v>19</v>
      </c>
      <c r="G115" s="10" t="n">
        <v>2025</v>
      </c>
      <c r="H115" s="10" t="n">
        <v>10</v>
      </c>
      <c r="I115" s="19" t="n">
        <v>21600</v>
      </c>
      <c r="J115" s="19" t="n">
        <v>24000</v>
      </c>
      <c r="K115" s="10" t="n">
        <v>1200</v>
      </c>
      <c r="L115" s="10" t="n">
        <v>2628</v>
      </c>
      <c r="M115" s="10" t="n">
        <v>4</v>
      </c>
      <c r="N115" s="11" t="n">
        <v>10</v>
      </c>
      <c r="O115" s="18" t="s">
        <v>56</v>
      </c>
    </row>
    <row r="116" customFormat="false" ht="15" hidden="false" customHeight="false" outlineLevel="0" collapsed="false">
      <c r="A116" s="18" t="n">
        <v>159167901</v>
      </c>
      <c r="B116" s="10" t="n">
        <v>115</v>
      </c>
      <c r="C116" s="18" t="s">
        <v>43</v>
      </c>
      <c r="D116" s="15" t="s">
        <v>300</v>
      </c>
      <c r="E116" s="9" t="s">
        <v>301</v>
      </c>
      <c r="F116" s="9" t="s">
        <v>12</v>
      </c>
      <c r="G116" s="10" t="n">
        <v>2025</v>
      </c>
      <c r="H116" s="10" t="n">
        <v>10</v>
      </c>
      <c r="I116" s="19" t="n">
        <v>18000</v>
      </c>
      <c r="J116" s="19" t="n">
        <v>20000</v>
      </c>
      <c r="K116" s="10" t="n">
        <v>1000</v>
      </c>
      <c r="L116" s="10" t="n">
        <v>10272</v>
      </c>
      <c r="M116" s="10" t="n">
        <v>37</v>
      </c>
      <c r="N116" s="11" t="n">
        <v>9.6</v>
      </c>
      <c r="O116" s="18" t="s">
        <v>56</v>
      </c>
    </row>
    <row r="117" customFormat="false" ht="15" hidden="false" customHeight="false" outlineLevel="0" collapsed="false">
      <c r="A117" s="18" t="n">
        <v>154925812</v>
      </c>
      <c r="B117" s="10" t="n">
        <v>116</v>
      </c>
      <c r="C117" s="18" t="s">
        <v>43</v>
      </c>
      <c r="D117" s="15" t="s">
        <v>302</v>
      </c>
      <c r="E117" s="9" t="s">
        <v>303</v>
      </c>
      <c r="F117" s="9" t="s">
        <v>12</v>
      </c>
      <c r="G117" s="10" t="n">
        <v>2025</v>
      </c>
      <c r="H117" s="10" t="n">
        <v>10</v>
      </c>
      <c r="I117" s="19" t="n">
        <v>36000</v>
      </c>
      <c r="J117" s="19" t="n">
        <v>40000</v>
      </c>
      <c r="K117" s="10" t="n">
        <v>2000</v>
      </c>
      <c r="L117" s="10" t="n">
        <v>14463</v>
      </c>
      <c r="M117" s="10" t="n">
        <v>17</v>
      </c>
      <c r="N117" s="11" t="n">
        <v>9.9</v>
      </c>
      <c r="O117" s="18" t="s">
        <v>46</v>
      </c>
    </row>
    <row r="118" customFormat="false" ht="15" hidden="false" customHeight="false" outlineLevel="0" collapsed="false">
      <c r="A118" s="18" t="n">
        <v>117373102</v>
      </c>
      <c r="B118" s="10" t="n">
        <v>117</v>
      </c>
      <c r="C118" s="18" t="s">
        <v>43</v>
      </c>
      <c r="D118" s="9" t="s">
        <v>304</v>
      </c>
      <c r="E118" s="9" t="s">
        <v>305</v>
      </c>
      <c r="F118" s="9" t="s">
        <v>14</v>
      </c>
      <c r="G118" s="10" t="n">
        <v>2023</v>
      </c>
      <c r="H118" s="10" t="n">
        <v>10</v>
      </c>
      <c r="I118" s="19" t="n">
        <v>21600</v>
      </c>
      <c r="J118" s="19" t="n">
        <v>24000</v>
      </c>
      <c r="K118" s="10" t="n">
        <v>1200</v>
      </c>
      <c r="L118" s="10" t="n">
        <v>9549</v>
      </c>
      <c r="M118" s="10" t="n">
        <v>309</v>
      </c>
      <c r="N118" s="11" t="n">
        <v>9.8</v>
      </c>
      <c r="O118" s="18" t="s">
        <v>46</v>
      </c>
    </row>
    <row r="119" customFormat="false" ht="15" hidden="false" customHeight="false" outlineLevel="0" collapsed="false">
      <c r="A119" s="18" t="n">
        <v>109651824</v>
      </c>
      <c r="B119" s="10" t="n">
        <v>118</v>
      </c>
      <c r="C119" s="18" t="s">
        <v>43</v>
      </c>
      <c r="D119" s="9" t="s">
        <v>306</v>
      </c>
      <c r="E119" s="9" t="s">
        <v>307</v>
      </c>
      <c r="F119" s="9" t="s">
        <v>308</v>
      </c>
      <c r="G119" s="10" t="n">
        <v>2022</v>
      </c>
      <c r="H119" s="10" t="n">
        <v>10</v>
      </c>
      <c r="I119" s="19" t="n">
        <v>20700</v>
      </c>
      <c r="J119" s="19" t="n">
        <v>23000</v>
      </c>
      <c r="K119" s="10" t="n">
        <v>1150</v>
      </c>
      <c r="L119" s="10" t="n">
        <v>2916</v>
      </c>
      <c r="M119" s="10" t="n">
        <v>30</v>
      </c>
      <c r="N119" s="11" t="n">
        <v>9.8</v>
      </c>
      <c r="O119" s="18" t="s">
        <v>56</v>
      </c>
    </row>
    <row r="120" customFormat="false" ht="15" hidden="false" customHeight="false" outlineLevel="0" collapsed="false">
      <c r="A120" s="18" t="n">
        <v>15238736</v>
      </c>
      <c r="B120" s="10" t="n">
        <v>119</v>
      </c>
      <c r="C120" s="18" t="s">
        <v>43</v>
      </c>
      <c r="D120" s="9" t="s">
        <v>309</v>
      </c>
      <c r="E120" s="9" t="s">
        <v>310</v>
      </c>
      <c r="F120" s="9" t="s">
        <v>311</v>
      </c>
      <c r="G120" s="10" t="n">
        <v>2014</v>
      </c>
      <c r="H120" s="10" t="n">
        <v>10</v>
      </c>
      <c r="I120" s="19" t="n">
        <v>16200</v>
      </c>
      <c r="J120" s="19" t="n">
        <v>18000</v>
      </c>
      <c r="K120" s="10" t="n">
        <v>900</v>
      </c>
      <c r="L120" s="10" t="n">
        <v>2688</v>
      </c>
      <c r="M120" s="10" t="n">
        <v>24</v>
      </c>
      <c r="N120" s="11" t="n">
        <v>9.7</v>
      </c>
      <c r="O120" s="18" t="s">
        <v>56</v>
      </c>
    </row>
    <row r="121" customFormat="false" ht="15" hidden="false" customHeight="false" outlineLevel="0" collapsed="false">
      <c r="A121" s="18" t="n">
        <v>11523815</v>
      </c>
      <c r="B121" s="10" t="n">
        <v>120</v>
      </c>
      <c r="C121" s="18" t="s">
        <v>43</v>
      </c>
      <c r="D121" s="9" t="s">
        <v>312</v>
      </c>
      <c r="E121" s="9" t="s">
        <v>313</v>
      </c>
      <c r="F121" s="9" t="s">
        <v>12</v>
      </c>
      <c r="G121" s="10" t="n">
        <v>2013</v>
      </c>
      <c r="H121" s="10" t="n">
        <v>10</v>
      </c>
      <c r="I121" s="19" t="n">
        <v>17100</v>
      </c>
      <c r="J121" s="19" t="n">
        <v>19000</v>
      </c>
      <c r="K121" s="10" t="n">
        <v>950</v>
      </c>
      <c r="L121" s="10" t="n">
        <v>5244</v>
      </c>
      <c r="M121" s="10" t="n">
        <v>64</v>
      </c>
      <c r="N121" s="11" t="n">
        <v>9.5</v>
      </c>
      <c r="O121" s="18" t="s">
        <v>56</v>
      </c>
    </row>
    <row r="122" customFormat="false" ht="15" hidden="false" customHeight="false" outlineLevel="0" collapsed="false">
      <c r="A122" s="18" t="n">
        <v>7921251</v>
      </c>
      <c r="B122" s="10" t="n">
        <v>121</v>
      </c>
      <c r="C122" s="18" t="s">
        <v>43</v>
      </c>
      <c r="D122" s="9" t="s">
        <v>314</v>
      </c>
      <c r="E122" s="9" t="s">
        <v>315</v>
      </c>
      <c r="F122" s="9" t="s">
        <v>311</v>
      </c>
      <c r="G122" s="10" t="n">
        <v>2012</v>
      </c>
      <c r="H122" s="10" t="n">
        <v>10</v>
      </c>
      <c r="I122" s="19" t="n">
        <v>16200</v>
      </c>
      <c r="J122" s="19" t="n">
        <v>18000</v>
      </c>
      <c r="K122" s="10" t="n">
        <v>900</v>
      </c>
      <c r="L122" s="10" t="n">
        <v>6384</v>
      </c>
      <c r="M122" s="10" t="n">
        <v>28</v>
      </c>
      <c r="N122" s="11" t="n">
        <v>6.4</v>
      </c>
      <c r="O122" s="18" t="s">
        <v>56</v>
      </c>
    </row>
    <row r="123" customFormat="false" ht="15" hidden="false" customHeight="false" outlineLevel="0" collapsed="false">
      <c r="A123" s="18" t="n">
        <v>190211456</v>
      </c>
      <c r="B123" s="10" t="n">
        <v>122</v>
      </c>
      <c r="C123" s="18" t="s">
        <v>43</v>
      </c>
      <c r="D123" s="9" t="s">
        <v>316</v>
      </c>
      <c r="E123" s="9" t="s">
        <v>317</v>
      </c>
      <c r="F123" s="9" t="s">
        <v>145</v>
      </c>
      <c r="G123" s="10" t="n">
        <v>2026</v>
      </c>
      <c r="H123" s="10" t="n">
        <v>0</v>
      </c>
      <c r="I123" s="19" t="n">
        <v>20000</v>
      </c>
      <c r="J123" s="19" t="n">
        <v>20000</v>
      </c>
      <c r="K123" s="10" t="n">
        <v>0</v>
      </c>
      <c r="L123" s="10" t="n">
        <v>420</v>
      </c>
      <c r="M123" s="10" t="n">
        <v>0</v>
      </c>
      <c r="N123" s="11" t="n">
        <v>0</v>
      </c>
      <c r="O123" s="18" t="s">
        <v>56</v>
      </c>
    </row>
    <row r="124" customFormat="false" ht="15" hidden="false" customHeight="false" outlineLevel="0" collapsed="false">
      <c r="A124" s="18" t="n">
        <v>181117854</v>
      </c>
      <c r="B124" s="10" t="n">
        <v>123</v>
      </c>
      <c r="C124" s="18" t="s">
        <v>43</v>
      </c>
      <c r="D124" s="9" t="s">
        <v>318</v>
      </c>
      <c r="E124" s="9" t="s">
        <v>319</v>
      </c>
      <c r="F124" s="9" t="s">
        <v>17</v>
      </c>
      <c r="G124" s="10" t="n">
        <v>2026</v>
      </c>
      <c r="H124" s="10" t="n">
        <v>10</v>
      </c>
      <c r="I124" s="19" t="n">
        <v>17100</v>
      </c>
      <c r="J124" s="19" t="n">
        <v>19000</v>
      </c>
      <c r="K124" s="10" t="n">
        <v>950</v>
      </c>
      <c r="L124" s="10" t="n">
        <v>4713</v>
      </c>
      <c r="M124" s="10" t="n">
        <v>28</v>
      </c>
      <c r="N124" s="11" t="n">
        <v>10</v>
      </c>
      <c r="O124" s="18" t="s">
        <v>56</v>
      </c>
    </row>
    <row r="125" customFormat="false" ht="15" hidden="false" customHeight="false" outlineLevel="0" collapsed="false">
      <c r="A125" s="18" t="n">
        <v>69750539</v>
      </c>
      <c r="B125" s="10" t="n">
        <v>124</v>
      </c>
      <c r="C125" s="18" t="s">
        <v>43</v>
      </c>
      <c r="D125" s="15" t="s">
        <v>320</v>
      </c>
      <c r="E125" s="9" t="s">
        <v>321</v>
      </c>
      <c r="F125" s="9" t="s">
        <v>322</v>
      </c>
      <c r="G125" s="10" t="n">
        <v>2019</v>
      </c>
      <c r="H125" s="10" t="n">
        <v>0</v>
      </c>
      <c r="I125" s="19" t="n">
        <v>29000</v>
      </c>
      <c r="J125" s="19" t="n">
        <v>29000</v>
      </c>
      <c r="K125" s="10" t="n">
        <v>870</v>
      </c>
      <c r="L125" s="10" t="n">
        <v>7305</v>
      </c>
      <c r="M125" s="10" t="n">
        <v>39</v>
      </c>
      <c r="N125" s="11" t="n">
        <v>9.5</v>
      </c>
      <c r="O125" s="18" t="s">
        <v>46</v>
      </c>
    </row>
    <row r="126" customFormat="false" ht="15" hidden="false" customHeight="false" outlineLevel="0" collapsed="false">
      <c r="A126" s="18" t="n">
        <v>190440092</v>
      </c>
      <c r="B126" s="10" t="n">
        <v>125</v>
      </c>
      <c r="C126" s="18" t="s">
        <v>43</v>
      </c>
      <c r="D126" s="9" t="s">
        <v>323</v>
      </c>
      <c r="E126" s="9" t="s">
        <v>324</v>
      </c>
      <c r="F126" s="9" t="s">
        <v>184</v>
      </c>
      <c r="G126" s="10" t="n">
        <v>2026</v>
      </c>
      <c r="H126" s="10" t="n">
        <v>0</v>
      </c>
      <c r="I126" s="19" t="n">
        <v>17000</v>
      </c>
      <c r="J126" s="19" t="n">
        <v>17000</v>
      </c>
      <c r="K126" s="10" t="n">
        <v>0</v>
      </c>
      <c r="L126" s="10" t="n">
        <v>420</v>
      </c>
      <c r="M126" s="10" t="n">
        <v>6</v>
      </c>
      <c r="N126" s="11" t="n">
        <v>10</v>
      </c>
      <c r="O126" s="18" t="s">
        <v>56</v>
      </c>
    </row>
    <row r="127" customFormat="false" ht="15" hidden="false" customHeight="false" outlineLevel="0" collapsed="false">
      <c r="A127" s="18" t="n">
        <v>184675866</v>
      </c>
      <c r="B127" s="10" t="n">
        <v>126</v>
      </c>
      <c r="C127" s="18" t="s">
        <v>43</v>
      </c>
      <c r="D127" s="9" t="s">
        <v>325</v>
      </c>
      <c r="E127" s="9" t="s">
        <v>326</v>
      </c>
      <c r="F127" s="9" t="s">
        <v>259</v>
      </c>
      <c r="G127" s="10" t="n">
        <v>2026</v>
      </c>
      <c r="H127" s="10" t="n">
        <v>10</v>
      </c>
      <c r="I127" s="19" t="n">
        <v>22500</v>
      </c>
      <c r="J127" s="19" t="n">
        <v>25000</v>
      </c>
      <c r="K127" s="10" t="n">
        <v>250</v>
      </c>
      <c r="L127" s="10" t="n">
        <v>4221</v>
      </c>
      <c r="M127" s="10" t="n">
        <v>30</v>
      </c>
      <c r="N127" s="11" t="n">
        <v>9.8</v>
      </c>
      <c r="O127" s="18" t="s">
        <v>46</v>
      </c>
    </row>
    <row r="128" customFormat="false" ht="15" hidden="false" customHeight="false" outlineLevel="0" collapsed="false">
      <c r="A128" s="18" t="n">
        <v>183756523</v>
      </c>
      <c r="B128" s="10" t="n">
        <v>127</v>
      </c>
      <c r="C128" s="18" t="s">
        <v>43</v>
      </c>
      <c r="D128" s="9" t="s">
        <v>327</v>
      </c>
      <c r="E128" s="9" t="s">
        <v>328</v>
      </c>
      <c r="F128" s="9" t="s">
        <v>329</v>
      </c>
      <c r="G128" s="10" t="n">
        <v>2026</v>
      </c>
      <c r="H128" s="10" t="n">
        <v>10</v>
      </c>
      <c r="I128" s="19" t="n">
        <v>25200</v>
      </c>
      <c r="J128" s="19" t="n">
        <v>28000</v>
      </c>
      <c r="K128" s="10" t="n">
        <v>1400</v>
      </c>
      <c r="L128" s="10" t="n">
        <v>2634</v>
      </c>
      <c r="M128" s="10" t="n">
        <v>1</v>
      </c>
      <c r="N128" s="11" t="n">
        <v>10</v>
      </c>
      <c r="O128" s="18" t="s">
        <v>56</v>
      </c>
    </row>
    <row r="129" customFormat="false" ht="15" hidden="false" customHeight="false" outlineLevel="0" collapsed="false">
      <c r="A129" s="18" t="n">
        <v>182958115</v>
      </c>
      <c r="B129" s="10" t="n">
        <v>128</v>
      </c>
      <c r="C129" s="18" t="s">
        <v>43</v>
      </c>
      <c r="D129" s="9" t="s">
        <v>330</v>
      </c>
      <c r="E129" s="9" t="s">
        <v>331</v>
      </c>
      <c r="F129" s="9" t="s">
        <v>17</v>
      </c>
      <c r="G129" s="10" t="n">
        <v>2026</v>
      </c>
      <c r="H129" s="10" t="n">
        <v>10</v>
      </c>
      <c r="I129" s="19" t="n">
        <v>18900</v>
      </c>
      <c r="J129" s="19" t="n">
        <v>21000</v>
      </c>
      <c r="K129" s="10" t="n">
        <v>1050</v>
      </c>
      <c r="L129" s="10" t="n">
        <v>4602</v>
      </c>
      <c r="M129" s="10" t="n">
        <v>15</v>
      </c>
      <c r="N129" s="11" t="n">
        <v>9.5</v>
      </c>
      <c r="O129" s="18" t="s">
        <v>46</v>
      </c>
    </row>
    <row r="130" customFormat="false" ht="15" hidden="false" customHeight="false" outlineLevel="0" collapsed="false">
      <c r="A130" s="18" t="n">
        <v>182750165</v>
      </c>
      <c r="B130" s="10" t="n">
        <v>129</v>
      </c>
      <c r="C130" s="18" t="s">
        <v>43</v>
      </c>
      <c r="D130" s="9" t="s">
        <v>332</v>
      </c>
      <c r="E130" s="9" t="s">
        <v>333</v>
      </c>
      <c r="F130" s="9" t="s">
        <v>12</v>
      </c>
      <c r="G130" s="10" t="n">
        <v>2026</v>
      </c>
      <c r="H130" s="10" t="n">
        <v>10</v>
      </c>
      <c r="I130" s="19" t="n">
        <v>36000</v>
      </c>
      <c r="J130" s="19" t="n">
        <v>40000</v>
      </c>
      <c r="K130" s="10" t="n">
        <v>2000</v>
      </c>
      <c r="L130" s="10" t="n">
        <v>1044</v>
      </c>
      <c r="M130" s="10" t="n">
        <v>12</v>
      </c>
      <c r="N130" s="11" t="n">
        <v>9.8</v>
      </c>
      <c r="O130" s="18" t="s">
        <v>56</v>
      </c>
    </row>
    <row r="131" customFormat="false" ht="15" hidden="false" customHeight="false" outlineLevel="0" collapsed="false">
      <c r="A131" s="18" t="n">
        <v>180516403</v>
      </c>
      <c r="B131" s="10" t="n">
        <v>130</v>
      </c>
      <c r="C131" s="18" t="s">
        <v>43</v>
      </c>
      <c r="D131" s="9" t="s">
        <v>334</v>
      </c>
      <c r="E131" s="9" t="s">
        <v>335</v>
      </c>
      <c r="F131" s="9" t="s">
        <v>336</v>
      </c>
      <c r="G131" s="10" t="n">
        <v>2026</v>
      </c>
      <c r="H131" s="10" t="n">
        <v>10</v>
      </c>
      <c r="I131" s="19" t="n">
        <v>22500</v>
      </c>
      <c r="J131" s="19" t="n">
        <v>25000</v>
      </c>
      <c r="K131" s="10" t="n">
        <v>1250</v>
      </c>
      <c r="L131" s="10" t="n">
        <v>1002</v>
      </c>
      <c r="M131" s="10" t="n">
        <v>11</v>
      </c>
      <c r="N131" s="11" t="n">
        <v>9.6</v>
      </c>
      <c r="O131" s="18" t="s">
        <v>56</v>
      </c>
    </row>
    <row r="132" customFormat="false" ht="15" hidden="false" customHeight="false" outlineLevel="0" collapsed="false">
      <c r="A132" s="18" t="n">
        <v>177894447</v>
      </c>
      <c r="B132" s="10" t="n">
        <v>131</v>
      </c>
      <c r="C132" s="18" t="s">
        <v>43</v>
      </c>
      <c r="D132" s="9" t="s">
        <v>337</v>
      </c>
      <c r="E132" s="9" t="s">
        <v>246</v>
      </c>
      <c r="F132" s="9" t="s">
        <v>12</v>
      </c>
      <c r="G132" s="10" t="n">
        <v>2026</v>
      </c>
      <c r="H132" s="10" t="n">
        <v>10</v>
      </c>
      <c r="I132" s="19" t="n">
        <v>17100</v>
      </c>
      <c r="J132" s="19" t="n">
        <v>19000</v>
      </c>
      <c r="K132" s="10" t="n">
        <v>950</v>
      </c>
      <c r="L132" s="10" t="n">
        <v>4236</v>
      </c>
      <c r="M132" s="10" t="n">
        <v>33</v>
      </c>
      <c r="N132" s="11" t="n">
        <v>9.6</v>
      </c>
      <c r="O132" s="18" t="s">
        <v>46</v>
      </c>
    </row>
    <row r="133" customFormat="false" ht="15" hidden="false" customHeight="false" outlineLevel="0" collapsed="false">
      <c r="A133" s="18" t="n">
        <v>173183477</v>
      </c>
      <c r="B133" s="10" t="n">
        <v>132</v>
      </c>
      <c r="C133" s="18" t="s">
        <v>43</v>
      </c>
      <c r="D133" s="9" t="s">
        <v>338</v>
      </c>
      <c r="E133" s="9" t="s">
        <v>339</v>
      </c>
      <c r="F133" s="9" t="s">
        <v>202</v>
      </c>
      <c r="G133" s="10" t="n">
        <v>2026</v>
      </c>
      <c r="H133" s="10" t="n">
        <v>10</v>
      </c>
      <c r="I133" s="19" t="n">
        <v>18000</v>
      </c>
      <c r="J133" s="19" t="n">
        <v>20000</v>
      </c>
      <c r="K133" s="10" t="n">
        <v>1000</v>
      </c>
      <c r="L133" s="10" t="n">
        <v>5997</v>
      </c>
      <c r="M133" s="10" t="n">
        <v>8</v>
      </c>
      <c r="N133" s="11" t="n">
        <v>10</v>
      </c>
      <c r="O133" s="18" t="s">
        <v>56</v>
      </c>
    </row>
    <row r="134" customFormat="false" ht="15" hidden="false" customHeight="false" outlineLevel="0" collapsed="false">
      <c r="A134" s="18" t="n">
        <v>167405152</v>
      </c>
      <c r="B134" s="10" t="n">
        <v>133</v>
      </c>
      <c r="C134" s="18" t="s">
        <v>43</v>
      </c>
      <c r="D134" s="9" t="s">
        <v>340</v>
      </c>
      <c r="E134" s="9" t="s">
        <v>341</v>
      </c>
      <c r="F134" s="9" t="s">
        <v>88</v>
      </c>
      <c r="G134" s="10" t="n">
        <v>2025</v>
      </c>
      <c r="H134" s="10" t="n">
        <v>10</v>
      </c>
      <c r="I134" s="19" t="n">
        <v>22500</v>
      </c>
      <c r="J134" s="19" t="n">
        <v>25000</v>
      </c>
      <c r="K134" s="10" t="n">
        <v>1250</v>
      </c>
      <c r="L134" s="10" t="n">
        <v>6168</v>
      </c>
      <c r="M134" s="10" t="n">
        <v>13</v>
      </c>
      <c r="N134" s="11" t="n">
        <v>9.7</v>
      </c>
      <c r="O134" s="18" t="s">
        <v>56</v>
      </c>
    </row>
    <row r="135" customFormat="false" ht="15" hidden="false" customHeight="false" outlineLevel="0" collapsed="false">
      <c r="A135" s="18" t="n">
        <v>153029475</v>
      </c>
      <c r="B135" s="10" t="n">
        <v>134</v>
      </c>
      <c r="C135" s="18" t="s">
        <v>43</v>
      </c>
      <c r="D135" s="9" t="s">
        <v>342</v>
      </c>
      <c r="E135" s="9" t="s">
        <v>204</v>
      </c>
      <c r="F135" s="9" t="s">
        <v>19</v>
      </c>
      <c r="G135" s="10" t="n">
        <v>2025</v>
      </c>
      <c r="H135" s="10" t="n">
        <v>10</v>
      </c>
      <c r="I135" s="19" t="n">
        <v>21600</v>
      </c>
      <c r="J135" s="19" t="n">
        <v>24000</v>
      </c>
      <c r="K135" s="10" t="n">
        <v>1200</v>
      </c>
      <c r="L135" s="10" t="n">
        <v>15042</v>
      </c>
      <c r="M135" s="10" t="n">
        <v>85</v>
      </c>
      <c r="N135" s="11" t="n">
        <v>9.9</v>
      </c>
      <c r="O135" s="18" t="s">
        <v>56</v>
      </c>
    </row>
    <row r="136" customFormat="false" ht="15" hidden="false" customHeight="false" outlineLevel="0" collapsed="false">
      <c r="A136" s="18" t="n">
        <v>152553545</v>
      </c>
      <c r="B136" s="10" t="n">
        <v>135</v>
      </c>
      <c r="C136" s="18" t="s">
        <v>43</v>
      </c>
      <c r="D136" s="9" t="s">
        <v>343</v>
      </c>
      <c r="E136" s="9" t="s">
        <v>344</v>
      </c>
      <c r="F136" s="9" t="s">
        <v>17</v>
      </c>
      <c r="G136" s="10" t="n">
        <v>2025</v>
      </c>
      <c r="H136" s="10" t="n">
        <v>10</v>
      </c>
      <c r="I136" s="19" t="n">
        <v>21600</v>
      </c>
      <c r="J136" s="19" t="n">
        <v>24000</v>
      </c>
      <c r="K136" s="10" t="n">
        <v>1200</v>
      </c>
      <c r="L136" s="10" t="n">
        <v>8268</v>
      </c>
      <c r="M136" s="10" t="n">
        <v>26</v>
      </c>
      <c r="N136" s="11" t="n">
        <v>9.8</v>
      </c>
      <c r="O136" s="18" t="s">
        <v>56</v>
      </c>
    </row>
    <row r="137" customFormat="false" ht="15" hidden="false" customHeight="false" outlineLevel="0" collapsed="false">
      <c r="A137" s="18" t="n">
        <v>151850127</v>
      </c>
      <c r="B137" s="10" t="n">
        <v>136</v>
      </c>
      <c r="C137" s="18" t="s">
        <v>43</v>
      </c>
      <c r="D137" s="9" t="s">
        <v>345</v>
      </c>
      <c r="E137" s="9" t="s">
        <v>226</v>
      </c>
      <c r="F137" s="9" t="s">
        <v>19</v>
      </c>
      <c r="G137" s="10" t="n">
        <v>2025</v>
      </c>
      <c r="H137" s="10" t="n">
        <v>10</v>
      </c>
      <c r="I137" s="19" t="n">
        <v>21600</v>
      </c>
      <c r="J137" s="19" t="n">
        <v>24000</v>
      </c>
      <c r="K137" s="10" t="n">
        <v>1200</v>
      </c>
      <c r="L137" s="10" t="n">
        <v>28539</v>
      </c>
      <c r="M137" s="10" t="n">
        <v>19</v>
      </c>
      <c r="N137" s="11" t="n">
        <v>8.5</v>
      </c>
      <c r="O137" s="18" t="s">
        <v>46</v>
      </c>
    </row>
    <row r="138" customFormat="false" ht="15" hidden="false" customHeight="false" outlineLevel="0" collapsed="false">
      <c r="A138" s="18" t="n">
        <v>151350143</v>
      </c>
      <c r="B138" s="10" t="n">
        <v>137</v>
      </c>
      <c r="C138" s="18" t="s">
        <v>43</v>
      </c>
      <c r="D138" s="9" t="s">
        <v>346</v>
      </c>
      <c r="E138" s="9" t="s">
        <v>347</v>
      </c>
      <c r="F138" s="9" t="s">
        <v>12</v>
      </c>
      <c r="G138" s="10" t="n">
        <v>2025</v>
      </c>
      <c r="H138" s="10" t="n">
        <v>10</v>
      </c>
      <c r="I138" s="19" t="n">
        <v>19800</v>
      </c>
      <c r="J138" s="19" t="n">
        <v>22000</v>
      </c>
      <c r="K138" s="10" t="n">
        <v>1100</v>
      </c>
      <c r="L138" s="10" t="n">
        <v>10167</v>
      </c>
      <c r="M138" s="10" t="n">
        <v>34</v>
      </c>
      <c r="N138" s="11" t="n">
        <v>9.8</v>
      </c>
      <c r="O138" s="18" t="s">
        <v>56</v>
      </c>
    </row>
    <row r="139" customFormat="false" ht="15" hidden="false" customHeight="false" outlineLevel="0" collapsed="false">
      <c r="A139" s="18" t="n">
        <v>145612410</v>
      </c>
      <c r="B139" s="10" t="n">
        <v>138</v>
      </c>
      <c r="C139" s="18" t="s">
        <v>43</v>
      </c>
      <c r="D139" s="9" t="s">
        <v>348</v>
      </c>
      <c r="E139" s="9" t="s">
        <v>45</v>
      </c>
      <c r="F139" s="9" t="s">
        <v>14</v>
      </c>
      <c r="G139" s="10" t="n">
        <v>2025</v>
      </c>
      <c r="H139" s="10" t="n">
        <v>10</v>
      </c>
      <c r="I139" s="19" t="n">
        <v>26100</v>
      </c>
      <c r="J139" s="19" t="n">
        <v>29000</v>
      </c>
      <c r="K139" s="10" t="n">
        <v>1450</v>
      </c>
      <c r="L139" s="10" t="n">
        <v>3594</v>
      </c>
      <c r="M139" s="10" t="n">
        <v>13</v>
      </c>
      <c r="N139" s="11" t="n">
        <v>10</v>
      </c>
      <c r="O139" s="18" t="s">
        <v>56</v>
      </c>
    </row>
    <row r="140" customFormat="false" ht="15" hidden="false" customHeight="false" outlineLevel="0" collapsed="false">
      <c r="A140" s="18" t="n">
        <v>144648441</v>
      </c>
      <c r="B140" s="10" t="n">
        <v>139</v>
      </c>
      <c r="C140" s="18" t="s">
        <v>43</v>
      </c>
      <c r="D140" s="9" t="s">
        <v>349</v>
      </c>
      <c r="E140" s="9" t="s">
        <v>350</v>
      </c>
      <c r="F140" s="9" t="s">
        <v>64</v>
      </c>
      <c r="G140" s="10" t="n">
        <v>2025</v>
      </c>
      <c r="H140" s="10" t="n">
        <v>10</v>
      </c>
      <c r="I140" s="19" t="n">
        <v>21960</v>
      </c>
      <c r="J140" s="19" t="n">
        <v>24400</v>
      </c>
      <c r="K140" s="10" t="n">
        <v>1220</v>
      </c>
      <c r="L140" s="10" t="n">
        <v>18750</v>
      </c>
      <c r="M140" s="10" t="n">
        <v>17</v>
      </c>
      <c r="N140" s="11" t="n">
        <v>9.9</v>
      </c>
      <c r="O140" s="18" t="s">
        <v>56</v>
      </c>
    </row>
    <row r="141" customFormat="false" ht="15" hidden="false" customHeight="false" outlineLevel="0" collapsed="false">
      <c r="A141" s="18" t="n">
        <v>142201171</v>
      </c>
      <c r="B141" s="10" t="n">
        <v>140</v>
      </c>
      <c r="C141" s="18" t="s">
        <v>43</v>
      </c>
      <c r="D141" s="9" t="s">
        <v>351</v>
      </c>
      <c r="E141" s="9" t="s">
        <v>352</v>
      </c>
      <c r="F141" s="9" t="s">
        <v>195</v>
      </c>
      <c r="G141" s="10" t="n">
        <v>2025</v>
      </c>
      <c r="H141" s="10" t="n">
        <v>10</v>
      </c>
      <c r="I141" s="19" t="n">
        <v>20700</v>
      </c>
      <c r="J141" s="19" t="n">
        <v>23000</v>
      </c>
      <c r="K141" s="10" t="n">
        <v>1150</v>
      </c>
      <c r="L141" s="10" t="n">
        <v>13461</v>
      </c>
      <c r="M141" s="10" t="n">
        <v>32</v>
      </c>
      <c r="N141" s="11" t="n">
        <v>9.9</v>
      </c>
      <c r="O141" s="18" t="s">
        <v>46</v>
      </c>
    </row>
    <row r="142" customFormat="false" ht="15" hidden="false" customHeight="false" outlineLevel="0" collapsed="false">
      <c r="A142" s="18" t="n">
        <v>140242586</v>
      </c>
      <c r="B142" s="10" t="n">
        <v>141</v>
      </c>
      <c r="C142" s="18" t="s">
        <v>43</v>
      </c>
      <c r="D142" s="9" t="s">
        <v>353</v>
      </c>
      <c r="E142" s="9" t="s">
        <v>151</v>
      </c>
      <c r="F142" s="9" t="s">
        <v>64</v>
      </c>
      <c r="G142" s="10" t="n">
        <v>2025</v>
      </c>
      <c r="H142" s="10" t="n">
        <v>10</v>
      </c>
      <c r="I142" s="19" t="n">
        <v>19620</v>
      </c>
      <c r="J142" s="19" t="n">
        <v>21800</v>
      </c>
      <c r="K142" s="10" t="n">
        <v>1090</v>
      </c>
      <c r="L142" s="10" t="n">
        <v>12696</v>
      </c>
      <c r="M142" s="10" t="n">
        <v>18</v>
      </c>
      <c r="N142" s="11" t="n">
        <v>9.9</v>
      </c>
      <c r="O142" s="18" t="s">
        <v>56</v>
      </c>
    </row>
    <row r="143" customFormat="false" ht="15" hidden="false" customHeight="false" outlineLevel="0" collapsed="false">
      <c r="A143" s="18" t="n">
        <v>129392318</v>
      </c>
      <c r="B143" s="10" t="n">
        <v>142</v>
      </c>
      <c r="C143" s="18" t="s">
        <v>43</v>
      </c>
      <c r="D143" s="9" t="s">
        <v>354</v>
      </c>
      <c r="E143" s="9" t="s">
        <v>355</v>
      </c>
      <c r="F143" s="9" t="s">
        <v>14</v>
      </c>
      <c r="G143" s="10" t="n">
        <v>2024</v>
      </c>
      <c r="H143" s="10" t="n">
        <v>10</v>
      </c>
      <c r="I143" s="19" t="n">
        <v>18000</v>
      </c>
      <c r="J143" s="19" t="n">
        <v>20000</v>
      </c>
      <c r="K143" s="10" t="n">
        <v>1000</v>
      </c>
      <c r="L143" s="10" t="n">
        <v>6450</v>
      </c>
      <c r="M143" s="10" t="n">
        <v>77</v>
      </c>
      <c r="N143" s="11" t="n">
        <v>9.6</v>
      </c>
      <c r="O143" s="18" t="s">
        <v>46</v>
      </c>
    </row>
    <row r="144" customFormat="false" ht="15" hidden="false" customHeight="false" outlineLevel="0" collapsed="false">
      <c r="A144" s="18" t="n">
        <v>125830483</v>
      </c>
      <c r="B144" s="10" t="n">
        <v>143</v>
      </c>
      <c r="C144" s="18" t="s">
        <v>43</v>
      </c>
      <c r="D144" s="9" t="s">
        <v>356</v>
      </c>
      <c r="E144" s="9" t="s">
        <v>357</v>
      </c>
      <c r="F144" s="9" t="s">
        <v>12</v>
      </c>
      <c r="G144" s="10" t="n">
        <v>2024</v>
      </c>
      <c r="H144" s="10" t="n">
        <v>10</v>
      </c>
      <c r="I144" s="19" t="n">
        <v>25200</v>
      </c>
      <c r="J144" s="19" t="n">
        <v>28000</v>
      </c>
      <c r="K144" s="10" t="n">
        <v>1400</v>
      </c>
      <c r="L144" s="10" t="n">
        <v>8964</v>
      </c>
      <c r="M144" s="10" t="n">
        <v>49</v>
      </c>
      <c r="N144" s="11" t="n">
        <v>9.8</v>
      </c>
      <c r="O144" s="18" t="s">
        <v>46</v>
      </c>
    </row>
    <row r="145" customFormat="false" ht="15" hidden="false" customHeight="false" outlineLevel="0" collapsed="false">
      <c r="A145" s="18" t="n">
        <v>61254539</v>
      </c>
      <c r="B145" s="10" t="n">
        <v>144</v>
      </c>
      <c r="C145" s="18" t="s">
        <v>43</v>
      </c>
      <c r="D145" s="9" t="s">
        <v>358</v>
      </c>
      <c r="E145" s="9" t="s">
        <v>359</v>
      </c>
      <c r="F145" s="9" t="s">
        <v>360</v>
      </c>
      <c r="G145" s="10" t="n">
        <v>2018</v>
      </c>
      <c r="H145" s="10" t="n">
        <v>10</v>
      </c>
      <c r="I145" s="19" t="n">
        <v>34200</v>
      </c>
      <c r="J145" s="19" t="n">
        <v>38000</v>
      </c>
      <c r="K145" s="10" t="n">
        <v>0</v>
      </c>
      <c r="L145" s="10" t="n">
        <v>6372</v>
      </c>
      <c r="M145" s="10" t="n">
        <v>31</v>
      </c>
      <c r="N145" s="11" t="n">
        <v>9.6</v>
      </c>
      <c r="O145" s="18" t="s">
        <v>46</v>
      </c>
    </row>
    <row r="146" customFormat="false" ht="15" hidden="false" customHeight="false" outlineLevel="0" collapsed="false">
      <c r="A146" s="18" t="n">
        <v>186663875</v>
      </c>
      <c r="B146" s="10" t="n">
        <v>145</v>
      </c>
      <c r="C146" s="18" t="s">
        <v>43</v>
      </c>
      <c r="D146" s="9" t="s">
        <v>361</v>
      </c>
      <c r="E146" s="9" t="s">
        <v>362</v>
      </c>
      <c r="F146" s="9" t="s">
        <v>12</v>
      </c>
      <c r="G146" s="10" t="n">
        <v>2026</v>
      </c>
      <c r="H146" s="10" t="n">
        <v>10</v>
      </c>
      <c r="I146" s="19" t="n">
        <v>29700</v>
      </c>
      <c r="J146" s="19" t="n">
        <v>33000</v>
      </c>
      <c r="K146" s="10" t="n">
        <v>1650</v>
      </c>
      <c r="L146" s="10" t="n">
        <v>1575</v>
      </c>
      <c r="M146" s="10" t="n">
        <v>9</v>
      </c>
      <c r="N146" s="11" t="n">
        <v>9.6</v>
      </c>
      <c r="O146" s="18" t="s">
        <v>56</v>
      </c>
    </row>
    <row r="147" customFormat="false" ht="15" hidden="false" customHeight="false" outlineLevel="0" collapsed="false">
      <c r="A147" s="18" t="n">
        <v>189360735</v>
      </c>
      <c r="B147" s="10" t="n">
        <v>146</v>
      </c>
      <c r="C147" s="18" t="s">
        <v>43</v>
      </c>
      <c r="D147" s="15" t="s">
        <v>363</v>
      </c>
      <c r="E147" s="9" t="s">
        <v>364</v>
      </c>
      <c r="F147" s="9" t="s">
        <v>365</v>
      </c>
      <c r="G147" s="10" t="n">
        <v>2026</v>
      </c>
      <c r="H147" s="10" t="n">
        <v>10</v>
      </c>
      <c r="I147" s="19" t="n">
        <v>18000</v>
      </c>
      <c r="J147" s="19" t="n">
        <v>20000</v>
      </c>
      <c r="K147" s="10" t="n">
        <v>1000</v>
      </c>
      <c r="L147" s="10" t="n">
        <v>1224</v>
      </c>
      <c r="M147" s="10" t="n">
        <v>35</v>
      </c>
      <c r="N147" s="11" t="n">
        <v>10</v>
      </c>
      <c r="O147" s="18" t="s">
        <v>56</v>
      </c>
    </row>
    <row r="148" customFormat="false" ht="15" hidden="false" customHeight="false" outlineLevel="0" collapsed="false">
      <c r="A148" s="18" t="n">
        <v>189353153</v>
      </c>
      <c r="B148" s="10" t="n">
        <v>147</v>
      </c>
      <c r="C148" s="18" t="s">
        <v>43</v>
      </c>
      <c r="D148" s="9" t="s">
        <v>366</v>
      </c>
      <c r="E148" s="9" t="s">
        <v>367</v>
      </c>
      <c r="F148" s="9" t="s">
        <v>14</v>
      </c>
      <c r="G148" s="10" t="n">
        <v>2026</v>
      </c>
      <c r="H148" s="10" t="n">
        <v>10</v>
      </c>
      <c r="I148" s="19" t="n">
        <v>25200</v>
      </c>
      <c r="J148" s="19" t="n">
        <v>28000</v>
      </c>
      <c r="K148" s="10" t="n">
        <v>1400</v>
      </c>
      <c r="L148" s="10" t="n">
        <v>678</v>
      </c>
      <c r="M148" s="10" t="n">
        <v>0</v>
      </c>
      <c r="N148" s="11" t="n">
        <v>0</v>
      </c>
      <c r="O148" s="18" t="s">
        <v>56</v>
      </c>
    </row>
    <row r="149" customFormat="false" ht="15" hidden="false" customHeight="false" outlineLevel="0" collapsed="false">
      <c r="A149" s="18" t="n">
        <v>188859248</v>
      </c>
      <c r="B149" s="10" t="n">
        <v>148</v>
      </c>
      <c r="C149" s="18" t="s">
        <v>43</v>
      </c>
      <c r="D149" s="9" t="s">
        <v>368</v>
      </c>
      <c r="E149" s="9" t="s">
        <v>369</v>
      </c>
      <c r="F149" s="9" t="s">
        <v>12</v>
      </c>
      <c r="G149" s="10" t="n">
        <v>2026</v>
      </c>
      <c r="H149" s="10" t="n">
        <v>10</v>
      </c>
      <c r="I149" s="19" t="n">
        <v>20700</v>
      </c>
      <c r="J149" s="19" t="n">
        <v>23000</v>
      </c>
      <c r="K149" s="10" t="n">
        <v>1150</v>
      </c>
      <c r="L149" s="10" t="n">
        <v>1044</v>
      </c>
      <c r="M149" s="10" t="n">
        <v>5</v>
      </c>
      <c r="N149" s="11" t="n">
        <v>10</v>
      </c>
      <c r="O149" s="18" t="s">
        <v>56</v>
      </c>
    </row>
    <row r="150" customFormat="false" ht="15" hidden="false" customHeight="false" outlineLevel="0" collapsed="false">
      <c r="A150" s="18" t="n">
        <v>187043716</v>
      </c>
      <c r="B150" s="10" t="n">
        <v>149</v>
      </c>
      <c r="C150" s="18" t="s">
        <v>43</v>
      </c>
      <c r="D150" s="9" t="s">
        <v>370</v>
      </c>
      <c r="E150" s="9" t="s">
        <v>371</v>
      </c>
      <c r="F150" s="9" t="s">
        <v>16</v>
      </c>
      <c r="G150" s="10" t="n">
        <v>2026</v>
      </c>
      <c r="H150" s="10" t="n">
        <v>10</v>
      </c>
      <c r="I150" s="19" t="n">
        <v>25200</v>
      </c>
      <c r="J150" s="19" t="n">
        <v>28000</v>
      </c>
      <c r="K150" s="10" t="n">
        <v>1400</v>
      </c>
      <c r="L150" s="10" t="n">
        <v>1158</v>
      </c>
      <c r="M150" s="10" t="n">
        <v>0</v>
      </c>
      <c r="N150" s="11" t="n">
        <v>0</v>
      </c>
      <c r="O150" s="18" t="s">
        <v>56</v>
      </c>
    </row>
    <row r="151" customFormat="false" ht="15" hidden="false" customHeight="false" outlineLevel="0" collapsed="false">
      <c r="A151" s="18" t="n">
        <v>186544340</v>
      </c>
      <c r="B151" s="10" t="n">
        <v>150</v>
      </c>
      <c r="C151" s="18" t="s">
        <v>43</v>
      </c>
      <c r="D151" s="9" t="s">
        <v>372</v>
      </c>
      <c r="E151" s="9" t="s">
        <v>373</v>
      </c>
      <c r="F151" s="9" t="s">
        <v>16</v>
      </c>
      <c r="G151" s="10" t="n">
        <v>2026</v>
      </c>
      <c r="H151" s="10" t="n">
        <v>10</v>
      </c>
      <c r="I151" s="19" t="n">
        <v>27000</v>
      </c>
      <c r="J151" s="19" t="n">
        <v>30000</v>
      </c>
      <c r="K151" s="10" t="n">
        <v>1500</v>
      </c>
      <c r="L151" s="10" t="n">
        <v>1395</v>
      </c>
      <c r="M151" s="10" t="n">
        <v>0</v>
      </c>
      <c r="N151" s="11" t="n">
        <v>0</v>
      </c>
      <c r="O151" s="18" t="s">
        <v>56</v>
      </c>
    </row>
    <row r="152" customFormat="false" ht="15" hidden="false" customHeight="false" outlineLevel="0" collapsed="false">
      <c r="A152" s="18" t="n">
        <v>186524948</v>
      </c>
      <c r="B152" s="10" t="n">
        <v>151</v>
      </c>
      <c r="C152" s="18" t="s">
        <v>43</v>
      </c>
      <c r="D152" s="9" t="s">
        <v>374</v>
      </c>
      <c r="E152" s="9" t="s">
        <v>375</v>
      </c>
      <c r="F152" s="9" t="s">
        <v>14</v>
      </c>
      <c r="G152" s="10" t="n">
        <v>2026</v>
      </c>
      <c r="H152" s="10" t="n">
        <v>10</v>
      </c>
      <c r="I152" s="19" t="n">
        <v>23400</v>
      </c>
      <c r="J152" s="19" t="n">
        <v>26000</v>
      </c>
      <c r="K152" s="10" t="n">
        <v>1300</v>
      </c>
      <c r="L152" s="10" t="n">
        <v>1335</v>
      </c>
      <c r="M152" s="10" t="n">
        <v>44</v>
      </c>
      <c r="N152" s="11" t="n">
        <v>9.2</v>
      </c>
      <c r="O152" s="18" t="s">
        <v>56</v>
      </c>
    </row>
    <row r="153" customFormat="false" ht="15" hidden="false" customHeight="false" outlineLevel="0" collapsed="false">
      <c r="A153" s="18" t="n">
        <v>184312468</v>
      </c>
      <c r="B153" s="10" t="n">
        <v>152</v>
      </c>
      <c r="C153" s="18" t="s">
        <v>43</v>
      </c>
      <c r="D153" s="15" t="s">
        <v>376</v>
      </c>
      <c r="E153" s="9" t="s">
        <v>377</v>
      </c>
      <c r="F153" s="9" t="s">
        <v>16</v>
      </c>
      <c r="G153" s="10" t="n">
        <v>2026</v>
      </c>
      <c r="H153" s="10" t="n">
        <v>10</v>
      </c>
      <c r="I153" s="19" t="n">
        <v>34200</v>
      </c>
      <c r="J153" s="19" t="n">
        <v>38000</v>
      </c>
      <c r="K153" s="10" t="n">
        <v>1900</v>
      </c>
      <c r="L153" s="10" t="n">
        <v>1128</v>
      </c>
      <c r="M153" s="10" t="n">
        <v>2</v>
      </c>
      <c r="N153" s="11" t="n">
        <v>10</v>
      </c>
      <c r="O153" s="18" t="s">
        <v>56</v>
      </c>
    </row>
    <row r="154" customFormat="false" ht="15" hidden="false" customHeight="false" outlineLevel="0" collapsed="false">
      <c r="A154" s="18" t="n">
        <v>183072607</v>
      </c>
      <c r="B154" s="10" t="n">
        <v>153</v>
      </c>
      <c r="C154" s="18" t="s">
        <v>43</v>
      </c>
      <c r="D154" s="15" t="s">
        <v>378</v>
      </c>
      <c r="E154" s="9" t="s">
        <v>379</v>
      </c>
      <c r="F154" s="9" t="s">
        <v>16</v>
      </c>
      <c r="G154" s="10" t="n">
        <v>2026</v>
      </c>
      <c r="H154" s="10" t="n">
        <v>10</v>
      </c>
      <c r="I154" s="19" t="n">
        <v>19800</v>
      </c>
      <c r="J154" s="19" t="n">
        <v>22000</v>
      </c>
      <c r="K154" s="10" t="n">
        <v>1100</v>
      </c>
      <c r="L154" s="10" t="n">
        <v>1476</v>
      </c>
      <c r="M154" s="10" t="n">
        <v>9</v>
      </c>
      <c r="N154" s="11" t="n">
        <v>10</v>
      </c>
      <c r="O154" s="18" t="s">
        <v>56</v>
      </c>
    </row>
    <row r="155" customFormat="false" ht="15" hidden="false" customHeight="false" outlineLevel="0" collapsed="false">
      <c r="A155" s="18" t="n">
        <v>180386822</v>
      </c>
      <c r="B155" s="10" t="n">
        <v>154</v>
      </c>
      <c r="C155" s="18" t="s">
        <v>43</v>
      </c>
      <c r="D155" s="9" t="s">
        <v>380</v>
      </c>
      <c r="E155" s="9" t="s">
        <v>381</v>
      </c>
      <c r="F155" s="9" t="s">
        <v>14</v>
      </c>
      <c r="G155" s="10" t="n">
        <v>2026</v>
      </c>
      <c r="H155" s="10" t="n">
        <v>10</v>
      </c>
      <c r="I155" s="19" t="n">
        <v>37800</v>
      </c>
      <c r="J155" s="19" t="n">
        <v>42000</v>
      </c>
      <c r="K155" s="10" t="n">
        <v>2100</v>
      </c>
      <c r="L155" s="10" t="n">
        <v>1674</v>
      </c>
      <c r="M155" s="10" t="n">
        <v>14</v>
      </c>
      <c r="N155" s="11" t="n">
        <v>9.9</v>
      </c>
      <c r="O155" s="18" t="s">
        <v>56</v>
      </c>
    </row>
    <row r="156" customFormat="false" ht="15" hidden="false" customHeight="false" outlineLevel="0" collapsed="false">
      <c r="A156" s="18" t="n">
        <v>180158155</v>
      </c>
      <c r="B156" s="10" t="n">
        <v>155</v>
      </c>
      <c r="C156" s="18" t="s">
        <v>43</v>
      </c>
      <c r="D156" s="9" t="s">
        <v>382</v>
      </c>
      <c r="E156" s="9" t="s">
        <v>383</v>
      </c>
      <c r="F156" s="9" t="s">
        <v>19</v>
      </c>
      <c r="G156" s="10" t="n">
        <v>2026</v>
      </c>
      <c r="H156" s="10" t="n">
        <v>10</v>
      </c>
      <c r="I156" s="19" t="n">
        <v>24120</v>
      </c>
      <c r="J156" s="19" t="n">
        <v>26800</v>
      </c>
      <c r="K156" s="10" t="n">
        <v>1340</v>
      </c>
      <c r="L156" s="10" t="n">
        <v>1422</v>
      </c>
      <c r="M156" s="10" t="n">
        <v>109</v>
      </c>
      <c r="N156" s="11" t="n">
        <v>9.9</v>
      </c>
      <c r="O156" s="18" t="s">
        <v>56</v>
      </c>
    </row>
    <row r="157" customFormat="false" ht="15" hidden="false" customHeight="false" outlineLevel="0" collapsed="false">
      <c r="A157" s="18" t="n">
        <v>177187498</v>
      </c>
      <c r="B157" s="10" t="n">
        <v>156</v>
      </c>
      <c r="C157" s="18" t="s">
        <v>43</v>
      </c>
      <c r="D157" s="15" t="s">
        <v>384</v>
      </c>
      <c r="E157" s="9" t="s">
        <v>385</v>
      </c>
      <c r="F157" s="9" t="s">
        <v>12</v>
      </c>
      <c r="G157" s="10" t="n">
        <v>2026</v>
      </c>
      <c r="H157" s="10" t="n">
        <v>10</v>
      </c>
      <c r="I157" s="19" t="n">
        <v>28800</v>
      </c>
      <c r="J157" s="19" t="n">
        <v>32000</v>
      </c>
      <c r="K157" s="10" t="n">
        <v>1600</v>
      </c>
      <c r="L157" s="10" t="n">
        <v>2682</v>
      </c>
      <c r="M157" s="10" t="n">
        <v>25</v>
      </c>
      <c r="N157" s="11" t="n">
        <v>9.4</v>
      </c>
      <c r="O157" s="18" t="s">
        <v>56</v>
      </c>
    </row>
    <row r="158" customFormat="false" ht="15" hidden="false" customHeight="false" outlineLevel="0" collapsed="false">
      <c r="A158" s="18" t="n">
        <v>176410996</v>
      </c>
      <c r="B158" s="10" t="n">
        <v>157</v>
      </c>
      <c r="C158" s="18" t="s">
        <v>43</v>
      </c>
      <c r="D158" s="9" t="s">
        <v>386</v>
      </c>
      <c r="E158" s="9" t="s">
        <v>387</v>
      </c>
      <c r="F158" s="9" t="s">
        <v>12</v>
      </c>
      <c r="G158" s="10" t="n">
        <v>2026</v>
      </c>
      <c r="H158" s="10" t="n">
        <v>10</v>
      </c>
      <c r="I158" s="19" t="n">
        <v>23400</v>
      </c>
      <c r="J158" s="19" t="n">
        <v>26000</v>
      </c>
      <c r="K158" s="10" t="n">
        <v>1300</v>
      </c>
      <c r="L158" s="10" t="n">
        <v>4920</v>
      </c>
      <c r="M158" s="10" t="n">
        <v>139</v>
      </c>
      <c r="N158" s="11" t="n">
        <v>10</v>
      </c>
      <c r="O158" s="18" t="s">
        <v>46</v>
      </c>
    </row>
    <row r="159" customFormat="false" ht="15" hidden="false" customHeight="false" outlineLevel="0" collapsed="false">
      <c r="A159" s="18" t="n">
        <v>170504549</v>
      </c>
      <c r="B159" s="10" t="n">
        <v>158</v>
      </c>
      <c r="C159" s="18" t="s">
        <v>43</v>
      </c>
      <c r="D159" s="15" t="s">
        <v>388</v>
      </c>
      <c r="E159" s="9" t="s">
        <v>389</v>
      </c>
      <c r="F159" s="9" t="s">
        <v>16</v>
      </c>
      <c r="G159" s="10" t="n">
        <v>2026</v>
      </c>
      <c r="H159" s="10" t="n">
        <v>10</v>
      </c>
      <c r="I159" s="19" t="n">
        <v>25200</v>
      </c>
      <c r="J159" s="19" t="n">
        <v>28000</v>
      </c>
      <c r="K159" s="10" t="n">
        <v>1400</v>
      </c>
      <c r="L159" s="10" t="n">
        <v>2790</v>
      </c>
      <c r="M159" s="10" t="n">
        <v>7</v>
      </c>
      <c r="N159" s="11" t="n">
        <v>9.7</v>
      </c>
      <c r="O159" s="18" t="s">
        <v>56</v>
      </c>
    </row>
    <row r="160" customFormat="false" ht="15" hidden="false" customHeight="false" outlineLevel="0" collapsed="false">
      <c r="A160" s="18" t="n">
        <v>167476779</v>
      </c>
      <c r="B160" s="10" t="n">
        <v>159</v>
      </c>
      <c r="C160" s="18" t="s">
        <v>43</v>
      </c>
      <c r="D160" s="9" t="s">
        <v>390</v>
      </c>
      <c r="E160" s="9" t="s">
        <v>391</v>
      </c>
      <c r="F160" s="9" t="s">
        <v>64</v>
      </c>
      <c r="G160" s="10" t="n">
        <v>2026</v>
      </c>
      <c r="H160" s="10" t="n">
        <v>10</v>
      </c>
      <c r="I160" s="19" t="n">
        <v>18000</v>
      </c>
      <c r="J160" s="19" t="n">
        <v>20000</v>
      </c>
      <c r="K160" s="10" t="n">
        <v>1000</v>
      </c>
      <c r="L160" s="10" t="n">
        <v>2940</v>
      </c>
      <c r="M160" s="10" t="n">
        <v>25</v>
      </c>
      <c r="N160" s="11" t="n">
        <v>9.9</v>
      </c>
      <c r="O160" s="18" t="s">
        <v>56</v>
      </c>
    </row>
    <row r="161" customFormat="false" ht="15" hidden="false" customHeight="false" outlineLevel="0" collapsed="false">
      <c r="A161" s="18" t="n">
        <v>162322988</v>
      </c>
      <c r="B161" s="10" t="n">
        <v>160</v>
      </c>
      <c r="C161" s="18" t="s">
        <v>43</v>
      </c>
      <c r="D161" s="9" t="s">
        <v>392</v>
      </c>
      <c r="E161" s="9" t="s">
        <v>393</v>
      </c>
      <c r="F161" s="9" t="s">
        <v>116</v>
      </c>
      <c r="G161" s="10" t="n">
        <v>2025</v>
      </c>
      <c r="H161" s="10" t="n">
        <v>10</v>
      </c>
      <c r="I161" s="19" t="n">
        <v>25200</v>
      </c>
      <c r="J161" s="19" t="n">
        <v>28000</v>
      </c>
      <c r="K161" s="10" t="n">
        <v>1400</v>
      </c>
      <c r="L161" s="10" t="n">
        <v>9024</v>
      </c>
      <c r="M161" s="10" t="n">
        <v>4</v>
      </c>
      <c r="N161" s="11" t="n">
        <v>10</v>
      </c>
      <c r="O161" s="18" t="s">
        <v>56</v>
      </c>
    </row>
    <row r="162" customFormat="false" ht="15" hidden="false" customHeight="false" outlineLevel="0" collapsed="false">
      <c r="A162" s="18" t="n">
        <v>147074475</v>
      </c>
      <c r="B162" s="10" t="n">
        <v>161</v>
      </c>
      <c r="C162" s="18" t="s">
        <v>43</v>
      </c>
      <c r="D162" s="9" t="s">
        <v>394</v>
      </c>
      <c r="E162" s="9" t="s">
        <v>395</v>
      </c>
      <c r="F162" s="9" t="s">
        <v>16</v>
      </c>
      <c r="G162" s="10" t="n">
        <v>2025</v>
      </c>
      <c r="H162" s="10" t="n">
        <v>10</v>
      </c>
      <c r="I162" s="19" t="n">
        <v>21600</v>
      </c>
      <c r="J162" s="19" t="n">
        <v>24000</v>
      </c>
      <c r="K162" s="10" t="n">
        <v>1200</v>
      </c>
      <c r="L162" s="10" t="n">
        <v>7662</v>
      </c>
      <c r="M162" s="10" t="n">
        <v>20</v>
      </c>
      <c r="N162" s="11" t="n">
        <v>9.7</v>
      </c>
      <c r="O162" s="18" t="s">
        <v>56</v>
      </c>
    </row>
    <row r="163" customFormat="false" ht="15" hidden="false" customHeight="false" outlineLevel="0" collapsed="false">
      <c r="A163" s="18" t="n">
        <v>146828240</v>
      </c>
      <c r="B163" s="10" t="n">
        <v>162</v>
      </c>
      <c r="C163" s="18" t="s">
        <v>43</v>
      </c>
      <c r="D163" s="9" t="s">
        <v>396</v>
      </c>
      <c r="E163" s="9" t="s">
        <v>397</v>
      </c>
      <c r="F163" s="9" t="s">
        <v>12</v>
      </c>
      <c r="G163" s="10" t="n">
        <v>2025</v>
      </c>
      <c r="H163" s="10" t="n">
        <v>10</v>
      </c>
      <c r="I163" s="19" t="n">
        <v>34200</v>
      </c>
      <c r="J163" s="19" t="n">
        <v>38000</v>
      </c>
      <c r="K163" s="10" t="n">
        <v>1900</v>
      </c>
      <c r="L163" s="10" t="n">
        <v>6828</v>
      </c>
      <c r="M163" s="10" t="n">
        <v>24</v>
      </c>
      <c r="N163" s="11" t="n">
        <v>9.8</v>
      </c>
      <c r="O163" s="18" t="s">
        <v>56</v>
      </c>
    </row>
    <row r="164" customFormat="false" ht="15" hidden="false" customHeight="false" outlineLevel="0" collapsed="false">
      <c r="A164" s="18" t="n">
        <v>145983717</v>
      </c>
      <c r="B164" s="10" t="n">
        <v>163</v>
      </c>
      <c r="C164" s="18" t="s">
        <v>43</v>
      </c>
      <c r="D164" s="15" t="s">
        <v>398</v>
      </c>
      <c r="E164" s="9" t="s">
        <v>399</v>
      </c>
      <c r="F164" s="9" t="s">
        <v>17</v>
      </c>
      <c r="G164" s="10" t="n">
        <v>2025</v>
      </c>
      <c r="H164" s="10" t="n">
        <v>10</v>
      </c>
      <c r="I164" s="19" t="n">
        <v>26550</v>
      </c>
      <c r="J164" s="19" t="n">
        <v>29500</v>
      </c>
      <c r="K164" s="10" t="n">
        <v>1470</v>
      </c>
      <c r="L164" s="10" t="n">
        <v>4824</v>
      </c>
      <c r="M164" s="10" t="n">
        <v>11</v>
      </c>
      <c r="N164" s="11" t="n">
        <v>10</v>
      </c>
      <c r="O164" s="18" t="s">
        <v>46</v>
      </c>
    </row>
    <row r="165" customFormat="false" ht="15" hidden="false" customHeight="false" outlineLevel="0" collapsed="false">
      <c r="A165" s="18" t="n">
        <v>144689418</v>
      </c>
      <c r="B165" s="10" t="n">
        <v>164</v>
      </c>
      <c r="C165" s="18" t="s">
        <v>43</v>
      </c>
      <c r="D165" s="15" t="s">
        <v>400</v>
      </c>
      <c r="E165" s="9" t="s">
        <v>401</v>
      </c>
      <c r="F165" s="9" t="s">
        <v>211</v>
      </c>
      <c r="G165" s="10" t="n">
        <v>2025</v>
      </c>
      <c r="H165" s="10" t="n">
        <v>10</v>
      </c>
      <c r="I165" s="19" t="n">
        <v>28800</v>
      </c>
      <c r="J165" s="19" t="n">
        <v>32000</v>
      </c>
      <c r="K165" s="10" t="n">
        <v>1600</v>
      </c>
      <c r="L165" s="10" t="n">
        <v>2916</v>
      </c>
      <c r="M165" s="10" t="n">
        <v>5</v>
      </c>
      <c r="N165" s="11" t="n">
        <v>10</v>
      </c>
      <c r="O165" s="18" t="s">
        <v>56</v>
      </c>
    </row>
    <row r="166" customFormat="false" ht="15" hidden="false" customHeight="false" outlineLevel="0" collapsed="false">
      <c r="A166" s="18" t="n">
        <v>142865129</v>
      </c>
      <c r="B166" s="10" t="n">
        <v>165</v>
      </c>
      <c r="C166" s="18" t="s">
        <v>43</v>
      </c>
      <c r="D166" s="9" t="s">
        <v>402</v>
      </c>
      <c r="E166" s="9" t="s">
        <v>403</v>
      </c>
      <c r="F166" s="9" t="s">
        <v>161</v>
      </c>
      <c r="G166" s="10" t="n">
        <v>2025</v>
      </c>
      <c r="H166" s="10" t="n">
        <v>10</v>
      </c>
      <c r="I166" s="19" t="n">
        <v>12600</v>
      </c>
      <c r="J166" s="19" t="n">
        <v>14000</v>
      </c>
      <c r="K166" s="10" t="n">
        <v>700</v>
      </c>
      <c r="L166" s="10" t="n">
        <v>1665</v>
      </c>
      <c r="M166" s="10" t="n">
        <v>0</v>
      </c>
      <c r="N166" s="11" t="n">
        <v>0</v>
      </c>
      <c r="O166" s="18" t="s">
        <v>56</v>
      </c>
    </row>
    <row r="167" customFormat="false" ht="15" hidden="false" customHeight="false" outlineLevel="0" collapsed="false">
      <c r="A167" s="18" t="n">
        <v>135223090</v>
      </c>
      <c r="B167" s="10" t="n">
        <v>166</v>
      </c>
      <c r="C167" s="18" t="s">
        <v>43</v>
      </c>
      <c r="D167" s="9" t="s">
        <v>404</v>
      </c>
      <c r="E167" s="9" t="s">
        <v>405</v>
      </c>
      <c r="F167" s="9" t="s">
        <v>406</v>
      </c>
      <c r="G167" s="10" t="n">
        <v>2026</v>
      </c>
      <c r="H167" s="10" t="n">
        <v>10</v>
      </c>
      <c r="I167" s="19" t="n">
        <v>21600</v>
      </c>
      <c r="J167" s="19" t="n">
        <v>24000</v>
      </c>
      <c r="K167" s="10" t="n">
        <v>1200</v>
      </c>
      <c r="L167" s="10" t="n">
        <v>4416</v>
      </c>
      <c r="M167" s="10" t="n">
        <v>46</v>
      </c>
      <c r="N167" s="11" t="n">
        <v>10</v>
      </c>
      <c r="O167" s="18" t="s">
        <v>56</v>
      </c>
    </row>
    <row r="168" customFormat="false" ht="15" hidden="false" customHeight="false" outlineLevel="0" collapsed="false">
      <c r="A168" s="18" t="n">
        <v>133823740</v>
      </c>
      <c r="B168" s="10" t="n">
        <v>167</v>
      </c>
      <c r="C168" s="18" t="s">
        <v>43</v>
      </c>
      <c r="D168" s="9" t="s">
        <v>407</v>
      </c>
      <c r="E168" s="9" t="s">
        <v>408</v>
      </c>
      <c r="F168" s="9" t="s">
        <v>195</v>
      </c>
      <c r="G168" s="10" t="n">
        <v>2024</v>
      </c>
      <c r="H168" s="10" t="n">
        <v>10</v>
      </c>
      <c r="I168" s="19" t="n">
        <v>18000</v>
      </c>
      <c r="J168" s="19" t="n">
        <v>20000</v>
      </c>
      <c r="K168" s="10" t="n">
        <v>1000</v>
      </c>
      <c r="L168" s="10" t="n">
        <v>7884</v>
      </c>
      <c r="M168" s="10" t="n">
        <v>19</v>
      </c>
      <c r="N168" s="11" t="n">
        <v>9.7</v>
      </c>
      <c r="O168" s="18" t="s">
        <v>56</v>
      </c>
    </row>
    <row r="169" customFormat="false" ht="15" hidden="false" customHeight="false" outlineLevel="0" collapsed="false">
      <c r="A169" s="18" t="n">
        <v>129366565</v>
      </c>
      <c r="B169" s="10" t="n">
        <v>168</v>
      </c>
      <c r="C169" s="18" t="s">
        <v>43</v>
      </c>
      <c r="D169" s="15" t="s">
        <v>409</v>
      </c>
      <c r="E169" s="9" t="s">
        <v>410</v>
      </c>
      <c r="F169" s="9" t="s">
        <v>19</v>
      </c>
      <c r="G169" s="10" t="n">
        <v>2024</v>
      </c>
      <c r="H169" s="10" t="n">
        <v>10</v>
      </c>
      <c r="I169" s="19" t="n">
        <v>37800</v>
      </c>
      <c r="J169" s="19" t="n">
        <v>42000</v>
      </c>
      <c r="K169" s="10" t="n">
        <v>2100</v>
      </c>
      <c r="L169" s="10" t="n">
        <v>1320</v>
      </c>
      <c r="M169" s="10" t="n">
        <v>13</v>
      </c>
      <c r="N169" s="11" t="n">
        <v>9.8</v>
      </c>
      <c r="O169" s="18" t="s">
        <v>46</v>
      </c>
    </row>
    <row r="170" customFormat="false" ht="15" hidden="false" customHeight="false" outlineLevel="0" collapsed="false">
      <c r="A170" s="18" t="n">
        <v>126305083</v>
      </c>
      <c r="B170" s="10" t="n">
        <v>169</v>
      </c>
      <c r="C170" s="18" t="s">
        <v>43</v>
      </c>
      <c r="D170" s="9" t="s">
        <v>411</v>
      </c>
      <c r="E170" s="9" t="s">
        <v>412</v>
      </c>
      <c r="F170" s="9" t="s">
        <v>413</v>
      </c>
      <c r="G170" s="10" t="n">
        <v>2024</v>
      </c>
      <c r="H170" s="10" t="n">
        <v>10</v>
      </c>
      <c r="I170" s="19" t="n">
        <v>27000</v>
      </c>
      <c r="J170" s="19" t="n">
        <v>30000</v>
      </c>
      <c r="K170" s="10" t="n">
        <v>1500</v>
      </c>
      <c r="L170" s="10" t="n">
        <v>2526</v>
      </c>
      <c r="M170" s="10" t="n">
        <v>13</v>
      </c>
      <c r="N170" s="11" t="n">
        <v>8.6</v>
      </c>
      <c r="O170" s="18" t="s">
        <v>56</v>
      </c>
    </row>
    <row r="171" customFormat="false" ht="15" hidden="false" customHeight="false" outlineLevel="0" collapsed="false">
      <c r="A171" s="18" t="n">
        <v>118982111</v>
      </c>
      <c r="B171" s="10" t="n">
        <v>170</v>
      </c>
      <c r="C171" s="18" t="s">
        <v>43</v>
      </c>
      <c r="D171" s="9" t="s">
        <v>414</v>
      </c>
      <c r="E171" s="9" t="s">
        <v>415</v>
      </c>
      <c r="F171" s="9" t="s">
        <v>12</v>
      </c>
      <c r="G171" s="10" t="n">
        <v>2023</v>
      </c>
      <c r="H171" s="10" t="n">
        <v>10</v>
      </c>
      <c r="I171" s="19" t="n">
        <v>23400</v>
      </c>
      <c r="J171" s="19" t="n">
        <v>26000</v>
      </c>
      <c r="K171" s="10" t="n">
        <v>1300</v>
      </c>
      <c r="L171" s="10" t="n">
        <v>11424</v>
      </c>
      <c r="M171" s="10" t="n">
        <v>54</v>
      </c>
      <c r="N171" s="11" t="n">
        <v>9.6</v>
      </c>
      <c r="O171" s="18" t="s">
        <v>46</v>
      </c>
    </row>
    <row r="172" customFormat="false" ht="15" hidden="false" customHeight="false" outlineLevel="0" collapsed="false">
      <c r="A172" s="18" t="n">
        <v>115782215</v>
      </c>
      <c r="B172" s="10" t="n">
        <v>171</v>
      </c>
      <c r="C172" s="18" t="s">
        <v>43</v>
      </c>
      <c r="D172" s="15" t="s">
        <v>416</v>
      </c>
      <c r="E172" s="9" t="s">
        <v>417</v>
      </c>
      <c r="F172" s="9" t="s">
        <v>418</v>
      </c>
      <c r="G172" s="10" t="n">
        <v>2022</v>
      </c>
      <c r="H172" s="10" t="n">
        <v>10</v>
      </c>
      <c r="I172" s="19" t="n">
        <v>18900</v>
      </c>
      <c r="J172" s="19" t="n">
        <v>21000</v>
      </c>
      <c r="K172" s="10" t="n">
        <v>1050</v>
      </c>
      <c r="L172" s="10" t="n">
        <v>2382</v>
      </c>
      <c r="M172" s="10" t="n">
        <v>63</v>
      </c>
      <c r="N172" s="11" t="n">
        <v>9.4</v>
      </c>
      <c r="O172" s="18" t="s">
        <v>56</v>
      </c>
    </row>
    <row r="173" customFormat="false" ht="15" hidden="false" customHeight="false" outlineLevel="0" collapsed="false">
      <c r="A173" s="18" t="n">
        <v>111378840</v>
      </c>
      <c r="B173" s="10" t="n">
        <v>172</v>
      </c>
      <c r="C173" s="18" t="s">
        <v>43</v>
      </c>
      <c r="D173" s="9" t="s">
        <v>419</v>
      </c>
      <c r="E173" s="9" t="s">
        <v>357</v>
      </c>
      <c r="F173" s="9" t="s">
        <v>12</v>
      </c>
      <c r="G173" s="10" t="n">
        <v>2022</v>
      </c>
      <c r="H173" s="10" t="n">
        <v>10</v>
      </c>
      <c r="I173" s="19" t="n">
        <v>25200</v>
      </c>
      <c r="J173" s="19" t="n">
        <v>28000</v>
      </c>
      <c r="K173" s="10" t="n">
        <v>1400</v>
      </c>
      <c r="L173" s="10" t="n">
        <v>13212</v>
      </c>
      <c r="M173" s="10" t="n">
        <v>119</v>
      </c>
      <c r="N173" s="11" t="n">
        <v>9.8</v>
      </c>
      <c r="O173" s="18" t="s">
        <v>46</v>
      </c>
    </row>
    <row r="174" customFormat="false" ht="15" hidden="false" customHeight="false" outlineLevel="0" collapsed="false">
      <c r="A174" s="18" t="n">
        <v>91887223</v>
      </c>
      <c r="B174" s="10" t="n">
        <v>173</v>
      </c>
      <c r="C174" s="18" t="s">
        <v>43</v>
      </c>
      <c r="D174" s="9" t="s">
        <v>420</v>
      </c>
      <c r="E174" s="9" t="s">
        <v>421</v>
      </c>
      <c r="F174" s="9" t="s">
        <v>422</v>
      </c>
      <c r="G174" s="10" t="n">
        <v>2020</v>
      </c>
      <c r="H174" s="10" t="n">
        <v>10</v>
      </c>
      <c r="I174" s="19" t="n">
        <v>22500</v>
      </c>
      <c r="J174" s="19" t="n">
        <v>25000</v>
      </c>
      <c r="K174" s="10" t="n">
        <v>1250</v>
      </c>
      <c r="L174" s="10" t="n">
        <v>1554</v>
      </c>
      <c r="M174" s="10" t="n">
        <v>3</v>
      </c>
      <c r="N174" s="11" t="n">
        <v>9.3</v>
      </c>
      <c r="O174" s="18" t="s">
        <v>56</v>
      </c>
    </row>
    <row r="175" customFormat="false" ht="15" hidden="false" customHeight="false" outlineLevel="0" collapsed="false">
      <c r="A175" s="18" t="n">
        <v>188189600</v>
      </c>
      <c r="B175" s="10" t="n">
        <v>174</v>
      </c>
      <c r="C175" s="18" t="s">
        <v>43</v>
      </c>
      <c r="D175" s="9" t="s">
        <v>423</v>
      </c>
      <c r="E175" s="9" t="s">
        <v>424</v>
      </c>
      <c r="F175" s="9" t="s">
        <v>279</v>
      </c>
      <c r="G175" s="10" t="n">
        <v>2026</v>
      </c>
      <c r="H175" s="10" t="n">
        <v>10</v>
      </c>
      <c r="I175" s="19" t="n">
        <v>19800</v>
      </c>
      <c r="J175" s="19" t="n">
        <v>22000</v>
      </c>
      <c r="K175" s="10" t="n">
        <v>1100</v>
      </c>
      <c r="L175" s="10" t="n">
        <v>1272</v>
      </c>
      <c r="M175" s="10" t="n">
        <v>7</v>
      </c>
      <c r="N175" s="11" t="n">
        <v>10</v>
      </c>
      <c r="O175" s="18" t="s">
        <v>56</v>
      </c>
    </row>
    <row r="176" customFormat="false" ht="15" hidden="false" customHeight="false" outlineLevel="0" collapsed="false">
      <c r="A176" s="18" t="n">
        <v>190213684</v>
      </c>
      <c r="B176" s="10" t="n">
        <v>175</v>
      </c>
      <c r="C176" s="18" t="s">
        <v>43</v>
      </c>
      <c r="D176" s="9" t="s">
        <v>425</v>
      </c>
      <c r="E176" s="9" t="s">
        <v>426</v>
      </c>
      <c r="F176" s="9" t="s">
        <v>12</v>
      </c>
      <c r="G176" s="10" t="n">
        <v>2026</v>
      </c>
      <c r="H176" s="10" t="n">
        <v>10</v>
      </c>
      <c r="I176" s="19" t="n">
        <v>31500</v>
      </c>
      <c r="J176" s="19" t="n">
        <v>35000</v>
      </c>
      <c r="K176" s="10" t="n">
        <v>1750</v>
      </c>
      <c r="L176" s="10" t="n">
        <v>360</v>
      </c>
      <c r="M176" s="10" t="n">
        <v>0</v>
      </c>
      <c r="N176" s="11" t="n">
        <v>0</v>
      </c>
      <c r="O176" s="18" t="s">
        <v>56</v>
      </c>
    </row>
    <row r="177" customFormat="false" ht="15" hidden="false" customHeight="false" outlineLevel="0" collapsed="false">
      <c r="A177" s="18" t="n">
        <v>181178233</v>
      </c>
      <c r="B177" s="10" t="n">
        <v>176</v>
      </c>
      <c r="C177" s="18" t="s">
        <v>43</v>
      </c>
      <c r="D177" s="15" t="s">
        <v>427</v>
      </c>
      <c r="E177" s="9" t="s">
        <v>428</v>
      </c>
      <c r="F177" s="9" t="s">
        <v>19</v>
      </c>
      <c r="G177" s="10" t="n">
        <v>2026</v>
      </c>
      <c r="H177" s="10" t="n">
        <v>10</v>
      </c>
      <c r="I177" s="19" t="n">
        <v>25200</v>
      </c>
      <c r="J177" s="19" t="n">
        <v>28000</v>
      </c>
      <c r="K177" s="10" t="n">
        <v>1400</v>
      </c>
      <c r="L177" s="10" t="n">
        <v>3390</v>
      </c>
      <c r="M177" s="10" t="n">
        <v>109</v>
      </c>
      <c r="N177" s="11" t="n">
        <v>10</v>
      </c>
      <c r="O177" s="18" t="s">
        <v>56</v>
      </c>
    </row>
    <row r="178" customFormat="false" ht="15" hidden="false" customHeight="false" outlineLevel="0" collapsed="false">
      <c r="A178" s="18" t="n">
        <v>102819435</v>
      </c>
      <c r="B178" s="10" t="n">
        <v>177</v>
      </c>
      <c r="C178" s="18" t="s">
        <v>43</v>
      </c>
      <c r="D178" s="9" t="s">
        <v>429</v>
      </c>
      <c r="E178" s="9" t="s">
        <v>430</v>
      </c>
      <c r="F178" s="9" t="s">
        <v>311</v>
      </c>
      <c r="G178" s="10" t="n">
        <v>2021</v>
      </c>
      <c r="H178" s="10" t="n">
        <v>10</v>
      </c>
      <c r="I178" s="19" t="n">
        <v>21600</v>
      </c>
      <c r="J178" s="19" t="n">
        <v>24000</v>
      </c>
      <c r="K178" s="10" t="n">
        <v>1200</v>
      </c>
      <c r="L178" s="10" t="n">
        <v>6786</v>
      </c>
      <c r="M178" s="10" t="n">
        <v>60</v>
      </c>
      <c r="N178" s="11" t="n">
        <v>9.4</v>
      </c>
      <c r="O178" s="18" t="s">
        <v>46</v>
      </c>
    </row>
    <row r="179" customFormat="false" ht="15" hidden="false" customHeight="false" outlineLevel="0" collapsed="false">
      <c r="A179" s="18" t="n">
        <v>190852162</v>
      </c>
      <c r="B179" s="10" t="n">
        <v>178</v>
      </c>
      <c r="C179" s="18" t="s">
        <v>43</v>
      </c>
      <c r="D179" s="9" t="s">
        <v>431</v>
      </c>
      <c r="E179" s="9" t="s">
        <v>432</v>
      </c>
      <c r="F179" s="9" t="s">
        <v>259</v>
      </c>
      <c r="G179" s="10" t="n">
        <v>2026</v>
      </c>
      <c r="H179" s="10" t="n">
        <v>10</v>
      </c>
      <c r="I179" s="19" t="n">
        <v>21600</v>
      </c>
      <c r="J179" s="19" t="n">
        <v>24000</v>
      </c>
      <c r="K179" s="10" t="n">
        <v>1200</v>
      </c>
      <c r="L179" s="10" t="n">
        <v>240</v>
      </c>
      <c r="M179" s="10" t="n">
        <v>1</v>
      </c>
      <c r="N179" s="11" t="n">
        <v>10</v>
      </c>
      <c r="O179" s="18" t="s">
        <v>56</v>
      </c>
    </row>
    <row r="180" customFormat="false" ht="15" hidden="false" customHeight="false" outlineLevel="0" collapsed="false">
      <c r="A180" s="18" t="n">
        <v>189007418</v>
      </c>
      <c r="B180" s="10" t="n">
        <v>179</v>
      </c>
      <c r="C180" s="18" t="s">
        <v>43</v>
      </c>
      <c r="D180" s="15" t="s">
        <v>433</v>
      </c>
      <c r="E180" s="9" t="s">
        <v>434</v>
      </c>
      <c r="F180" s="9" t="s">
        <v>435</v>
      </c>
      <c r="G180" s="10" t="n">
        <v>2026</v>
      </c>
      <c r="H180" s="10" t="n">
        <v>10</v>
      </c>
      <c r="I180" s="19" t="n">
        <v>10800</v>
      </c>
      <c r="J180" s="19" t="n">
        <v>12000</v>
      </c>
      <c r="K180" s="10" t="n">
        <v>600</v>
      </c>
      <c r="L180" s="10" t="n">
        <v>1122</v>
      </c>
      <c r="M180" s="10" t="n">
        <v>2</v>
      </c>
      <c r="N180" s="11" t="n">
        <v>8</v>
      </c>
      <c r="O180" s="18" t="s">
        <v>56</v>
      </c>
    </row>
    <row r="181" customFormat="false" ht="15" hidden="false" customHeight="false" outlineLevel="0" collapsed="false">
      <c r="A181" s="18" t="n">
        <v>188823173</v>
      </c>
      <c r="B181" s="10" t="n">
        <v>180</v>
      </c>
      <c r="C181" s="18" t="s">
        <v>43</v>
      </c>
      <c r="D181" s="9" t="s">
        <v>436</v>
      </c>
      <c r="E181" s="9" t="s">
        <v>437</v>
      </c>
      <c r="F181" s="9" t="s">
        <v>64</v>
      </c>
      <c r="G181" s="10" t="n">
        <v>2026</v>
      </c>
      <c r="H181" s="10" t="n">
        <v>10</v>
      </c>
      <c r="I181" s="19" t="n">
        <v>20970</v>
      </c>
      <c r="J181" s="19" t="n">
        <v>23300</v>
      </c>
      <c r="K181" s="10" t="n">
        <v>230</v>
      </c>
      <c r="L181" s="10" t="n">
        <v>1755</v>
      </c>
      <c r="M181" s="10" t="n">
        <v>29</v>
      </c>
      <c r="N181" s="11" t="n">
        <v>10</v>
      </c>
      <c r="O181" s="18" t="s">
        <v>56</v>
      </c>
    </row>
    <row r="182" customFormat="false" ht="15" hidden="false" customHeight="false" outlineLevel="0" collapsed="false">
      <c r="A182" s="18" t="n">
        <v>188014469</v>
      </c>
      <c r="B182" s="10" t="n">
        <v>181</v>
      </c>
      <c r="C182" s="18" t="s">
        <v>43</v>
      </c>
      <c r="D182" s="9" t="s">
        <v>438</v>
      </c>
      <c r="E182" s="9" t="s">
        <v>439</v>
      </c>
      <c r="F182" s="9" t="s">
        <v>440</v>
      </c>
      <c r="G182" s="10" t="n">
        <v>2026</v>
      </c>
      <c r="H182" s="10" t="n">
        <v>0</v>
      </c>
      <c r="I182" s="19" t="n">
        <v>34000</v>
      </c>
      <c r="J182" s="19" t="n">
        <v>34000</v>
      </c>
      <c r="K182" s="10" t="n">
        <v>0</v>
      </c>
      <c r="L182" s="10" t="n">
        <v>4464</v>
      </c>
      <c r="M182" s="10" t="n">
        <v>38</v>
      </c>
      <c r="N182" s="11" t="n">
        <v>10</v>
      </c>
      <c r="O182" s="18" t="s">
        <v>46</v>
      </c>
    </row>
    <row r="183" customFormat="false" ht="15" hidden="false" customHeight="false" outlineLevel="0" collapsed="false">
      <c r="A183" s="18" t="n">
        <v>186939301</v>
      </c>
      <c r="B183" s="10" t="n">
        <v>182</v>
      </c>
      <c r="C183" s="18" t="s">
        <v>43</v>
      </c>
      <c r="D183" s="9" t="s">
        <v>441</v>
      </c>
      <c r="E183" s="9" t="s">
        <v>442</v>
      </c>
      <c r="F183" s="9" t="s">
        <v>23</v>
      </c>
      <c r="G183" s="10" t="n">
        <v>2026</v>
      </c>
      <c r="H183" s="10" t="n">
        <v>10</v>
      </c>
      <c r="I183" s="19" t="n">
        <v>16200</v>
      </c>
      <c r="J183" s="19" t="n">
        <v>18000</v>
      </c>
      <c r="K183" s="10" t="n">
        <v>900</v>
      </c>
      <c r="L183" s="10" t="n">
        <v>990</v>
      </c>
      <c r="M183" s="10" t="n">
        <v>19</v>
      </c>
      <c r="N183" s="11" t="n">
        <v>9.8</v>
      </c>
      <c r="O183" s="18" t="s">
        <v>56</v>
      </c>
    </row>
    <row r="184" customFormat="false" ht="15" hidden="false" customHeight="false" outlineLevel="0" collapsed="false">
      <c r="A184" s="18" t="n">
        <v>186936350</v>
      </c>
      <c r="B184" s="10" t="n">
        <v>183</v>
      </c>
      <c r="C184" s="18" t="s">
        <v>43</v>
      </c>
      <c r="D184" s="9" t="s">
        <v>443</v>
      </c>
      <c r="E184" s="9" t="s">
        <v>444</v>
      </c>
      <c r="F184" s="9" t="s">
        <v>64</v>
      </c>
      <c r="G184" s="10" t="n">
        <v>2026</v>
      </c>
      <c r="H184" s="10" t="n">
        <v>10</v>
      </c>
      <c r="I184" s="19" t="n">
        <v>20970</v>
      </c>
      <c r="J184" s="19" t="n">
        <v>23300</v>
      </c>
      <c r="K184" s="10" t="n">
        <v>230</v>
      </c>
      <c r="L184" s="10" t="n">
        <v>1800</v>
      </c>
      <c r="M184" s="10" t="n">
        <v>6</v>
      </c>
      <c r="N184" s="11" t="n">
        <v>10</v>
      </c>
      <c r="O184" s="18" t="s">
        <v>56</v>
      </c>
    </row>
    <row r="185" customFormat="false" ht="15" hidden="false" customHeight="false" outlineLevel="0" collapsed="false">
      <c r="A185" s="18" t="n">
        <v>186524949</v>
      </c>
      <c r="B185" s="10" t="n">
        <v>184</v>
      </c>
      <c r="C185" s="18" t="s">
        <v>43</v>
      </c>
      <c r="D185" s="9" t="s">
        <v>445</v>
      </c>
      <c r="E185" s="9" t="s">
        <v>446</v>
      </c>
      <c r="F185" s="9" t="s">
        <v>17</v>
      </c>
      <c r="G185" s="10" t="n">
        <v>2026</v>
      </c>
      <c r="H185" s="10" t="n">
        <v>10</v>
      </c>
      <c r="I185" s="19" t="n">
        <v>26820</v>
      </c>
      <c r="J185" s="19" t="n">
        <v>29800</v>
      </c>
      <c r="K185" s="10" t="n">
        <v>1490</v>
      </c>
      <c r="L185" s="10" t="n">
        <v>1686</v>
      </c>
      <c r="M185" s="10" t="n">
        <v>11</v>
      </c>
      <c r="N185" s="11" t="n">
        <v>10</v>
      </c>
      <c r="O185" s="18" t="s">
        <v>56</v>
      </c>
    </row>
    <row r="186" customFormat="false" ht="15" hidden="false" customHeight="false" outlineLevel="0" collapsed="false">
      <c r="A186" s="18" t="n">
        <v>184310483</v>
      </c>
      <c r="B186" s="10" t="n">
        <v>185</v>
      </c>
      <c r="C186" s="18" t="s">
        <v>43</v>
      </c>
      <c r="D186" s="9" t="s">
        <v>447</v>
      </c>
      <c r="E186" s="9" t="s">
        <v>448</v>
      </c>
      <c r="F186" s="9" t="s">
        <v>64</v>
      </c>
      <c r="G186" s="10" t="n">
        <v>2026</v>
      </c>
      <c r="H186" s="10" t="n">
        <v>10</v>
      </c>
      <c r="I186" s="19" t="n">
        <v>22950</v>
      </c>
      <c r="J186" s="19" t="n">
        <v>25500</v>
      </c>
      <c r="K186" s="10" t="n">
        <v>1270</v>
      </c>
      <c r="L186" s="10" t="n">
        <v>2049</v>
      </c>
      <c r="M186" s="10" t="n">
        <v>13</v>
      </c>
      <c r="N186" s="11" t="n">
        <v>10</v>
      </c>
      <c r="O186" s="18" t="s">
        <v>56</v>
      </c>
    </row>
    <row r="187" customFormat="false" ht="15" hidden="false" customHeight="false" outlineLevel="0" collapsed="false">
      <c r="A187" s="18" t="n">
        <v>184283938</v>
      </c>
      <c r="B187" s="10" t="n">
        <v>186</v>
      </c>
      <c r="C187" s="18" t="s">
        <v>43</v>
      </c>
      <c r="D187" s="9" t="s">
        <v>449</v>
      </c>
      <c r="E187" s="9" t="s">
        <v>450</v>
      </c>
      <c r="F187" s="9" t="s">
        <v>100</v>
      </c>
      <c r="G187" s="10" t="n">
        <v>2026</v>
      </c>
      <c r="H187" s="10" t="n">
        <v>10</v>
      </c>
      <c r="I187" s="19" t="n">
        <v>18000</v>
      </c>
      <c r="J187" s="19" t="n">
        <v>20000</v>
      </c>
      <c r="K187" s="10" t="n">
        <v>1000</v>
      </c>
      <c r="L187" s="10" t="n">
        <v>840</v>
      </c>
      <c r="M187" s="10" t="n">
        <v>0</v>
      </c>
      <c r="N187" s="11" t="n">
        <v>0</v>
      </c>
      <c r="O187" s="18" t="s">
        <v>56</v>
      </c>
    </row>
    <row r="188" customFormat="false" ht="15" hidden="false" customHeight="false" outlineLevel="0" collapsed="false">
      <c r="A188" s="18" t="n">
        <v>179694520</v>
      </c>
      <c r="B188" s="10" t="n">
        <v>187</v>
      </c>
      <c r="C188" s="18" t="s">
        <v>43</v>
      </c>
      <c r="D188" s="9" t="s">
        <v>451</v>
      </c>
      <c r="E188" s="9" t="s">
        <v>452</v>
      </c>
      <c r="F188" s="9" t="s">
        <v>12</v>
      </c>
      <c r="G188" s="10" t="n">
        <v>2026</v>
      </c>
      <c r="H188" s="10" t="n">
        <v>10</v>
      </c>
      <c r="I188" s="19" t="n">
        <v>25200</v>
      </c>
      <c r="J188" s="19" t="n">
        <v>28000</v>
      </c>
      <c r="K188" s="10" t="n">
        <v>1400</v>
      </c>
      <c r="L188" s="10" t="n">
        <v>1788</v>
      </c>
      <c r="M188" s="10" t="n">
        <v>124</v>
      </c>
      <c r="N188" s="11" t="n">
        <v>9.9</v>
      </c>
      <c r="O188" s="18" t="s">
        <v>56</v>
      </c>
    </row>
    <row r="189" customFormat="false" ht="15" hidden="false" customHeight="false" outlineLevel="0" collapsed="false">
      <c r="A189" s="18" t="n">
        <v>178728770</v>
      </c>
      <c r="B189" s="10" t="n">
        <v>188</v>
      </c>
      <c r="C189" s="18" t="s">
        <v>43</v>
      </c>
      <c r="D189" s="9" t="s">
        <v>453</v>
      </c>
      <c r="E189" s="9" t="s">
        <v>454</v>
      </c>
      <c r="F189" s="9" t="s">
        <v>17</v>
      </c>
      <c r="G189" s="10" t="n">
        <v>2026</v>
      </c>
      <c r="H189" s="10" t="n">
        <v>10</v>
      </c>
      <c r="I189" s="19" t="n">
        <v>19800</v>
      </c>
      <c r="J189" s="19" t="n">
        <v>22000</v>
      </c>
      <c r="K189" s="10" t="n">
        <v>1100</v>
      </c>
      <c r="L189" s="10" t="n">
        <v>2178</v>
      </c>
      <c r="M189" s="10" t="n">
        <v>18</v>
      </c>
      <c r="N189" s="11" t="n">
        <v>10</v>
      </c>
      <c r="O189" s="18" t="s">
        <v>56</v>
      </c>
    </row>
    <row r="190" customFormat="false" ht="15" hidden="false" customHeight="false" outlineLevel="0" collapsed="false">
      <c r="A190" s="18" t="n">
        <v>172532517</v>
      </c>
      <c r="B190" s="10" t="n">
        <v>189</v>
      </c>
      <c r="C190" s="18" t="s">
        <v>43</v>
      </c>
      <c r="D190" s="9" t="s">
        <v>455</v>
      </c>
      <c r="E190" s="9" t="s">
        <v>456</v>
      </c>
      <c r="F190" s="9" t="s">
        <v>259</v>
      </c>
      <c r="G190" s="10" t="n">
        <v>2026</v>
      </c>
      <c r="H190" s="10" t="n">
        <v>10</v>
      </c>
      <c r="I190" s="19" t="n">
        <v>22500</v>
      </c>
      <c r="J190" s="19" t="n">
        <v>25000</v>
      </c>
      <c r="K190" s="10" t="n">
        <v>1250</v>
      </c>
      <c r="L190" s="10" t="n">
        <v>1722</v>
      </c>
      <c r="M190" s="10" t="n">
        <v>34</v>
      </c>
      <c r="N190" s="11" t="n">
        <v>9.9</v>
      </c>
      <c r="O190" s="18" t="s">
        <v>56</v>
      </c>
    </row>
    <row r="191" customFormat="false" ht="15" hidden="false" customHeight="false" outlineLevel="0" collapsed="false">
      <c r="A191" s="18" t="n">
        <v>172059324</v>
      </c>
      <c r="B191" s="10" t="n">
        <v>190</v>
      </c>
      <c r="C191" s="18" t="s">
        <v>43</v>
      </c>
      <c r="D191" s="15" t="s">
        <v>457</v>
      </c>
      <c r="E191" s="9" t="s">
        <v>458</v>
      </c>
      <c r="F191" s="9" t="s">
        <v>459</v>
      </c>
      <c r="G191" s="10" t="n">
        <v>2026</v>
      </c>
      <c r="H191" s="10" t="n">
        <v>10</v>
      </c>
      <c r="I191" s="19" t="n">
        <v>20700</v>
      </c>
      <c r="J191" s="19" t="n">
        <v>23000</v>
      </c>
      <c r="K191" s="10" t="n">
        <v>1150</v>
      </c>
      <c r="L191" s="10" t="n">
        <v>1512</v>
      </c>
      <c r="M191" s="10" t="n">
        <v>15</v>
      </c>
      <c r="N191" s="11" t="n">
        <v>10</v>
      </c>
      <c r="O191" s="18" t="s">
        <v>56</v>
      </c>
    </row>
    <row r="192" customFormat="false" ht="15" hidden="false" customHeight="false" outlineLevel="0" collapsed="false">
      <c r="A192" s="18" t="n">
        <v>171377541</v>
      </c>
      <c r="B192" s="10" t="n">
        <v>191</v>
      </c>
      <c r="C192" s="18" t="s">
        <v>43</v>
      </c>
      <c r="D192" s="9" t="s">
        <v>460</v>
      </c>
      <c r="E192" s="9" t="s">
        <v>385</v>
      </c>
      <c r="F192" s="9" t="s">
        <v>12</v>
      </c>
      <c r="G192" s="10" t="n">
        <v>2026</v>
      </c>
      <c r="H192" s="10" t="n">
        <v>10</v>
      </c>
      <c r="I192" s="19" t="n">
        <v>22500</v>
      </c>
      <c r="J192" s="19" t="n">
        <v>25000</v>
      </c>
      <c r="K192" s="10" t="n">
        <v>1250</v>
      </c>
      <c r="L192" s="10" t="n">
        <v>2268</v>
      </c>
      <c r="M192" s="10" t="n">
        <v>10</v>
      </c>
      <c r="N192" s="11" t="n">
        <v>9.8</v>
      </c>
      <c r="O192" s="18" t="s">
        <v>56</v>
      </c>
    </row>
    <row r="193" customFormat="false" ht="15" hidden="false" customHeight="false" outlineLevel="0" collapsed="false">
      <c r="A193" s="18" t="n">
        <v>169704757</v>
      </c>
      <c r="B193" s="10" t="n">
        <v>192</v>
      </c>
      <c r="C193" s="18" t="s">
        <v>43</v>
      </c>
      <c r="D193" s="9" t="s">
        <v>461</v>
      </c>
      <c r="E193" s="9" t="s">
        <v>462</v>
      </c>
      <c r="F193" s="9" t="s">
        <v>14</v>
      </c>
      <c r="G193" s="10" t="n">
        <v>2025</v>
      </c>
      <c r="H193" s="10" t="n">
        <v>10</v>
      </c>
      <c r="I193" s="19" t="n">
        <v>22500</v>
      </c>
      <c r="J193" s="19" t="n">
        <v>25000</v>
      </c>
      <c r="K193" s="10" t="n">
        <v>1250</v>
      </c>
      <c r="L193" s="10" t="n">
        <v>3615</v>
      </c>
      <c r="M193" s="10" t="n">
        <v>43</v>
      </c>
      <c r="N193" s="11" t="n">
        <v>10</v>
      </c>
      <c r="O193" s="18" t="s">
        <v>56</v>
      </c>
    </row>
    <row r="194" customFormat="false" ht="15" hidden="false" customHeight="false" outlineLevel="0" collapsed="false">
      <c r="A194" s="18" t="n">
        <v>167452561</v>
      </c>
      <c r="B194" s="10" t="n">
        <v>193</v>
      </c>
      <c r="C194" s="18" t="s">
        <v>43</v>
      </c>
      <c r="D194" s="15" t="s">
        <v>463</v>
      </c>
      <c r="E194" s="9" t="s">
        <v>464</v>
      </c>
      <c r="F194" s="9" t="s">
        <v>12</v>
      </c>
      <c r="G194" s="10" t="n">
        <v>2025</v>
      </c>
      <c r="H194" s="10" t="n">
        <v>10</v>
      </c>
      <c r="I194" s="19" t="n">
        <v>20700</v>
      </c>
      <c r="J194" s="19" t="n">
        <v>23000</v>
      </c>
      <c r="K194" s="10" t="n">
        <v>1150</v>
      </c>
      <c r="L194" s="10" t="n">
        <v>5928</v>
      </c>
      <c r="M194" s="10" t="n">
        <v>134</v>
      </c>
      <c r="N194" s="11" t="n">
        <v>9.9</v>
      </c>
      <c r="O194" s="18" t="s">
        <v>56</v>
      </c>
    </row>
    <row r="195" customFormat="false" ht="15" hidden="false" customHeight="false" outlineLevel="0" collapsed="false">
      <c r="A195" s="18" t="n">
        <v>167430900</v>
      </c>
      <c r="B195" s="10" t="n">
        <v>194</v>
      </c>
      <c r="C195" s="18" t="s">
        <v>43</v>
      </c>
      <c r="D195" s="9" t="s">
        <v>465</v>
      </c>
      <c r="E195" s="9" t="s">
        <v>466</v>
      </c>
      <c r="F195" s="9" t="s">
        <v>14</v>
      </c>
      <c r="G195" s="10" t="n">
        <v>2025</v>
      </c>
      <c r="H195" s="10" t="n">
        <v>10</v>
      </c>
      <c r="I195" s="19" t="n">
        <v>22500</v>
      </c>
      <c r="J195" s="19" t="n">
        <v>25000</v>
      </c>
      <c r="K195" s="10" t="n">
        <v>1250</v>
      </c>
      <c r="L195" s="10" t="n">
        <v>2166</v>
      </c>
      <c r="M195" s="10" t="n">
        <v>0</v>
      </c>
      <c r="N195" s="11" t="n">
        <v>0</v>
      </c>
      <c r="O195" s="18" t="s">
        <v>56</v>
      </c>
    </row>
    <row r="196" customFormat="false" ht="15" hidden="false" customHeight="false" outlineLevel="0" collapsed="false">
      <c r="A196" s="18" t="n">
        <v>163495217</v>
      </c>
      <c r="B196" s="10" t="n">
        <v>195</v>
      </c>
      <c r="C196" s="18" t="s">
        <v>43</v>
      </c>
      <c r="D196" s="9" t="s">
        <v>467</v>
      </c>
      <c r="E196" s="9" t="s">
        <v>468</v>
      </c>
      <c r="F196" s="9" t="s">
        <v>469</v>
      </c>
      <c r="G196" s="10" t="n">
        <v>2026</v>
      </c>
      <c r="H196" s="10" t="n">
        <v>10</v>
      </c>
      <c r="I196" s="19" t="n">
        <v>19800</v>
      </c>
      <c r="J196" s="19" t="n">
        <v>22000</v>
      </c>
      <c r="K196" s="10" t="n">
        <v>1100</v>
      </c>
      <c r="L196" s="10" t="n">
        <v>7197</v>
      </c>
      <c r="M196" s="10" t="n">
        <v>33</v>
      </c>
      <c r="N196" s="11" t="n">
        <v>10</v>
      </c>
      <c r="O196" s="18" t="s">
        <v>56</v>
      </c>
    </row>
    <row r="197" customFormat="false" ht="15" hidden="false" customHeight="false" outlineLevel="0" collapsed="false">
      <c r="A197" s="18" t="n">
        <v>152922455</v>
      </c>
      <c r="B197" s="10" t="n">
        <v>196</v>
      </c>
      <c r="C197" s="18" t="s">
        <v>43</v>
      </c>
      <c r="D197" s="9" t="s">
        <v>470</v>
      </c>
      <c r="E197" s="9" t="s">
        <v>471</v>
      </c>
      <c r="F197" s="9" t="s">
        <v>64</v>
      </c>
      <c r="G197" s="10" t="n">
        <v>2025</v>
      </c>
      <c r="H197" s="10" t="n">
        <v>10</v>
      </c>
      <c r="I197" s="19" t="n">
        <v>19980</v>
      </c>
      <c r="J197" s="19" t="n">
        <v>22200</v>
      </c>
      <c r="K197" s="10" t="n">
        <v>1110</v>
      </c>
      <c r="L197" s="10" t="n">
        <v>3873</v>
      </c>
      <c r="M197" s="10" t="n">
        <v>7</v>
      </c>
      <c r="N197" s="11" t="n">
        <v>9.4</v>
      </c>
      <c r="O197" s="18" t="s">
        <v>56</v>
      </c>
    </row>
    <row r="198" customFormat="false" ht="15" hidden="false" customHeight="false" outlineLevel="0" collapsed="false">
      <c r="A198" s="18" t="n">
        <v>152119137</v>
      </c>
      <c r="B198" s="10" t="n">
        <v>197</v>
      </c>
      <c r="C198" s="18" t="s">
        <v>43</v>
      </c>
      <c r="D198" s="15" t="s">
        <v>472</v>
      </c>
      <c r="E198" s="9" t="s">
        <v>473</v>
      </c>
      <c r="F198" s="9" t="s">
        <v>145</v>
      </c>
      <c r="G198" s="10" t="n">
        <v>2025</v>
      </c>
      <c r="H198" s="10" t="n">
        <v>0</v>
      </c>
      <c r="I198" s="19" t="n">
        <v>20000</v>
      </c>
      <c r="J198" s="19" t="n">
        <v>20000</v>
      </c>
      <c r="K198" s="10" t="n">
        <v>0</v>
      </c>
      <c r="L198" s="10" t="n">
        <v>4464</v>
      </c>
      <c r="M198" s="10" t="n">
        <v>17</v>
      </c>
      <c r="N198" s="11" t="n">
        <v>8.6</v>
      </c>
      <c r="O198" s="18" t="s">
        <v>46</v>
      </c>
    </row>
    <row r="199" customFormat="false" ht="15" hidden="false" customHeight="false" outlineLevel="0" collapsed="false">
      <c r="A199" s="18" t="n">
        <v>151780100</v>
      </c>
      <c r="B199" s="10" t="n">
        <v>198</v>
      </c>
      <c r="C199" s="18" t="s">
        <v>43</v>
      </c>
      <c r="D199" s="9" t="s">
        <v>474</v>
      </c>
      <c r="E199" s="9" t="s">
        <v>475</v>
      </c>
      <c r="F199" s="9" t="s">
        <v>17</v>
      </c>
      <c r="G199" s="10" t="n">
        <v>2025</v>
      </c>
      <c r="H199" s="10" t="n">
        <v>10</v>
      </c>
      <c r="I199" s="19" t="n">
        <v>16020</v>
      </c>
      <c r="J199" s="19" t="n">
        <v>17800</v>
      </c>
      <c r="K199" s="10" t="n">
        <v>890</v>
      </c>
      <c r="L199" s="10" t="n">
        <v>3966</v>
      </c>
      <c r="M199" s="10" t="n">
        <v>40</v>
      </c>
      <c r="N199" s="11" t="n">
        <v>10</v>
      </c>
      <c r="O199" s="18" t="s">
        <v>56</v>
      </c>
    </row>
    <row r="200" customFormat="false" ht="15" hidden="false" customHeight="false" outlineLevel="0" collapsed="false">
      <c r="A200" s="18" t="n">
        <v>150308211</v>
      </c>
      <c r="B200" s="10" t="n">
        <v>199</v>
      </c>
      <c r="C200" s="18" t="s">
        <v>43</v>
      </c>
      <c r="D200" s="9" t="s">
        <v>476</v>
      </c>
      <c r="E200" s="9" t="s">
        <v>477</v>
      </c>
      <c r="F200" s="9" t="s">
        <v>17</v>
      </c>
      <c r="G200" s="10" t="n">
        <v>2025</v>
      </c>
      <c r="H200" s="10" t="n">
        <v>10</v>
      </c>
      <c r="I200" s="19" t="n">
        <v>18900</v>
      </c>
      <c r="J200" s="19" t="n">
        <v>21000</v>
      </c>
      <c r="K200" s="10" t="n">
        <v>1050</v>
      </c>
      <c r="L200" s="10" t="n">
        <v>7518</v>
      </c>
      <c r="M200" s="10" t="n">
        <v>18</v>
      </c>
      <c r="N200" s="11" t="n">
        <v>9.9</v>
      </c>
      <c r="O200" s="18" t="s">
        <v>46</v>
      </c>
    </row>
    <row r="201" customFormat="false" ht="15" hidden="false" customHeight="false" outlineLevel="0" collapsed="false">
      <c r="A201" s="18" t="n">
        <v>149195623</v>
      </c>
      <c r="B201" s="10" t="n">
        <v>200</v>
      </c>
      <c r="C201" s="18" t="s">
        <v>43</v>
      </c>
      <c r="D201" s="15" t="s">
        <v>478</v>
      </c>
      <c r="E201" s="9" t="s">
        <v>479</v>
      </c>
      <c r="F201" s="9" t="s">
        <v>360</v>
      </c>
      <c r="G201" s="10" t="n">
        <v>2025</v>
      </c>
      <c r="H201" s="10" t="n">
        <v>10</v>
      </c>
      <c r="I201" s="19" t="n">
        <v>26100</v>
      </c>
      <c r="J201" s="19" t="n">
        <v>29000</v>
      </c>
      <c r="K201" s="10" t="n">
        <v>1160</v>
      </c>
      <c r="L201" s="10" t="n">
        <v>2064</v>
      </c>
      <c r="M201" s="10" t="n">
        <v>1</v>
      </c>
      <c r="N201" s="11" t="n">
        <v>10</v>
      </c>
      <c r="O201" s="18" t="s">
        <v>56</v>
      </c>
    </row>
    <row r="202" customFormat="false" ht="15" hidden="false" customHeight="false" outlineLevel="0" collapsed="false">
      <c r="A202" s="18" t="n">
        <v>145572152</v>
      </c>
      <c r="B202" s="10" t="n">
        <v>201</v>
      </c>
      <c r="C202" s="18" t="s">
        <v>43</v>
      </c>
      <c r="D202" s="9" t="s">
        <v>480</v>
      </c>
      <c r="E202" s="9" t="s">
        <v>481</v>
      </c>
      <c r="F202" s="9" t="s">
        <v>195</v>
      </c>
      <c r="G202" s="10" t="n">
        <v>2025</v>
      </c>
      <c r="H202" s="10" t="n">
        <v>10</v>
      </c>
      <c r="I202" s="19" t="n">
        <v>17100</v>
      </c>
      <c r="J202" s="19" t="n">
        <v>19000</v>
      </c>
      <c r="K202" s="10" t="n">
        <v>950</v>
      </c>
      <c r="L202" s="10" t="n">
        <v>2688</v>
      </c>
      <c r="M202" s="10" t="n">
        <v>10</v>
      </c>
      <c r="N202" s="11" t="n">
        <v>9.6</v>
      </c>
      <c r="O202" s="18" t="s">
        <v>56</v>
      </c>
    </row>
    <row r="203" customFormat="false" ht="15" hidden="false" customHeight="false" outlineLevel="0" collapsed="false">
      <c r="A203" s="18" t="n">
        <v>145015291</v>
      </c>
      <c r="B203" s="10" t="n">
        <v>202</v>
      </c>
      <c r="C203" s="18" t="s">
        <v>43</v>
      </c>
      <c r="D203" s="15" t="s">
        <v>482</v>
      </c>
      <c r="E203" s="9" t="s">
        <v>483</v>
      </c>
      <c r="F203" s="9" t="s">
        <v>14</v>
      </c>
      <c r="G203" s="10" t="n">
        <v>2025</v>
      </c>
      <c r="H203" s="10" t="n">
        <v>10</v>
      </c>
      <c r="I203" s="19" t="n">
        <v>19800</v>
      </c>
      <c r="J203" s="19" t="n">
        <v>22000</v>
      </c>
      <c r="K203" s="10" t="n">
        <v>1100</v>
      </c>
      <c r="L203" s="10" t="n">
        <v>3498</v>
      </c>
      <c r="M203" s="10" t="n">
        <v>7</v>
      </c>
      <c r="N203" s="11" t="n">
        <v>9.4</v>
      </c>
      <c r="O203" s="18" t="s">
        <v>56</v>
      </c>
    </row>
    <row r="204" customFormat="false" ht="15" hidden="false" customHeight="false" outlineLevel="0" collapsed="false">
      <c r="A204" s="18" t="n">
        <v>143786416</v>
      </c>
      <c r="B204" s="10" t="n">
        <v>203</v>
      </c>
      <c r="C204" s="18" t="s">
        <v>43</v>
      </c>
      <c r="D204" s="9" t="s">
        <v>484</v>
      </c>
      <c r="E204" s="9" t="s">
        <v>485</v>
      </c>
      <c r="F204" s="9" t="s">
        <v>64</v>
      </c>
      <c r="G204" s="10" t="n">
        <v>2025</v>
      </c>
      <c r="H204" s="10" t="n">
        <v>10</v>
      </c>
      <c r="I204" s="19" t="n">
        <v>15120</v>
      </c>
      <c r="J204" s="19" t="n">
        <v>16800</v>
      </c>
      <c r="K204" s="10" t="n">
        <v>840</v>
      </c>
      <c r="L204" s="10" t="n">
        <v>12696</v>
      </c>
      <c r="M204" s="10" t="n">
        <v>47</v>
      </c>
      <c r="N204" s="11" t="n">
        <v>10</v>
      </c>
      <c r="O204" s="18" t="s">
        <v>56</v>
      </c>
    </row>
    <row r="205" customFormat="false" ht="15" hidden="false" customHeight="false" outlineLevel="0" collapsed="false">
      <c r="A205" s="18" t="n">
        <v>142763143</v>
      </c>
      <c r="B205" s="10" t="n">
        <v>204</v>
      </c>
      <c r="C205" s="18" t="s">
        <v>43</v>
      </c>
      <c r="D205" s="9" t="s">
        <v>486</v>
      </c>
      <c r="E205" s="9" t="s">
        <v>487</v>
      </c>
      <c r="F205" s="9" t="s">
        <v>12</v>
      </c>
      <c r="G205" s="10" t="n">
        <v>2025</v>
      </c>
      <c r="H205" s="10" t="n">
        <v>10</v>
      </c>
      <c r="I205" s="19" t="n">
        <v>59400</v>
      </c>
      <c r="J205" s="19" t="n">
        <v>66000</v>
      </c>
      <c r="K205" s="10" t="n">
        <v>3300</v>
      </c>
      <c r="L205" s="10" t="n">
        <v>4218</v>
      </c>
      <c r="M205" s="10" t="n">
        <v>73</v>
      </c>
      <c r="N205" s="11" t="n">
        <v>9.7</v>
      </c>
      <c r="O205" s="18" t="s">
        <v>46</v>
      </c>
    </row>
    <row r="206" customFormat="false" ht="15" hidden="false" customHeight="false" outlineLevel="0" collapsed="false">
      <c r="A206" s="18" t="n">
        <v>141196002</v>
      </c>
      <c r="B206" s="10" t="n">
        <v>205</v>
      </c>
      <c r="C206" s="18" t="s">
        <v>43</v>
      </c>
      <c r="D206" s="9" t="s">
        <v>488</v>
      </c>
      <c r="E206" s="9" t="s">
        <v>489</v>
      </c>
      <c r="F206" s="9" t="s">
        <v>109</v>
      </c>
      <c r="G206" s="10" t="n">
        <v>2025</v>
      </c>
      <c r="H206" s="10" t="n">
        <v>10</v>
      </c>
      <c r="I206" s="19" t="n">
        <v>23400</v>
      </c>
      <c r="J206" s="19" t="n">
        <v>26000</v>
      </c>
      <c r="K206" s="10" t="n">
        <v>1300</v>
      </c>
      <c r="L206" s="10" t="n">
        <v>1614</v>
      </c>
      <c r="M206" s="10" t="n">
        <v>1</v>
      </c>
      <c r="N206" s="11" t="n">
        <v>10</v>
      </c>
      <c r="O206" s="18" t="s">
        <v>56</v>
      </c>
    </row>
    <row r="207" customFormat="false" ht="15" hidden="false" customHeight="false" outlineLevel="0" collapsed="false">
      <c r="A207" s="18" t="n">
        <v>126691841</v>
      </c>
      <c r="B207" s="10" t="n">
        <v>206</v>
      </c>
      <c r="C207" s="18" t="s">
        <v>43</v>
      </c>
      <c r="D207" s="9" t="s">
        <v>490</v>
      </c>
      <c r="E207" s="9" t="s">
        <v>491</v>
      </c>
      <c r="F207" s="9" t="s">
        <v>422</v>
      </c>
      <c r="G207" s="10" t="n">
        <v>2024</v>
      </c>
      <c r="H207" s="10" t="n">
        <v>10</v>
      </c>
      <c r="I207" s="19" t="n">
        <v>23400</v>
      </c>
      <c r="J207" s="19" t="n">
        <v>26000</v>
      </c>
      <c r="K207" s="10" t="n">
        <v>1300</v>
      </c>
      <c r="L207" s="10" t="n">
        <v>1476</v>
      </c>
      <c r="M207" s="10" t="n">
        <v>9</v>
      </c>
      <c r="N207" s="11" t="n">
        <v>10</v>
      </c>
      <c r="O207" s="18" t="s">
        <v>56</v>
      </c>
    </row>
    <row r="208" customFormat="false" ht="15" hidden="false" customHeight="false" outlineLevel="0" collapsed="false">
      <c r="A208" s="18" t="n">
        <v>126181068</v>
      </c>
      <c r="B208" s="10" t="n">
        <v>207</v>
      </c>
      <c r="C208" s="18" t="s">
        <v>43</v>
      </c>
      <c r="D208" s="9" t="s">
        <v>492</v>
      </c>
      <c r="E208" s="9" t="s">
        <v>493</v>
      </c>
      <c r="F208" s="9" t="s">
        <v>14</v>
      </c>
      <c r="G208" s="10" t="n">
        <v>2024</v>
      </c>
      <c r="H208" s="10" t="n">
        <v>10</v>
      </c>
      <c r="I208" s="19" t="n">
        <v>19800</v>
      </c>
      <c r="J208" s="19" t="n">
        <v>22000</v>
      </c>
      <c r="K208" s="10" t="n">
        <v>1100</v>
      </c>
      <c r="L208" s="10" t="n">
        <v>1608</v>
      </c>
      <c r="M208" s="10" t="n">
        <v>13</v>
      </c>
      <c r="N208" s="11" t="n">
        <v>10</v>
      </c>
      <c r="O208" s="18" t="s">
        <v>56</v>
      </c>
    </row>
    <row r="209" customFormat="false" ht="15" hidden="false" customHeight="false" outlineLevel="0" collapsed="false">
      <c r="A209" s="18" t="n">
        <v>124821050</v>
      </c>
      <c r="B209" s="10" t="n">
        <v>208</v>
      </c>
      <c r="C209" s="18" t="s">
        <v>43</v>
      </c>
      <c r="D209" s="9" t="s">
        <v>494</v>
      </c>
      <c r="E209" s="9" t="s">
        <v>495</v>
      </c>
      <c r="F209" s="9" t="s">
        <v>12</v>
      </c>
      <c r="G209" s="10" t="n">
        <v>2024</v>
      </c>
      <c r="H209" s="10" t="n">
        <v>10</v>
      </c>
      <c r="I209" s="19" t="n">
        <v>25200</v>
      </c>
      <c r="J209" s="19" t="n">
        <v>28000</v>
      </c>
      <c r="K209" s="10" t="n">
        <v>1400</v>
      </c>
      <c r="L209" s="10" t="n">
        <v>3366</v>
      </c>
      <c r="M209" s="10" t="n">
        <v>91</v>
      </c>
      <c r="N209" s="11" t="n">
        <v>9.8</v>
      </c>
      <c r="O209" s="18" t="s">
        <v>46</v>
      </c>
    </row>
    <row r="210" customFormat="false" ht="15" hidden="false" customHeight="false" outlineLevel="0" collapsed="false">
      <c r="A210" s="18" t="n">
        <v>124110681</v>
      </c>
      <c r="B210" s="10" t="n">
        <v>209</v>
      </c>
      <c r="C210" s="18" t="s">
        <v>43</v>
      </c>
      <c r="D210" s="15" t="s">
        <v>496</v>
      </c>
      <c r="E210" s="9" t="s">
        <v>497</v>
      </c>
      <c r="F210" s="9" t="s">
        <v>311</v>
      </c>
      <c r="G210" s="10" t="n">
        <v>2023</v>
      </c>
      <c r="H210" s="10" t="n">
        <v>10</v>
      </c>
      <c r="I210" s="19" t="n">
        <v>31500</v>
      </c>
      <c r="J210" s="19" t="n">
        <v>35000</v>
      </c>
      <c r="K210" s="10" t="n">
        <v>350</v>
      </c>
      <c r="L210" s="10" t="n">
        <v>3096</v>
      </c>
      <c r="M210" s="10" t="n">
        <v>9</v>
      </c>
      <c r="N210" s="11" t="n">
        <v>8.7</v>
      </c>
      <c r="O210" s="18" t="s">
        <v>56</v>
      </c>
    </row>
    <row r="211" customFormat="false" ht="15" hidden="false" customHeight="false" outlineLevel="0" collapsed="false">
      <c r="A211" s="18" t="n">
        <v>122598455</v>
      </c>
      <c r="B211" s="10" t="n">
        <v>210</v>
      </c>
      <c r="C211" s="18" t="s">
        <v>43</v>
      </c>
      <c r="D211" s="9" t="s">
        <v>498</v>
      </c>
      <c r="E211" s="9" t="s">
        <v>499</v>
      </c>
      <c r="F211" s="9" t="s">
        <v>17</v>
      </c>
      <c r="G211" s="10" t="n">
        <v>2023</v>
      </c>
      <c r="H211" s="10" t="n">
        <v>10</v>
      </c>
      <c r="I211" s="19" t="n">
        <v>16200</v>
      </c>
      <c r="J211" s="19" t="n">
        <v>18000</v>
      </c>
      <c r="K211" s="10" t="n">
        <v>900</v>
      </c>
      <c r="L211" s="10" t="n">
        <v>4710</v>
      </c>
      <c r="M211" s="10" t="n">
        <v>46</v>
      </c>
      <c r="N211" s="11" t="n">
        <v>9.8</v>
      </c>
      <c r="O211" s="18" t="s">
        <v>46</v>
      </c>
    </row>
    <row r="212" customFormat="false" ht="15" hidden="false" customHeight="false" outlineLevel="0" collapsed="false">
      <c r="A212" s="18" t="n">
        <v>122535588</v>
      </c>
      <c r="B212" s="10" t="n">
        <v>211</v>
      </c>
      <c r="C212" s="18" t="s">
        <v>43</v>
      </c>
      <c r="D212" s="9" t="s">
        <v>500</v>
      </c>
      <c r="E212" s="9" t="s">
        <v>501</v>
      </c>
      <c r="F212" s="9" t="s">
        <v>23</v>
      </c>
      <c r="G212" s="10" t="n">
        <v>2023</v>
      </c>
      <c r="H212" s="10" t="n">
        <v>10</v>
      </c>
      <c r="I212" s="19" t="n">
        <v>20700</v>
      </c>
      <c r="J212" s="19" t="n">
        <v>23000</v>
      </c>
      <c r="K212" s="10" t="n">
        <v>1150</v>
      </c>
      <c r="L212" s="10" t="n">
        <v>1974</v>
      </c>
      <c r="M212" s="10" t="n">
        <v>16</v>
      </c>
      <c r="N212" s="11" t="n">
        <v>9.7</v>
      </c>
      <c r="O212" s="18" t="s">
        <v>56</v>
      </c>
    </row>
    <row r="213" customFormat="false" ht="15" hidden="false" customHeight="false" outlineLevel="0" collapsed="false">
      <c r="A213" s="18" t="n">
        <v>122338517</v>
      </c>
      <c r="B213" s="10" t="n">
        <v>212</v>
      </c>
      <c r="C213" s="18" t="s">
        <v>43</v>
      </c>
      <c r="D213" s="9" t="s">
        <v>502</v>
      </c>
      <c r="E213" s="9" t="s">
        <v>503</v>
      </c>
      <c r="F213" s="9" t="s">
        <v>12</v>
      </c>
      <c r="G213" s="10" t="n">
        <v>2023</v>
      </c>
      <c r="H213" s="10" t="n">
        <v>10</v>
      </c>
      <c r="I213" s="19" t="n">
        <v>54000</v>
      </c>
      <c r="J213" s="19" t="n">
        <v>60000</v>
      </c>
      <c r="K213" s="10" t="n">
        <v>3000</v>
      </c>
      <c r="L213" s="10" t="n">
        <v>4548</v>
      </c>
      <c r="M213" s="10" t="n">
        <v>39</v>
      </c>
      <c r="N213" s="11" t="n">
        <v>9.7</v>
      </c>
      <c r="O213" s="18" t="s">
        <v>46</v>
      </c>
    </row>
    <row r="214" customFormat="false" ht="15" hidden="false" customHeight="false" outlineLevel="0" collapsed="false">
      <c r="A214" s="18" t="n">
        <v>121913198</v>
      </c>
      <c r="B214" s="10" t="n">
        <v>213</v>
      </c>
      <c r="C214" s="18" t="s">
        <v>43</v>
      </c>
      <c r="D214" s="9" t="s">
        <v>504</v>
      </c>
      <c r="E214" s="9" t="s">
        <v>505</v>
      </c>
      <c r="F214" s="9" t="s">
        <v>12</v>
      </c>
      <c r="G214" s="10" t="n">
        <v>2023</v>
      </c>
      <c r="H214" s="10" t="n">
        <v>10</v>
      </c>
      <c r="I214" s="19" t="n">
        <v>19800</v>
      </c>
      <c r="J214" s="19" t="n">
        <v>22000</v>
      </c>
      <c r="K214" s="10" t="n">
        <v>1100</v>
      </c>
      <c r="L214" s="10" t="n">
        <v>2652</v>
      </c>
      <c r="M214" s="10" t="n">
        <v>41</v>
      </c>
      <c r="N214" s="11" t="n">
        <v>9.7</v>
      </c>
      <c r="O214" s="18" t="s">
        <v>56</v>
      </c>
    </row>
    <row r="215" customFormat="false" ht="15" hidden="false" customHeight="false" outlineLevel="0" collapsed="false">
      <c r="A215" s="18" t="n">
        <v>119267145</v>
      </c>
      <c r="B215" s="10" t="n">
        <v>214</v>
      </c>
      <c r="C215" s="18" t="s">
        <v>43</v>
      </c>
      <c r="D215" s="9" t="s">
        <v>506</v>
      </c>
      <c r="E215" s="9" t="s">
        <v>507</v>
      </c>
      <c r="F215" s="9" t="s">
        <v>12</v>
      </c>
      <c r="G215" s="10" t="n">
        <v>2023</v>
      </c>
      <c r="H215" s="10" t="n">
        <v>10</v>
      </c>
      <c r="I215" s="19" t="n">
        <v>21600</v>
      </c>
      <c r="J215" s="19" t="n">
        <v>24000</v>
      </c>
      <c r="K215" s="10" t="n">
        <v>1200</v>
      </c>
      <c r="L215" s="10" t="n">
        <v>3120</v>
      </c>
      <c r="M215" s="10" t="n">
        <v>33</v>
      </c>
      <c r="N215" s="11" t="n">
        <v>9.8</v>
      </c>
      <c r="O215" s="18" t="s">
        <v>56</v>
      </c>
    </row>
    <row r="216" customFormat="false" ht="15" hidden="false" customHeight="false" outlineLevel="0" collapsed="false">
      <c r="A216" s="18" t="n">
        <v>116253011</v>
      </c>
      <c r="B216" s="10" t="n">
        <v>215</v>
      </c>
      <c r="C216" s="18" t="s">
        <v>43</v>
      </c>
      <c r="D216" s="9" t="s">
        <v>508</v>
      </c>
      <c r="E216" s="9" t="s">
        <v>283</v>
      </c>
      <c r="F216" s="9" t="s">
        <v>12</v>
      </c>
      <c r="G216" s="10" t="n">
        <v>2023</v>
      </c>
      <c r="H216" s="10" t="n">
        <v>10</v>
      </c>
      <c r="I216" s="19" t="n">
        <v>23400</v>
      </c>
      <c r="J216" s="19" t="n">
        <v>26000</v>
      </c>
      <c r="K216" s="10" t="n">
        <v>1300</v>
      </c>
      <c r="L216" s="10" t="n">
        <v>6738</v>
      </c>
      <c r="M216" s="10" t="n">
        <v>69</v>
      </c>
      <c r="N216" s="11" t="n">
        <v>9.8</v>
      </c>
      <c r="O216" s="18" t="s">
        <v>46</v>
      </c>
    </row>
    <row r="217" customFormat="false" ht="15" hidden="false" customHeight="false" outlineLevel="0" collapsed="false">
      <c r="A217" s="18" t="n">
        <v>113485068</v>
      </c>
      <c r="B217" s="10" t="n">
        <v>216</v>
      </c>
      <c r="C217" s="18" t="s">
        <v>43</v>
      </c>
      <c r="D217" s="9" t="s">
        <v>509</v>
      </c>
      <c r="E217" s="9" t="s">
        <v>510</v>
      </c>
      <c r="F217" s="9" t="s">
        <v>511</v>
      </c>
      <c r="G217" s="10" t="n">
        <v>2024</v>
      </c>
      <c r="H217" s="10" t="n">
        <v>10</v>
      </c>
      <c r="I217" s="19" t="n">
        <v>38700</v>
      </c>
      <c r="J217" s="19" t="n">
        <v>43000</v>
      </c>
      <c r="K217" s="10" t="n">
        <v>2150</v>
      </c>
      <c r="L217" s="10" t="n">
        <v>4491</v>
      </c>
      <c r="M217" s="10" t="n">
        <v>7</v>
      </c>
      <c r="N217" s="11" t="n">
        <v>9.4</v>
      </c>
      <c r="O217" s="18" t="s">
        <v>46</v>
      </c>
    </row>
    <row r="218" customFormat="false" ht="15" hidden="false" customHeight="false" outlineLevel="0" collapsed="false">
      <c r="A218" s="18" t="n">
        <v>104984379</v>
      </c>
      <c r="B218" s="10" t="n">
        <v>217</v>
      </c>
      <c r="C218" s="18" t="s">
        <v>43</v>
      </c>
      <c r="D218" s="9" t="s">
        <v>512</v>
      </c>
      <c r="E218" s="9" t="s">
        <v>513</v>
      </c>
      <c r="F218" s="9" t="s">
        <v>514</v>
      </c>
      <c r="G218" s="10" t="n">
        <v>2021</v>
      </c>
      <c r="H218" s="10" t="n">
        <v>5</v>
      </c>
      <c r="I218" s="19" t="n">
        <v>42750</v>
      </c>
      <c r="J218" s="19" t="n">
        <v>45000</v>
      </c>
      <c r="K218" s="10" t="n">
        <v>1350</v>
      </c>
      <c r="L218" s="10" t="n">
        <v>1308</v>
      </c>
      <c r="M218" s="10" t="n">
        <v>0</v>
      </c>
      <c r="N218" s="11" t="n">
        <v>0</v>
      </c>
      <c r="O218" s="18" t="s">
        <v>56</v>
      </c>
    </row>
    <row r="219" customFormat="false" ht="15" hidden="false" customHeight="false" outlineLevel="0" collapsed="false">
      <c r="A219" s="18" t="n">
        <v>95379724</v>
      </c>
      <c r="B219" s="10" t="n">
        <v>218</v>
      </c>
      <c r="C219" s="18" t="s">
        <v>43</v>
      </c>
      <c r="D219" s="9" t="s">
        <v>515</v>
      </c>
      <c r="E219" s="9" t="s">
        <v>516</v>
      </c>
      <c r="F219" s="9" t="s">
        <v>517</v>
      </c>
      <c r="G219" s="10" t="n">
        <v>2020</v>
      </c>
      <c r="H219" s="10" t="n">
        <v>10</v>
      </c>
      <c r="I219" s="19" t="n">
        <v>14220</v>
      </c>
      <c r="J219" s="19" t="n">
        <v>15800</v>
      </c>
      <c r="K219" s="10" t="n">
        <v>790</v>
      </c>
      <c r="L219" s="10" t="n">
        <v>1146</v>
      </c>
      <c r="M219" s="10" t="n">
        <v>27</v>
      </c>
      <c r="N219" s="11" t="n">
        <v>10</v>
      </c>
      <c r="O219" s="18" t="s">
        <v>56</v>
      </c>
    </row>
    <row r="220" customFormat="false" ht="15" hidden="false" customHeight="false" outlineLevel="0" collapsed="false">
      <c r="A220" s="18" t="n">
        <v>92742567</v>
      </c>
      <c r="B220" s="10" t="n">
        <v>219</v>
      </c>
      <c r="C220" s="18" t="s">
        <v>43</v>
      </c>
      <c r="D220" s="9" t="s">
        <v>518</v>
      </c>
      <c r="E220" s="9" t="s">
        <v>519</v>
      </c>
      <c r="F220" s="9" t="s">
        <v>21</v>
      </c>
      <c r="G220" s="10" t="n">
        <v>2020</v>
      </c>
      <c r="H220" s="10" t="n">
        <v>10</v>
      </c>
      <c r="I220" s="19" t="n">
        <v>40500</v>
      </c>
      <c r="J220" s="19" t="n">
        <v>45000</v>
      </c>
      <c r="K220" s="10" t="n">
        <v>2250</v>
      </c>
      <c r="L220" s="10" t="n">
        <v>3204</v>
      </c>
      <c r="M220" s="10" t="n">
        <v>89</v>
      </c>
      <c r="N220" s="11" t="n">
        <v>9.6</v>
      </c>
      <c r="O220" s="18" t="s">
        <v>46</v>
      </c>
    </row>
    <row r="221" customFormat="false" ht="15" hidden="false" customHeight="false" outlineLevel="0" collapsed="false">
      <c r="A221" s="18" t="n">
        <v>91165789</v>
      </c>
      <c r="B221" s="10" t="n">
        <v>220</v>
      </c>
      <c r="C221" s="18" t="s">
        <v>43</v>
      </c>
      <c r="D221" s="9" t="s">
        <v>520</v>
      </c>
      <c r="E221" s="9" t="s">
        <v>521</v>
      </c>
      <c r="F221" s="9" t="s">
        <v>522</v>
      </c>
      <c r="G221" s="10" t="n">
        <v>2020</v>
      </c>
      <c r="H221" s="10" t="n">
        <v>10</v>
      </c>
      <c r="I221" s="19" t="n">
        <v>15120</v>
      </c>
      <c r="J221" s="19" t="n">
        <v>16800</v>
      </c>
      <c r="K221" s="10" t="n">
        <v>840</v>
      </c>
      <c r="L221" s="10" t="n">
        <v>4959</v>
      </c>
      <c r="M221" s="10" t="n">
        <v>170</v>
      </c>
      <c r="N221" s="11" t="n">
        <v>8.8</v>
      </c>
      <c r="O221" s="18" t="s">
        <v>46</v>
      </c>
    </row>
    <row r="222" customFormat="false" ht="15" hidden="false" customHeight="false" outlineLevel="0" collapsed="false">
      <c r="A222" s="18" t="n">
        <v>67350256</v>
      </c>
      <c r="B222" s="10" t="n">
        <v>221</v>
      </c>
      <c r="C222" s="18" t="s">
        <v>43</v>
      </c>
      <c r="D222" s="9" t="s">
        <v>523</v>
      </c>
      <c r="E222" s="9" t="s">
        <v>524</v>
      </c>
      <c r="F222" s="9" t="s">
        <v>311</v>
      </c>
      <c r="G222" s="10" t="n">
        <v>2018</v>
      </c>
      <c r="H222" s="10" t="n">
        <v>10</v>
      </c>
      <c r="I222" s="19" t="n">
        <v>11700</v>
      </c>
      <c r="J222" s="19" t="n">
        <v>13000</v>
      </c>
      <c r="K222" s="10" t="n">
        <v>650</v>
      </c>
      <c r="L222" s="10" t="n">
        <v>2631</v>
      </c>
      <c r="M222" s="10" t="n">
        <v>61</v>
      </c>
      <c r="N222" s="11" t="n">
        <v>9.3</v>
      </c>
      <c r="O222" s="18" t="s">
        <v>56</v>
      </c>
    </row>
    <row r="223" customFormat="false" ht="15" hidden="false" customHeight="false" outlineLevel="0" collapsed="false">
      <c r="A223" s="18" t="n">
        <v>11681152</v>
      </c>
      <c r="B223" s="10" t="n">
        <v>222</v>
      </c>
      <c r="C223" s="18" t="s">
        <v>43</v>
      </c>
      <c r="D223" s="15" t="s">
        <v>525</v>
      </c>
      <c r="E223" s="9" t="s">
        <v>526</v>
      </c>
      <c r="F223" s="9" t="s">
        <v>311</v>
      </c>
      <c r="G223" s="10" t="n">
        <v>2013</v>
      </c>
      <c r="H223" s="10" t="n">
        <v>10</v>
      </c>
      <c r="I223" s="19" t="n">
        <v>29700</v>
      </c>
      <c r="J223" s="19" t="n">
        <v>33000</v>
      </c>
      <c r="K223" s="10" t="n">
        <v>1650</v>
      </c>
      <c r="L223" s="10" t="n">
        <v>4926</v>
      </c>
      <c r="M223" s="10" t="n">
        <v>101</v>
      </c>
      <c r="N223" s="11" t="n">
        <v>9.5</v>
      </c>
      <c r="O223" s="18" t="s">
        <v>46</v>
      </c>
    </row>
    <row r="224" customFormat="false" ht="15" hidden="false" customHeight="false" outlineLevel="0" collapsed="false">
      <c r="A224" s="18" t="n">
        <v>8921236</v>
      </c>
      <c r="B224" s="10" t="n">
        <v>223</v>
      </c>
      <c r="C224" s="18" t="s">
        <v>43</v>
      </c>
      <c r="D224" s="9" t="s">
        <v>527</v>
      </c>
      <c r="E224" s="9" t="s">
        <v>528</v>
      </c>
      <c r="F224" s="9" t="s">
        <v>422</v>
      </c>
      <c r="G224" s="10" t="n">
        <v>2013</v>
      </c>
      <c r="H224" s="10" t="n">
        <v>10</v>
      </c>
      <c r="I224" s="19" t="n">
        <v>16920</v>
      </c>
      <c r="J224" s="19" t="n">
        <v>18800</v>
      </c>
      <c r="K224" s="10" t="n">
        <v>940</v>
      </c>
      <c r="L224" s="10" t="n">
        <v>4404</v>
      </c>
      <c r="M224" s="10" t="n">
        <v>48</v>
      </c>
      <c r="N224" s="11" t="n">
        <v>9.1</v>
      </c>
      <c r="O224" s="18" t="s">
        <v>46</v>
      </c>
    </row>
    <row r="225" customFormat="false" ht="15" hidden="false" customHeight="false" outlineLevel="0" collapsed="false">
      <c r="A225" s="18" t="n">
        <v>182629754</v>
      </c>
      <c r="B225" s="10" t="n">
        <v>224</v>
      </c>
      <c r="C225" s="18" t="s">
        <v>43</v>
      </c>
      <c r="D225" s="9" t="s">
        <v>529</v>
      </c>
      <c r="E225" s="9" t="s">
        <v>530</v>
      </c>
      <c r="F225" s="9" t="s">
        <v>12</v>
      </c>
      <c r="G225" s="10" t="n">
        <v>2026</v>
      </c>
      <c r="H225" s="10" t="n">
        <v>10</v>
      </c>
      <c r="I225" s="19" t="n">
        <v>25200</v>
      </c>
      <c r="J225" s="19" t="n">
        <v>28000</v>
      </c>
      <c r="K225" s="10" t="n">
        <v>1400</v>
      </c>
      <c r="L225" s="10" t="n">
        <v>2166</v>
      </c>
      <c r="M225" s="10" t="n">
        <v>112</v>
      </c>
      <c r="N225" s="11" t="n">
        <v>10</v>
      </c>
      <c r="O225" s="18" t="s">
        <v>56</v>
      </c>
    </row>
    <row r="226" customFormat="false" ht="15" hidden="false" customHeight="false" outlineLevel="0" collapsed="false">
      <c r="A226" s="18" t="n">
        <v>180490506</v>
      </c>
      <c r="B226" s="10" t="n">
        <v>225</v>
      </c>
      <c r="C226" s="18" t="s">
        <v>43</v>
      </c>
      <c r="D226" s="9" t="s">
        <v>531</v>
      </c>
      <c r="E226" s="9" t="s">
        <v>532</v>
      </c>
      <c r="F226" s="9" t="s">
        <v>16</v>
      </c>
      <c r="G226" s="10" t="n">
        <v>2026</v>
      </c>
      <c r="H226" s="10" t="n">
        <v>10</v>
      </c>
      <c r="I226" s="19" t="n">
        <v>25200</v>
      </c>
      <c r="J226" s="19" t="n">
        <v>28000</v>
      </c>
      <c r="K226" s="10" t="n">
        <v>1400</v>
      </c>
      <c r="L226" s="10" t="n">
        <v>1920</v>
      </c>
      <c r="M226" s="10" t="n">
        <v>5</v>
      </c>
      <c r="N226" s="11" t="n">
        <v>10</v>
      </c>
      <c r="O226" s="18" t="s">
        <v>56</v>
      </c>
    </row>
    <row r="227" customFormat="false" ht="15" hidden="false" customHeight="false" outlineLevel="0" collapsed="false">
      <c r="A227" s="18" t="n">
        <v>177288116</v>
      </c>
      <c r="B227" s="10" t="n">
        <v>226</v>
      </c>
      <c r="C227" s="18" t="s">
        <v>43</v>
      </c>
      <c r="D227" s="9" t="s">
        <v>533</v>
      </c>
      <c r="E227" s="9" t="s">
        <v>534</v>
      </c>
      <c r="F227" s="9" t="s">
        <v>23</v>
      </c>
      <c r="G227" s="10" t="n">
        <v>2026</v>
      </c>
      <c r="H227" s="10" t="n">
        <v>10</v>
      </c>
      <c r="I227" s="19" t="n">
        <v>28800</v>
      </c>
      <c r="J227" s="19" t="n">
        <v>32000</v>
      </c>
      <c r="K227" s="10" t="n">
        <v>1600</v>
      </c>
      <c r="L227" s="10" t="n">
        <v>1359</v>
      </c>
      <c r="M227" s="10" t="n">
        <v>18</v>
      </c>
      <c r="N227" s="11" t="n">
        <v>10</v>
      </c>
      <c r="O227" s="18" t="s">
        <v>56</v>
      </c>
    </row>
    <row r="228" customFormat="false" ht="15" hidden="false" customHeight="false" outlineLevel="0" collapsed="false">
      <c r="A228" s="18" t="n">
        <v>176990624</v>
      </c>
      <c r="B228" s="10" t="n">
        <v>227</v>
      </c>
      <c r="C228" s="18" t="s">
        <v>43</v>
      </c>
      <c r="D228" s="9" t="s">
        <v>535</v>
      </c>
      <c r="E228" s="9" t="s">
        <v>536</v>
      </c>
      <c r="F228" s="9" t="s">
        <v>93</v>
      </c>
      <c r="G228" s="10" t="n">
        <v>2026</v>
      </c>
      <c r="H228" s="10" t="n">
        <v>10</v>
      </c>
      <c r="I228" s="19" t="n">
        <v>24300</v>
      </c>
      <c r="J228" s="19" t="n">
        <v>27000</v>
      </c>
      <c r="K228" s="10" t="n">
        <v>1350</v>
      </c>
      <c r="L228" s="10" t="n">
        <v>1884</v>
      </c>
      <c r="M228" s="10" t="n">
        <v>5</v>
      </c>
      <c r="N228" s="11" t="n">
        <v>10</v>
      </c>
      <c r="O228" s="18" t="s">
        <v>56</v>
      </c>
    </row>
    <row r="229" customFormat="false" ht="15" hidden="false" customHeight="false" outlineLevel="0" collapsed="false">
      <c r="A229" s="18" t="n">
        <v>162224477</v>
      </c>
      <c r="B229" s="10" t="n">
        <v>228</v>
      </c>
      <c r="C229" s="18" t="s">
        <v>43</v>
      </c>
      <c r="D229" s="15" t="s">
        <v>537</v>
      </c>
      <c r="E229" s="15" t="s">
        <v>538</v>
      </c>
      <c r="F229" s="9" t="s">
        <v>21</v>
      </c>
      <c r="G229" s="10" t="n">
        <v>2025</v>
      </c>
      <c r="H229" s="10" t="n">
        <v>10</v>
      </c>
      <c r="I229" s="19" t="n">
        <v>25200</v>
      </c>
      <c r="J229" s="19" t="n">
        <v>28000</v>
      </c>
      <c r="K229" s="10" t="n">
        <v>1400</v>
      </c>
      <c r="L229" s="10" t="n">
        <v>2943</v>
      </c>
      <c r="M229" s="10" t="n">
        <v>1</v>
      </c>
      <c r="N229" s="11" t="n">
        <v>10</v>
      </c>
      <c r="O229" s="18" t="s">
        <v>56</v>
      </c>
    </row>
    <row r="230" customFormat="false" ht="15" hidden="false" customHeight="false" outlineLevel="0" collapsed="false">
      <c r="A230" s="18" t="n">
        <v>145761422</v>
      </c>
      <c r="B230" s="10" t="n">
        <v>229</v>
      </c>
      <c r="C230" s="18" t="s">
        <v>43</v>
      </c>
      <c r="D230" s="9" t="s">
        <v>539</v>
      </c>
      <c r="E230" s="9" t="s">
        <v>540</v>
      </c>
      <c r="F230" s="9" t="s">
        <v>12</v>
      </c>
      <c r="G230" s="10" t="n">
        <v>2025</v>
      </c>
      <c r="H230" s="10" t="n">
        <v>10</v>
      </c>
      <c r="I230" s="19" t="n">
        <v>25200</v>
      </c>
      <c r="J230" s="19" t="n">
        <v>28000</v>
      </c>
      <c r="K230" s="10" t="n">
        <v>1400</v>
      </c>
      <c r="L230" s="10" t="n">
        <v>7272</v>
      </c>
      <c r="M230" s="10" t="n">
        <v>28</v>
      </c>
      <c r="N230" s="11" t="n">
        <v>9.8</v>
      </c>
      <c r="O230" s="18" t="s">
        <v>56</v>
      </c>
    </row>
    <row r="231" customFormat="false" ht="15" hidden="false" customHeight="false" outlineLevel="0" collapsed="false">
      <c r="A231" s="18" t="n">
        <v>129445293</v>
      </c>
      <c r="B231" s="10" t="n">
        <v>230</v>
      </c>
      <c r="C231" s="18" t="s">
        <v>43</v>
      </c>
      <c r="D231" s="9" t="s">
        <v>541</v>
      </c>
      <c r="E231" s="9" t="s">
        <v>221</v>
      </c>
      <c r="F231" s="9" t="s">
        <v>100</v>
      </c>
      <c r="G231" s="10" t="n">
        <v>2024</v>
      </c>
      <c r="H231" s="10" t="n">
        <v>10</v>
      </c>
      <c r="I231" s="19" t="n">
        <v>19800</v>
      </c>
      <c r="J231" s="19" t="n">
        <v>22000</v>
      </c>
      <c r="K231" s="10" t="n">
        <v>1100</v>
      </c>
      <c r="L231" s="10" t="n">
        <v>852</v>
      </c>
      <c r="M231" s="10" t="n">
        <v>4</v>
      </c>
      <c r="N231" s="11" t="n">
        <v>9</v>
      </c>
      <c r="O231" s="18" t="s">
        <v>56</v>
      </c>
    </row>
    <row r="232" customFormat="false" ht="15" hidden="false" customHeight="false" outlineLevel="0" collapsed="false">
      <c r="A232" s="18" t="n">
        <v>190823476</v>
      </c>
      <c r="B232" s="10" t="n">
        <v>231</v>
      </c>
      <c r="C232" s="18" t="s">
        <v>43</v>
      </c>
      <c r="D232" s="9" t="s">
        <v>542</v>
      </c>
      <c r="E232" s="9" t="s">
        <v>543</v>
      </c>
      <c r="F232" s="9" t="s">
        <v>544</v>
      </c>
      <c r="G232" s="10" t="n">
        <v>2026</v>
      </c>
      <c r="H232" s="10" t="n">
        <v>10</v>
      </c>
      <c r="I232" s="19" t="n">
        <v>17100</v>
      </c>
      <c r="J232" s="19" t="n">
        <v>19000</v>
      </c>
      <c r="K232" s="10" t="n">
        <v>950</v>
      </c>
      <c r="L232" s="10" t="n">
        <v>180</v>
      </c>
      <c r="M232" s="10" t="n">
        <v>0</v>
      </c>
      <c r="N232" s="11" t="n">
        <v>0</v>
      </c>
      <c r="O232" s="18" t="s">
        <v>56</v>
      </c>
    </row>
    <row r="233" customFormat="false" ht="15" hidden="false" customHeight="false" outlineLevel="0" collapsed="false">
      <c r="A233" s="18" t="n">
        <v>190440946</v>
      </c>
      <c r="B233" s="10" t="n">
        <v>232</v>
      </c>
      <c r="C233" s="18" t="s">
        <v>43</v>
      </c>
      <c r="D233" s="9" t="s">
        <v>545</v>
      </c>
      <c r="E233" s="9" t="s">
        <v>546</v>
      </c>
      <c r="F233" s="15" t="s">
        <v>547</v>
      </c>
      <c r="G233" s="10" t="n">
        <v>2026</v>
      </c>
      <c r="H233" s="10" t="n">
        <v>10</v>
      </c>
      <c r="I233" s="19" t="n">
        <v>21600</v>
      </c>
      <c r="J233" s="19" t="n">
        <v>24000</v>
      </c>
      <c r="K233" s="10" t="n">
        <v>1200</v>
      </c>
      <c r="L233" s="10" t="n">
        <v>180</v>
      </c>
      <c r="M233" s="10" t="n">
        <v>0</v>
      </c>
      <c r="N233" s="11" t="n">
        <v>0</v>
      </c>
      <c r="O233" s="18" t="s">
        <v>56</v>
      </c>
    </row>
    <row r="234" customFormat="false" ht="15" hidden="false" customHeight="false" outlineLevel="0" collapsed="false">
      <c r="A234" s="18" t="n">
        <v>189821967</v>
      </c>
      <c r="B234" s="10" t="n">
        <v>233</v>
      </c>
      <c r="C234" s="18" t="s">
        <v>43</v>
      </c>
      <c r="D234" s="15" t="s">
        <v>548</v>
      </c>
      <c r="E234" s="9" t="s">
        <v>549</v>
      </c>
      <c r="F234" s="9" t="s">
        <v>16</v>
      </c>
      <c r="G234" s="10" t="n">
        <v>2026</v>
      </c>
      <c r="H234" s="10" t="n">
        <v>10</v>
      </c>
      <c r="I234" s="19" t="n">
        <v>21600</v>
      </c>
      <c r="J234" s="19" t="n">
        <v>24000</v>
      </c>
      <c r="K234" s="10" t="n">
        <v>1200</v>
      </c>
      <c r="L234" s="10" t="n">
        <v>264</v>
      </c>
      <c r="M234" s="10" t="n">
        <v>0</v>
      </c>
      <c r="N234" s="11" t="n">
        <v>0</v>
      </c>
      <c r="O234" s="18" t="s">
        <v>56</v>
      </c>
    </row>
    <row r="235" customFormat="false" ht="15" hidden="false" customHeight="false" outlineLevel="0" collapsed="false">
      <c r="A235" s="18" t="n">
        <v>189508675</v>
      </c>
      <c r="B235" s="10" t="n">
        <v>234</v>
      </c>
      <c r="C235" s="18" t="s">
        <v>43</v>
      </c>
      <c r="D235" s="9" t="s">
        <v>550</v>
      </c>
      <c r="E235" s="9" t="s">
        <v>551</v>
      </c>
      <c r="F235" s="9" t="s">
        <v>552</v>
      </c>
      <c r="G235" s="10" t="n">
        <v>2026</v>
      </c>
      <c r="H235" s="10" t="n">
        <v>10</v>
      </c>
      <c r="I235" s="19" t="n">
        <v>20700</v>
      </c>
      <c r="J235" s="19" t="n">
        <v>23000</v>
      </c>
      <c r="K235" s="10" t="n">
        <v>1150</v>
      </c>
      <c r="L235" s="10" t="n">
        <v>492</v>
      </c>
      <c r="M235" s="10" t="n">
        <v>1</v>
      </c>
      <c r="N235" s="11" t="n">
        <v>10</v>
      </c>
      <c r="O235" s="18" t="s">
        <v>56</v>
      </c>
    </row>
    <row r="236" customFormat="false" ht="15" hidden="false" customHeight="false" outlineLevel="0" collapsed="false">
      <c r="A236" s="18" t="n">
        <v>189445983</v>
      </c>
      <c r="B236" s="10" t="n">
        <v>235</v>
      </c>
      <c r="C236" s="18" t="s">
        <v>43</v>
      </c>
      <c r="D236" s="15" t="s">
        <v>553</v>
      </c>
      <c r="E236" s="9" t="s">
        <v>554</v>
      </c>
      <c r="F236" s="9" t="s">
        <v>16</v>
      </c>
      <c r="G236" s="10" t="n">
        <v>2026</v>
      </c>
      <c r="H236" s="10" t="n">
        <v>10</v>
      </c>
      <c r="I236" s="19" t="n">
        <v>20520</v>
      </c>
      <c r="J236" s="19" t="n">
        <v>22800</v>
      </c>
      <c r="K236" s="10" t="n">
        <v>1140</v>
      </c>
      <c r="L236" s="10" t="n">
        <v>348</v>
      </c>
      <c r="M236" s="10" t="n">
        <v>2</v>
      </c>
      <c r="N236" s="11" t="n">
        <v>10</v>
      </c>
      <c r="O236" s="18" t="s">
        <v>56</v>
      </c>
    </row>
    <row r="237" customFormat="false" ht="15" hidden="false" customHeight="false" outlineLevel="0" collapsed="false">
      <c r="A237" s="18" t="n">
        <v>187166773</v>
      </c>
      <c r="B237" s="10" t="n">
        <v>236</v>
      </c>
      <c r="C237" s="18" t="s">
        <v>43</v>
      </c>
      <c r="D237" s="9" t="s">
        <v>555</v>
      </c>
      <c r="E237" s="9" t="s">
        <v>556</v>
      </c>
      <c r="F237" s="9" t="s">
        <v>311</v>
      </c>
      <c r="G237" s="10" t="n">
        <v>2026</v>
      </c>
      <c r="H237" s="10" t="n">
        <v>10</v>
      </c>
      <c r="I237" s="19" t="n">
        <v>19800</v>
      </c>
      <c r="J237" s="19" t="n">
        <v>22000</v>
      </c>
      <c r="K237" s="10" t="n">
        <v>1100</v>
      </c>
      <c r="L237" s="10" t="n">
        <v>582</v>
      </c>
      <c r="M237" s="10" t="n">
        <v>26</v>
      </c>
      <c r="N237" s="11" t="n">
        <v>9.8</v>
      </c>
      <c r="O237" s="18" t="s">
        <v>56</v>
      </c>
    </row>
    <row r="238" customFormat="false" ht="15" hidden="false" customHeight="false" outlineLevel="0" collapsed="false">
      <c r="A238" s="18" t="n">
        <v>187050404</v>
      </c>
      <c r="B238" s="10" t="n">
        <v>237</v>
      </c>
      <c r="C238" s="18" t="s">
        <v>43</v>
      </c>
      <c r="D238" s="9" t="s">
        <v>557</v>
      </c>
      <c r="E238" s="9" t="s">
        <v>558</v>
      </c>
      <c r="F238" s="9" t="s">
        <v>145</v>
      </c>
      <c r="G238" s="10" t="n">
        <v>2026</v>
      </c>
      <c r="H238" s="10" t="n">
        <v>0</v>
      </c>
      <c r="I238" s="19" t="n">
        <v>20000</v>
      </c>
      <c r="J238" s="19" t="n">
        <v>20000</v>
      </c>
      <c r="K238" s="10" t="n">
        <v>0</v>
      </c>
      <c r="L238" s="10" t="n">
        <v>1704</v>
      </c>
      <c r="M238" s="10" t="n">
        <v>19</v>
      </c>
      <c r="N238" s="11" t="n">
        <v>10</v>
      </c>
      <c r="O238" s="18" t="s">
        <v>56</v>
      </c>
    </row>
    <row r="239" customFormat="false" ht="15" hidden="false" customHeight="false" outlineLevel="0" collapsed="false">
      <c r="A239" s="18" t="n">
        <v>186675967</v>
      </c>
      <c r="B239" s="10" t="n">
        <v>238</v>
      </c>
      <c r="C239" s="18" t="s">
        <v>43</v>
      </c>
      <c r="D239" s="9" t="s">
        <v>559</v>
      </c>
      <c r="E239" s="9" t="s">
        <v>560</v>
      </c>
      <c r="F239" s="15" t="s">
        <v>561</v>
      </c>
      <c r="G239" s="10" t="n">
        <v>2026</v>
      </c>
      <c r="H239" s="10" t="n">
        <v>0</v>
      </c>
      <c r="I239" s="19" t="n">
        <v>18300</v>
      </c>
      <c r="J239" s="19" t="n">
        <v>18300</v>
      </c>
      <c r="K239" s="10" t="n">
        <v>0</v>
      </c>
      <c r="L239" s="10" t="n">
        <v>462</v>
      </c>
      <c r="M239" s="10" t="n">
        <v>0</v>
      </c>
      <c r="N239" s="11" t="n">
        <v>0</v>
      </c>
      <c r="O239" s="18" t="s">
        <v>56</v>
      </c>
    </row>
    <row r="240" customFormat="false" ht="15" hidden="false" customHeight="false" outlineLevel="0" collapsed="false">
      <c r="A240" s="18" t="n">
        <v>186140134</v>
      </c>
      <c r="B240" s="10" t="n">
        <v>239</v>
      </c>
      <c r="C240" s="18" t="s">
        <v>43</v>
      </c>
      <c r="D240" s="9" t="s">
        <v>562</v>
      </c>
      <c r="E240" s="9" t="s">
        <v>563</v>
      </c>
      <c r="F240" s="9" t="s">
        <v>564</v>
      </c>
      <c r="G240" s="10" t="n">
        <v>2026</v>
      </c>
      <c r="H240" s="10" t="n">
        <v>10</v>
      </c>
      <c r="I240" s="19" t="n">
        <v>16920</v>
      </c>
      <c r="J240" s="19" t="n">
        <v>18800</v>
      </c>
      <c r="K240" s="10" t="n">
        <v>940</v>
      </c>
      <c r="L240" s="10" t="n">
        <v>462</v>
      </c>
      <c r="M240" s="10" t="n">
        <v>0</v>
      </c>
      <c r="N240" s="11" t="n">
        <v>0</v>
      </c>
      <c r="O240" s="18" t="s">
        <v>56</v>
      </c>
    </row>
    <row r="241" customFormat="false" ht="15" hidden="false" customHeight="false" outlineLevel="0" collapsed="false">
      <c r="A241" s="18" t="n">
        <v>185721925</v>
      </c>
      <c r="B241" s="10" t="n">
        <v>240</v>
      </c>
      <c r="C241" s="18" t="s">
        <v>43</v>
      </c>
      <c r="D241" s="9" t="s">
        <v>565</v>
      </c>
      <c r="E241" s="9" t="s">
        <v>566</v>
      </c>
      <c r="F241" s="9" t="s">
        <v>109</v>
      </c>
      <c r="G241" s="10" t="n">
        <v>2026</v>
      </c>
      <c r="H241" s="10" t="n">
        <v>10</v>
      </c>
      <c r="I241" s="19" t="n">
        <v>19800</v>
      </c>
      <c r="J241" s="19" t="n">
        <v>22000</v>
      </c>
      <c r="K241" s="10" t="n">
        <v>1100</v>
      </c>
      <c r="L241" s="10" t="n">
        <v>996</v>
      </c>
      <c r="M241" s="10" t="n">
        <v>0</v>
      </c>
      <c r="N241" s="11" t="n">
        <v>0</v>
      </c>
      <c r="O241" s="18" t="s">
        <v>56</v>
      </c>
    </row>
    <row r="242" customFormat="false" ht="15" hidden="false" customHeight="false" outlineLevel="0" collapsed="false">
      <c r="A242" s="18" t="n">
        <v>184642019</v>
      </c>
      <c r="B242" s="10" t="n">
        <v>241</v>
      </c>
      <c r="C242" s="18" t="s">
        <v>43</v>
      </c>
      <c r="D242" s="9" t="s">
        <v>567</v>
      </c>
      <c r="E242" s="9" t="s">
        <v>568</v>
      </c>
      <c r="F242" s="9" t="s">
        <v>64</v>
      </c>
      <c r="G242" s="10" t="n">
        <v>2026</v>
      </c>
      <c r="H242" s="10" t="n">
        <v>10</v>
      </c>
      <c r="I242" s="19" t="n">
        <v>15120</v>
      </c>
      <c r="J242" s="19" t="n">
        <v>16800</v>
      </c>
      <c r="K242" s="10" t="n">
        <v>840</v>
      </c>
      <c r="L242" s="10" t="n">
        <v>1146</v>
      </c>
      <c r="M242" s="10" t="n">
        <v>15</v>
      </c>
      <c r="N242" s="11" t="n">
        <v>10</v>
      </c>
      <c r="O242" s="18" t="s">
        <v>56</v>
      </c>
    </row>
    <row r="243" customFormat="false" ht="15" hidden="false" customHeight="false" outlineLevel="0" collapsed="false">
      <c r="A243" s="18" t="n">
        <v>184402508</v>
      </c>
      <c r="B243" s="10" t="n">
        <v>242</v>
      </c>
      <c r="C243" s="18" t="s">
        <v>43</v>
      </c>
      <c r="D243" s="15" t="s">
        <v>569</v>
      </c>
      <c r="E243" s="9" t="s">
        <v>570</v>
      </c>
      <c r="F243" s="9" t="s">
        <v>12</v>
      </c>
      <c r="G243" s="10" t="n">
        <v>2026</v>
      </c>
      <c r="H243" s="10" t="n">
        <v>10</v>
      </c>
      <c r="I243" s="19" t="n">
        <v>22500</v>
      </c>
      <c r="J243" s="19" t="n">
        <v>25000</v>
      </c>
      <c r="K243" s="10" t="n">
        <v>1250</v>
      </c>
      <c r="L243" s="10" t="n">
        <v>1236</v>
      </c>
      <c r="M243" s="10" t="n">
        <v>9</v>
      </c>
      <c r="N243" s="11" t="n">
        <v>8.9</v>
      </c>
      <c r="O243" s="18" t="s">
        <v>56</v>
      </c>
    </row>
    <row r="244" customFormat="false" ht="15" hidden="false" customHeight="false" outlineLevel="0" collapsed="false">
      <c r="A244" s="18" t="n">
        <v>183708092</v>
      </c>
      <c r="B244" s="10" t="n">
        <v>243</v>
      </c>
      <c r="C244" s="18" t="s">
        <v>43</v>
      </c>
      <c r="D244" s="9" t="s">
        <v>571</v>
      </c>
      <c r="E244" s="9" t="s">
        <v>572</v>
      </c>
      <c r="F244" s="9" t="s">
        <v>573</v>
      </c>
      <c r="G244" s="10" t="n">
        <v>2026</v>
      </c>
      <c r="H244" s="10" t="n">
        <v>10</v>
      </c>
      <c r="I244" s="19" t="n">
        <v>15300</v>
      </c>
      <c r="J244" s="19" t="n">
        <v>17000</v>
      </c>
      <c r="K244" s="10" t="n">
        <v>850</v>
      </c>
      <c r="L244" s="10" t="n">
        <v>1254</v>
      </c>
      <c r="M244" s="10" t="n">
        <v>5</v>
      </c>
      <c r="N244" s="11" t="n">
        <v>10</v>
      </c>
      <c r="O244" s="18" t="s">
        <v>56</v>
      </c>
    </row>
    <row r="245" customFormat="false" ht="15" hidden="false" customHeight="false" outlineLevel="0" collapsed="false">
      <c r="A245" s="18" t="n">
        <v>182628538</v>
      </c>
      <c r="B245" s="10" t="n">
        <v>244</v>
      </c>
      <c r="C245" s="18" t="s">
        <v>43</v>
      </c>
      <c r="D245" s="9" t="s">
        <v>574</v>
      </c>
      <c r="E245" s="9" t="s">
        <v>575</v>
      </c>
      <c r="F245" s="9" t="s">
        <v>12</v>
      </c>
      <c r="G245" s="10" t="n">
        <v>2026</v>
      </c>
      <c r="H245" s="10" t="n">
        <v>10</v>
      </c>
      <c r="I245" s="19" t="n">
        <v>20700</v>
      </c>
      <c r="J245" s="19" t="n">
        <v>23000</v>
      </c>
      <c r="K245" s="10" t="n">
        <v>1150</v>
      </c>
      <c r="L245" s="10" t="n">
        <v>1704</v>
      </c>
      <c r="M245" s="10" t="n">
        <v>18</v>
      </c>
      <c r="N245" s="11" t="n">
        <v>10</v>
      </c>
      <c r="O245" s="18" t="s">
        <v>56</v>
      </c>
    </row>
    <row r="246" customFormat="false" ht="15" hidden="false" customHeight="false" outlineLevel="0" collapsed="false">
      <c r="A246" s="18" t="n">
        <v>182507308</v>
      </c>
      <c r="B246" s="10" t="n">
        <v>245</v>
      </c>
      <c r="C246" s="18" t="s">
        <v>43</v>
      </c>
      <c r="D246" s="15" t="s">
        <v>576</v>
      </c>
      <c r="E246" s="9" t="s">
        <v>290</v>
      </c>
      <c r="F246" s="9" t="s">
        <v>511</v>
      </c>
      <c r="G246" s="10" t="n">
        <v>2026</v>
      </c>
      <c r="H246" s="10" t="n">
        <v>10</v>
      </c>
      <c r="I246" s="19" t="n">
        <v>22500</v>
      </c>
      <c r="J246" s="19" t="n">
        <v>25000</v>
      </c>
      <c r="K246" s="10" t="n">
        <v>1250</v>
      </c>
      <c r="L246" s="10" t="n">
        <v>1023</v>
      </c>
      <c r="M246" s="10" t="n">
        <v>27</v>
      </c>
      <c r="N246" s="11" t="n">
        <v>9.9</v>
      </c>
      <c r="O246" s="18" t="s">
        <v>56</v>
      </c>
    </row>
    <row r="247" customFormat="false" ht="15" hidden="false" customHeight="false" outlineLevel="0" collapsed="false">
      <c r="A247" s="18" t="n">
        <v>180513905</v>
      </c>
      <c r="B247" s="10" t="n">
        <v>246</v>
      </c>
      <c r="C247" s="18" t="s">
        <v>43</v>
      </c>
      <c r="D247" s="9" t="s">
        <v>577</v>
      </c>
      <c r="E247" s="9" t="s">
        <v>578</v>
      </c>
      <c r="F247" s="9" t="s">
        <v>21</v>
      </c>
      <c r="G247" s="10" t="n">
        <v>2026</v>
      </c>
      <c r="H247" s="10" t="n">
        <v>10</v>
      </c>
      <c r="I247" s="19" t="n">
        <v>34200</v>
      </c>
      <c r="J247" s="19" t="n">
        <v>38000</v>
      </c>
      <c r="K247" s="10" t="n">
        <v>1900</v>
      </c>
      <c r="L247" s="10" t="n">
        <v>594</v>
      </c>
      <c r="M247" s="10" t="n">
        <v>0</v>
      </c>
      <c r="N247" s="11" t="n">
        <v>0</v>
      </c>
      <c r="O247" s="18" t="s">
        <v>56</v>
      </c>
    </row>
    <row r="248" customFormat="false" ht="15" hidden="false" customHeight="false" outlineLevel="0" collapsed="false">
      <c r="A248" s="18" t="n">
        <v>180484161</v>
      </c>
      <c r="B248" s="10" t="n">
        <v>247</v>
      </c>
      <c r="C248" s="18" t="s">
        <v>43</v>
      </c>
      <c r="D248" s="9" t="s">
        <v>579</v>
      </c>
      <c r="E248" s="9" t="s">
        <v>580</v>
      </c>
      <c r="F248" s="9" t="s">
        <v>231</v>
      </c>
      <c r="G248" s="10" t="n">
        <v>2026</v>
      </c>
      <c r="H248" s="10" t="n">
        <v>10</v>
      </c>
      <c r="I248" s="19" t="n">
        <v>24300</v>
      </c>
      <c r="J248" s="19" t="n">
        <v>27000</v>
      </c>
      <c r="K248" s="10" t="n">
        <v>1350</v>
      </c>
      <c r="L248" s="10" t="n">
        <v>1026</v>
      </c>
      <c r="M248" s="10" t="n">
        <v>2</v>
      </c>
      <c r="N248" s="11" t="n">
        <v>10</v>
      </c>
      <c r="O248" s="18" t="s">
        <v>56</v>
      </c>
    </row>
    <row r="249" customFormat="false" ht="15" hidden="false" customHeight="false" outlineLevel="0" collapsed="false">
      <c r="A249" s="18" t="n">
        <v>180468863</v>
      </c>
      <c r="B249" s="10" t="n">
        <v>248</v>
      </c>
      <c r="C249" s="18" t="s">
        <v>43</v>
      </c>
      <c r="D249" s="15" t="s">
        <v>581</v>
      </c>
      <c r="E249" s="9" t="s">
        <v>582</v>
      </c>
      <c r="F249" s="9" t="s">
        <v>19</v>
      </c>
      <c r="G249" s="10" t="n">
        <v>2026</v>
      </c>
      <c r="H249" s="10" t="n">
        <v>10</v>
      </c>
      <c r="I249" s="19" t="n">
        <v>32400</v>
      </c>
      <c r="J249" s="19" t="n">
        <v>36000</v>
      </c>
      <c r="K249" s="10" t="n">
        <v>1800</v>
      </c>
      <c r="L249" s="10" t="n">
        <v>2556</v>
      </c>
      <c r="M249" s="10" t="n">
        <v>29</v>
      </c>
      <c r="N249" s="11" t="n">
        <v>10</v>
      </c>
      <c r="O249" s="18" t="s">
        <v>46</v>
      </c>
    </row>
    <row r="250" customFormat="false" ht="15" hidden="false" customHeight="false" outlineLevel="0" collapsed="false">
      <c r="A250" s="18" t="n">
        <v>180335619</v>
      </c>
      <c r="B250" s="10" t="n">
        <v>249</v>
      </c>
      <c r="C250" s="18" t="s">
        <v>43</v>
      </c>
      <c r="D250" s="9" t="s">
        <v>583</v>
      </c>
      <c r="E250" s="9" t="s">
        <v>584</v>
      </c>
      <c r="F250" s="9" t="s">
        <v>195</v>
      </c>
      <c r="G250" s="10" t="n">
        <v>2026</v>
      </c>
      <c r="H250" s="10" t="n">
        <v>10</v>
      </c>
      <c r="I250" s="19" t="n">
        <v>18000</v>
      </c>
      <c r="J250" s="19" t="n">
        <v>20000</v>
      </c>
      <c r="K250" s="10" t="n">
        <v>1000</v>
      </c>
      <c r="L250" s="10" t="n">
        <v>2478</v>
      </c>
      <c r="M250" s="10" t="n">
        <v>9</v>
      </c>
      <c r="N250" s="11" t="n">
        <v>10</v>
      </c>
      <c r="O250" s="18" t="s">
        <v>56</v>
      </c>
    </row>
    <row r="251" customFormat="false" ht="15" hidden="false" customHeight="false" outlineLevel="0" collapsed="false">
      <c r="A251" s="18" t="n">
        <v>180317043</v>
      </c>
      <c r="B251" s="10" t="n">
        <v>250</v>
      </c>
      <c r="C251" s="18" t="s">
        <v>43</v>
      </c>
      <c r="D251" s="9" t="s">
        <v>585</v>
      </c>
      <c r="E251" s="9" t="s">
        <v>586</v>
      </c>
      <c r="F251" s="9" t="s">
        <v>12</v>
      </c>
      <c r="G251" s="10" t="n">
        <v>2026</v>
      </c>
      <c r="H251" s="10" t="n">
        <v>10</v>
      </c>
      <c r="I251" s="19" t="n">
        <v>18000</v>
      </c>
      <c r="J251" s="19" t="n">
        <v>20000</v>
      </c>
      <c r="K251" s="10" t="n">
        <v>1000</v>
      </c>
      <c r="L251" s="10" t="n">
        <v>1164</v>
      </c>
      <c r="M251" s="10" t="n">
        <v>24</v>
      </c>
      <c r="N251" s="11" t="n">
        <v>9.3</v>
      </c>
      <c r="O251" s="18" t="s">
        <v>56</v>
      </c>
    </row>
    <row r="252" customFormat="false" ht="15" hidden="false" customHeight="false" outlineLevel="0" collapsed="false">
      <c r="A252" s="18" t="n">
        <v>178728857</v>
      </c>
      <c r="B252" s="10" t="n">
        <v>251</v>
      </c>
      <c r="C252" s="18" t="s">
        <v>43</v>
      </c>
      <c r="D252" s="9" t="s">
        <v>587</v>
      </c>
      <c r="E252" s="9" t="s">
        <v>588</v>
      </c>
      <c r="F252" s="9" t="s">
        <v>589</v>
      </c>
      <c r="G252" s="10" t="n">
        <v>2026</v>
      </c>
      <c r="H252" s="10" t="n">
        <v>10</v>
      </c>
      <c r="I252" s="19" t="n">
        <v>25200</v>
      </c>
      <c r="J252" s="19" t="n">
        <v>28000</v>
      </c>
      <c r="K252" s="10" t="n">
        <v>0</v>
      </c>
      <c r="L252" s="10" t="n">
        <v>678</v>
      </c>
      <c r="M252" s="10" t="n">
        <v>1</v>
      </c>
      <c r="N252" s="11" t="n">
        <v>10</v>
      </c>
      <c r="O252" s="18" t="s">
        <v>56</v>
      </c>
    </row>
    <row r="253" customFormat="false" ht="15" hidden="false" customHeight="false" outlineLevel="0" collapsed="false">
      <c r="A253" s="18" t="n">
        <v>177866994</v>
      </c>
      <c r="B253" s="10" t="n">
        <v>252</v>
      </c>
      <c r="C253" s="18" t="s">
        <v>43</v>
      </c>
      <c r="D253" s="9" t="s">
        <v>590</v>
      </c>
      <c r="E253" s="9" t="s">
        <v>591</v>
      </c>
      <c r="F253" s="9" t="s">
        <v>16</v>
      </c>
      <c r="G253" s="10" t="n">
        <v>2026</v>
      </c>
      <c r="H253" s="10" t="n">
        <v>10</v>
      </c>
      <c r="I253" s="19" t="n">
        <v>27000</v>
      </c>
      <c r="J253" s="19" t="n">
        <v>30000</v>
      </c>
      <c r="K253" s="10" t="n">
        <v>1500</v>
      </c>
      <c r="L253" s="10" t="n">
        <v>684</v>
      </c>
      <c r="M253" s="10" t="n">
        <v>0</v>
      </c>
      <c r="N253" s="11" t="n">
        <v>0</v>
      </c>
      <c r="O253" s="18" t="s">
        <v>56</v>
      </c>
    </row>
    <row r="254" customFormat="false" ht="15" hidden="false" customHeight="false" outlineLevel="0" collapsed="false">
      <c r="A254" s="18" t="n">
        <v>177114666</v>
      </c>
      <c r="B254" s="10" t="n">
        <v>253</v>
      </c>
      <c r="C254" s="18" t="s">
        <v>43</v>
      </c>
      <c r="D254" s="9" t="s">
        <v>592</v>
      </c>
      <c r="E254" s="9" t="s">
        <v>593</v>
      </c>
      <c r="F254" s="9" t="s">
        <v>109</v>
      </c>
      <c r="G254" s="10" t="n">
        <v>2026</v>
      </c>
      <c r="H254" s="10" t="n">
        <v>10</v>
      </c>
      <c r="I254" s="19" t="n">
        <v>28800</v>
      </c>
      <c r="J254" s="19" t="n">
        <v>32000</v>
      </c>
      <c r="K254" s="10" t="n">
        <v>1600</v>
      </c>
      <c r="L254" s="10" t="n">
        <v>2415</v>
      </c>
      <c r="M254" s="10" t="n">
        <v>14</v>
      </c>
      <c r="N254" s="11" t="n">
        <v>10</v>
      </c>
      <c r="O254" s="18" t="s">
        <v>56</v>
      </c>
    </row>
    <row r="255" customFormat="false" ht="15" hidden="false" customHeight="false" outlineLevel="0" collapsed="false">
      <c r="A255" s="18" t="n">
        <v>175523653</v>
      </c>
      <c r="B255" s="10" t="n">
        <v>254</v>
      </c>
      <c r="C255" s="18" t="s">
        <v>43</v>
      </c>
      <c r="D255" s="15" t="s">
        <v>594</v>
      </c>
      <c r="E255" s="9" t="s">
        <v>595</v>
      </c>
      <c r="F255" s="9" t="s">
        <v>596</v>
      </c>
      <c r="G255" s="10" t="n">
        <v>2026</v>
      </c>
      <c r="H255" s="10" t="n">
        <v>10</v>
      </c>
      <c r="I255" s="19" t="n">
        <v>16200</v>
      </c>
      <c r="J255" s="19" t="n">
        <v>18000</v>
      </c>
      <c r="K255" s="10" t="n">
        <v>900</v>
      </c>
      <c r="L255" s="10" t="n">
        <v>1104</v>
      </c>
      <c r="M255" s="10" t="n">
        <v>16</v>
      </c>
      <c r="N255" s="11" t="n">
        <v>10</v>
      </c>
      <c r="O255" s="18" t="s">
        <v>56</v>
      </c>
    </row>
    <row r="256" customFormat="false" ht="15" hidden="false" customHeight="false" outlineLevel="0" collapsed="false">
      <c r="A256" s="18" t="n">
        <v>175133788</v>
      </c>
      <c r="B256" s="10" t="n">
        <v>255</v>
      </c>
      <c r="C256" s="18" t="s">
        <v>43</v>
      </c>
      <c r="D256" s="15" t="s">
        <v>597</v>
      </c>
      <c r="E256" s="9" t="s">
        <v>598</v>
      </c>
      <c r="F256" s="9" t="s">
        <v>88</v>
      </c>
      <c r="G256" s="10" t="n">
        <v>2026</v>
      </c>
      <c r="H256" s="10" t="n">
        <v>10</v>
      </c>
      <c r="I256" s="19" t="n">
        <v>25200</v>
      </c>
      <c r="J256" s="19" t="n">
        <v>28000</v>
      </c>
      <c r="K256" s="10" t="n">
        <v>1400</v>
      </c>
      <c r="L256" s="10" t="n">
        <v>3762</v>
      </c>
      <c r="M256" s="10" t="n">
        <v>18</v>
      </c>
      <c r="N256" s="11" t="n">
        <v>9.9</v>
      </c>
      <c r="O256" s="18" t="s">
        <v>56</v>
      </c>
    </row>
    <row r="257" customFormat="false" ht="15" hidden="false" customHeight="false" outlineLevel="0" collapsed="false">
      <c r="A257" s="18" t="n">
        <v>174184626</v>
      </c>
      <c r="B257" s="10" t="n">
        <v>256</v>
      </c>
      <c r="C257" s="18" t="s">
        <v>43</v>
      </c>
      <c r="D257" s="9" t="s">
        <v>599</v>
      </c>
      <c r="E257" s="9" t="s">
        <v>235</v>
      </c>
      <c r="F257" s="9" t="s">
        <v>544</v>
      </c>
      <c r="G257" s="10" t="n">
        <v>2026</v>
      </c>
      <c r="H257" s="10" t="n">
        <v>10</v>
      </c>
      <c r="I257" s="19" t="n">
        <v>43200</v>
      </c>
      <c r="J257" s="19" t="n">
        <v>48000</v>
      </c>
      <c r="K257" s="10" t="n">
        <v>2400</v>
      </c>
      <c r="L257" s="10" t="n">
        <v>924</v>
      </c>
      <c r="M257" s="10" t="n">
        <v>10</v>
      </c>
      <c r="N257" s="11" t="n">
        <v>9.8</v>
      </c>
      <c r="O257" s="18" t="s">
        <v>56</v>
      </c>
    </row>
    <row r="258" customFormat="false" ht="15" hidden="false" customHeight="false" outlineLevel="0" collapsed="false">
      <c r="A258" s="18" t="n">
        <v>173682607</v>
      </c>
      <c r="B258" s="10" t="n">
        <v>257</v>
      </c>
      <c r="C258" s="18" t="s">
        <v>43</v>
      </c>
      <c r="D258" s="9" t="s">
        <v>600</v>
      </c>
      <c r="E258" s="9" t="s">
        <v>601</v>
      </c>
      <c r="F258" s="9" t="s">
        <v>184</v>
      </c>
      <c r="G258" s="10" t="n">
        <v>2026</v>
      </c>
      <c r="H258" s="10" t="n">
        <v>0</v>
      </c>
      <c r="I258" s="19" t="n">
        <v>30000</v>
      </c>
      <c r="J258" s="19" t="n">
        <v>30000</v>
      </c>
      <c r="K258" s="10" t="n">
        <v>0</v>
      </c>
      <c r="L258" s="10" t="n">
        <v>468</v>
      </c>
      <c r="M258" s="10" t="n">
        <v>0</v>
      </c>
      <c r="N258" s="11" t="n">
        <v>0</v>
      </c>
      <c r="O258" s="18" t="s">
        <v>56</v>
      </c>
    </row>
    <row r="259" customFormat="false" ht="15" hidden="false" customHeight="false" outlineLevel="0" collapsed="false">
      <c r="A259" s="18" t="n">
        <v>172577182</v>
      </c>
      <c r="B259" s="10" t="n">
        <v>258</v>
      </c>
      <c r="C259" s="18" t="s">
        <v>43</v>
      </c>
      <c r="D259" s="9" t="s">
        <v>602</v>
      </c>
      <c r="E259" s="9" t="s">
        <v>603</v>
      </c>
      <c r="F259" s="9" t="s">
        <v>16</v>
      </c>
      <c r="G259" s="10" t="n">
        <v>2026</v>
      </c>
      <c r="H259" s="10" t="n">
        <v>10</v>
      </c>
      <c r="I259" s="19" t="n">
        <v>22500</v>
      </c>
      <c r="J259" s="19" t="n">
        <v>25000</v>
      </c>
      <c r="K259" s="10" t="n">
        <v>1250</v>
      </c>
      <c r="L259" s="10" t="n">
        <v>1866</v>
      </c>
      <c r="M259" s="10" t="n">
        <v>23</v>
      </c>
      <c r="N259" s="11" t="n">
        <v>10</v>
      </c>
      <c r="O259" s="18" t="s">
        <v>56</v>
      </c>
    </row>
    <row r="260" customFormat="false" ht="15" hidden="false" customHeight="false" outlineLevel="0" collapsed="false">
      <c r="A260" s="18" t="n">
        <v>171567191</v>
      </c>
      <c r="B260" s="10" t="n">
        <v>259</v>
      </c>
      <c r="C260" s="18" t="s">
        <v>43</v>
      </c>
      <c r="D260" s="15" t="s">
        <v>604</v>
      </c>
      <c r="E260" s="9" t="s">
        <v>359</v>
      </c>
      <c r="F260" s="9" t="s">
        <v>360</v>
      </c>
      <c r="G260" s="10" t="n">
        <v>2026</v>
      </c>
      <c r="H260" s="10" t="n">
        <v>5</v>
      </c>
      <c r="I260" s="19" t="n">
        <v>36100</v>
      </c>
      <c r="J260" s="19" t="n">
        <v>38000</v>
      </c>
      <c r="K260" s="10" t="n">
        <v>1140</v>
      </c>
      <c r="L260" s="10" t="n">
        <v>1236</v>
      </c>
      <c r="M260" s="10" t="n">
        <v>0</v>
      </c>
      <c r="N260" s="11" t="n">
        <v>0</v>
      </c>
      <c r="O260" s="18" t="s">
        <v>56</v>
      </c>
    </row>
    <row r="261" customFormat="false" ht="15" hidden="false" customHeight="false" outlineLevel="0" collapsed="false">
      <c r="A261" s="18" t="n">
        <v>168263935</v>
      </c>
      <c r="B261" s="10" t="n">
        <v>260</v>
      </c>
      <c r="C261" s="18" t="s">
        <v>43</v>
      </c>
      <c r="D261" s="15" t="s">
        <v>605</v>
      </c>
      <c r="E261" s="9" t="s">
        <v>606</v>
      </c>
      <c r="F261" s="9" t="s">
        <v>17</v>
      </c>
      <c r="G261" s="10" t="n">
        <v>2025</v>
      </c>
      <c r="H261" s="10" t="n">
        <v>10</v>
      </c>
      <c r="I261" s="19" t="n">
        <v>18900</v>
      </c>
      <c r="J261" s="19" t="n">
        <v>21000</v>
      </c>
      <c r="K261" s="10" t="n">
        <v>1050</v>
      </c>
      <c r="L261" s="10" t="n">
        <v>2808</v>
      </c>
      <c r="M261" s="10" t="n">
        <v>11</v>
      </c>
      <c r="N261" s="11" t="n">
        <v>10</v>
      </c>
      <c r="O261" s="18" t="s">
        <v>56</v>
      </c>
    </row>
    <row r="262" customFormat="false" ht="15" hidden="false" customHeight="false" outlineLevel="0" collapsed="false">
      <c r="A262" s="18" t="n">
        <v>168226328</v>
      </c>
      <c r="B262" s="10" t="n">
        <v>261</v>
      </c>
      <c r="C262" s="18" t="s">
        <v>43</v>
      </c>
      <c r="D262" s="15" t="s">
        <v>607</v>
      </c>
      <c r="E262" s="9" t="s">
        <v>608</v>
      </c>
      <c r="F262" s="9" t="s">
        <v>211</v>
      </c>
      <c r="G262" s="10" t="n">
        <v>2025</v>
      </c>
      <c r="H262" s="10" t="n">
        <v>10</v>
      </c>
      <c r="I262" s="19" t="n">
        <v>22500</v>
      </c>
      <c r="J262" s="19" t="n">
        <v>25000</v>
      </c>
      <c r="K262" s="10" t="n">
        <v>1250</v>
      </c>
      <c r="L262" s="10" t="n">
        <v>666</v>
      </c>
      <c r="M262" s="10" t="n">
        <v>4</v>
      </c>
      <c r="N262" s="11" t="n">
        <v>10</v>
      </c>
      <c r="O262" s="18" t="s">
        <v>56</v>
      </c>
    </row>
    <row r="263" customFormat="false" ht="15" hidden="false" customHeight="false" outlineLevel="0" collapsed="false">
      <c r="A263" s="18" t="n">
        <v>167573116</v>
      </c>
      <c r="B263" s="10" t="n">
        <v>262</v>
      </c>
      <c r="C263" s="18" t="s">
        <v>43</v>
      </c>
      <c r="D263" s="9" t="s">
        <v>609</v>
      </c>
      <c r="E263" s="9" t="s">
        <v>610</v>
      </c>
      <c r="F263" s="9" t="s">
        <v>12</v>
      </c>
      <c r="G263" s="10" t="n">
        <v>2025</v>
      </c>
      <c r="H263" s="10" t="n">
        <v>10</v>
      </c>
      <c r="I263" s="19" t="n">
        <v>21600</v>
      </c>
      <c r="J263" s="19" t="n">
        <v>24000</v>
      </c>
      <c r="K263" s="10" t="n">
        <v>1200</v>
      </c>
      <c r="L263" s="10" t="n">
        <v>7014</v>
      </c>
      <c r="M263" s="10" t="n">
        <v>21</v>
      </c>
      <c r="N263" s="11" t="n">
        <v>9.8</v>
      </c>
      <c r="O263" s="18" t="s">
        <v>56</v>
      </c>
    </row>
    <row r="264" customFormat="false" ht="15" hidden="false" customHeight="false" outlineLevel="0" collapsed="false">
      <c r="A264" s="18" t="n">
        <v>167459219</v>
      </c>
      <c r="B264" s="10" t="n">
        <v>263</v>
      </c>
      <c r="C264" s="18" t="s">
        <v>43</v>
      </c>
      <c r="D264" s="9" t="s">
        <v>611</v>
      </c>
      <c r="E264" s="9" t="s">
        <v>612</v>
      </c>
      <c r="F264" s="9" t="s">
        <v>23</v>
      </c>
      <c r="G264" s="10" t="n">
        <v>2025</v>
      </c>
      <c r="H264" s="10" t="n">
        <v>10</v>
      </c>
      <c r="I264" s="19" t="n">
        <v>19800</v>
      </c>
      <c r="J264" s="19" t="n">
        <v>22000</v>
      </c>
      <c r="K264" s="10" t="n">
        <v>1100</v>
      </c>
      <c r="L264" s="10" t="n">
        <v>1509</v>
      </c>
      <c r="M264" s="10" t="n">
        <v>6</v>
      </c>
      <c r="N264" s="11" t="n">
        <v>9.3</v>
      </c>
      <c r="O264" s="18" t="s">
        <v>56</v>
      </c>
    </row>
    <row r="265" customFormat="false" ht="15" hidden="false" customHeight="false" outlineLevel="0" collapsed="false">
      <c r="A265" s="18" t="n">
        <v>167452848</v>
      </c>
      <c r="B265" s="10" t="n">
        <v>264</v>
      </c>
      <c r="C265" s="18" t="s">
        <v>43</v>
      </c>
      <c r="D265" s="9" t="s">
        <v>613</v>
      </c>
      <c r="E265" s="9" t="s">
        <v>614</v>
      </c>
      <c r="F265" s="9" t="s">
        <v>615</v>
      </c>
      <c r="G265" s="10" t="n">
        <v>2025</v>
      </c>
      <c r="H265" s="10" t="n">
        <v>10</v>
      </c>
      <c r="I265" s="19" t="n">
        <v>20700</v>
      </c>
      <c r="J265" s="19" t="n">
        <v>23000</v>
      </c>
      <c r="K265" s="10" t="n">
        <v>1150</v>
      </c>
      <c r="L265" s="10" t="n">
        <v>3678</v>
      </c>
      <c r="M265" s="10" t="n">
        <v>41</v>
      </c>
      <c r="N265" s="11" t="n">
        <v>10</v>
      </c>
      <c r="O265" s="18" t="s">
        <v>56</v>
      </c>
    </row>
    <row r="266" customFormat="false" ht="15" hidden="false" customHeight="false" outlineLevel="0" collapsed="false">
      <c r="A266" s="18" t="n">
        <v>167384326</v>
      </c>
      <c r="B266" s="10" t="n">
        <v>265</v>
      </c>
      <c r="C266" s="18" t="s">
        <v>43</v>
      </c>
      <c r="D266" s="9" t="s">
        <v>616</v>
      </c>
      <c r="E266" s="9" t="s">
        <v>617</v>
      </c>
      <c r="F266" s="9" t="s">
        <v>19</v>
      </c>
      <c r="G266" s="10" t="n">
        <v>2025</v>
      </c>
      <c r="H266" s="10" t="n">
        <v>10</v>
      </c>
      <c r="I266" s="19" t="n">
        <v>23400</v>
      </c>
      <c r="J266" s="19" t="n">
        <v>26000</v>
      </c>
      <c r="K266" s="10" t="n">
        <v>1300</v>
      </c>
      <c r="L266" s="10" t="n">
        <v>4614</v>
      </c>
      <c r="M266" s="10" t="n">
        <v>80</v>
      </c>
      <c r="N266" s="11" t="n">
        <v>10</v>
      </c>
      <c r="O266" s="18" t="s">
        <v>56</v>
      </c>
    </row>
    <row r="267" customFormat="false" ht="15" hidden="false" customHeight="false" outlineLevel="0" collapsed="false">
      <c r="A267" s="18" t="n">
        <v>167253365</v>
      </c>
      <c r="B267" s="10" t="n">
        <v>266</v>
      </c>
      <c r="C267" s="18" t="s">
        <v>43</v>
      </c>
      <c r="D267" s="9" t="s">
        <v>618</v>
      </c>
      <c r="E267" s="9" t="s">
        <v>619</v>
      </c>
      <c r="F267" s="9" t="s">
        <v>211</v>
      </c>
      <c r="G267" s="10" t="n">
        <v>2025</v>
      </c>
      <c r="H267" s="10" t="n">
        <v>10</v>
      </c>
      <c r="I267" s="19" t="n">
        <v>37800</v>
      </c>
      <c r="J267" s="19" t="n">
        <v>42000</v>
      </c>
      <c r="K267" s="10" t="n">
        <v>2100</v>
      </c>
      <c r="L267" s="10" t="n">
        <v>3153</v>
      </c>
      <c r="M267" s="10" t="n">
        <v>3</v>
      </c>
      <c r="N267" s="11" t="n">
        <v>10</v>
      </c>
      <c r="O267" s="18" t="s">
        <v>56</v>
      </c>
    </row>
    <row r="268" customFormat="false" ht="15" hidden="false" customHeight="false" outlineLevel="0" collapsed="false">
      <c r="A268" s="18" t="n">
        <v>165325500</v>
      </c>
      <c r="B268" s="10" t="n">
        <v>267</v>
      </c>
      <c r="C268" s="18" t="s">
        <v>43</v>
      </c>
      <c r="D268" s="9" t="s">
        <v>620</v>
      </c>
      <c r="E268" s="9" t="s">
        <v>621</v>
      </c>
      <c r="F268" s="9" t="s">
        <v>184</v>
      </c>
      <c r="G268" s="10" t="n">
        <v>2025</v>
      </c>
      <c r="H268" s="10" t="n">
        <v>0</v>
      </c>
      <c r="I268" s="19" t="n">
        <v>19000</v>
      </c>
      <c r="J268" s="19" t="n">
        <v>19000</v>
      </c>
      <c r="K268" s="10" t="n">
        <v>0</v>
      </c>
      <c r="L268" s="10" t="n">
        <v>2388</v>
      </c>
      <c r="M268" s="10" t="n">
        <v>38</v>
      </c>
      <c r="N268" s="11" t="n">
        <v>9.8</v>
      </c>
      <c r="O268" s="18" t="s">
        <v>56</v>
      </c>
    </row>
    <row r="269" customFormat="false" ht="15" hidden="false" customHeight="false" outlineLevel="0" collapsed="false">
      <c r="A269" s="18" t="n">
        <v>165239801</v>
      </c>
      <c r="B269" s="10" t="n">
        <v>268</v>
      </c>
      <c r="C269" s="18" t="s">
        <v>43</v>
      </c>
      <c r="D269" s="9" t="s">
        <v>622</v>
      </c>
      <c r="E269" s="9" t="s">
        <v>536</v>
      </c>
      <c r="F269" s="9" t="s">
        <v>93</v>
      </c>
      <c r="G269" s="10" t="n">
        <v>2025</v>
      </c>
      <c r="H269" s="10" t="n">
        <v>10</v>
      </c>
      <c r="I269" s="19" t="n">
        <v>26100</v>
      </c>
      <c r="J269" s="19" t="n">
        <v>29000</v>
      </c>
      <c r="K269" s="10" t="n">
        <v>1450</v>
      </c>
      <c r="L269" s="10" t="n">
        <v>9036</v>
      </c>
      <c r="M269" s="10" t="n">
        <v>14</v>
      </c>
      <c r="N269" s="11" t="n">
        <v>9.7</v>
      </c>
      <c r="O269" s="18" t="s">
        <v>56</v>
      </c>
    </row>
    <row r="270" customFormat="false" ht="15" hidden="false" customHeight="false" outlineLevel="0" collapsed="false">
      <c r="A270" s="18" t="n">
        <v>163601068</v>
      </c>
      <c r="B270" s="10" t="n">
        <v>269</v>
      </c>
      <c r="C270" s="18" t="s">
        <v>43</v>
      </c>
      <c r="D270" s="9" t="s">
        <v>623</v>
      </c>
      <c r="E270" s="9" t="s">
        <v>624</v>
      </c>
      <c r="F270" s="9" t="s">
        <v>12</v>
      </c>
      <c r="G270" s="10" t="n">
        <v>2025</v>
      </c>
      <c r="H270" s="10" t="n">
        <v>10</v>
      </c>
      <c r="I270" s="19" t="n">
        <v>20700</v>
      </c>
      <c r="J270" s="19" t="n">
        <v>23000</v>
      </c>
      <c r="K270" s="10" t="n">
        <v>1150</v>
      </c>
      <c r="L270" s="10" t="n">
        <v>4809</v>
      </c>
      <c r="M270" s="10" t="n">
        <v>26</v>
      </c>
      <c r="N270" s="11" t="n">
        <v>9.7</v>
      </c>
      <c r="O270" s="18" t="s">
        <v>56</v>
      </c>
    </row>
    <row r="271" customFormat="false" ht="15" hidden="false" customHeight="false" outlineLevel="0" collapsed="false">
      <c r="A271" s="18" t="n">
        <v>159417254</v>
      </c>
      <c r="B271" s="10" t="n">
        <v>270</v>
      </c>
      <c r="C271" s="18" t="s">
        <v>43</v>
      </c>
      <c r="D271" s="9" t="s">
        <v>625</v>
      </c>
      <c r="E271" s="9" t="s">
        <v>626</v>
      </c>
      <c r="F271" s="9" t="s">
        <v>259</v>
      </c>
      <c r="G271" s="10" t="n">
        <v>2025</v>
      </c>
      <c r="H271" s="10" t="n">
        <v>10</v>
      </c>
      <c r="I271" s="19" t="n">
        <v>21600</v>
      </c>
      <c r="J271" s="19" t="n">
        <v>24000</v>
      </c>
      <c r="K271" s="10" t="n">
        <v>1200</v>
      </c>
      <c r="L271" s="10" t="n">
        <v>14346</v>
      </c>
      <c r="M271" s="10" t="n">
        <v>48</v>
      </c>
      <c r="N271" s="11" t="n">
        <v>9.8</v>
      </c>
      <c r="O271" s="18" t="s">
        <v>46</v>
      </c>
    </row>
    <row r="272" customFormat="false" ht="15" hidden="false" customHeight="false" outlineLevel="0" collapsed="false">
      <c r="A272" s="18" t="n">
        <v>159376881</v>
      </c>
      <c r="B272" s="10" t="n">
        <v>271</v>
      </c>
      <c r="C272" s="18" t="s">
        <v>43</v>
      </c>
      <c r="D272" s="9" t="s">
        <v>627</v>
      </c>
      <c r="E272" s="9" t="s">
        <v>628</v>
      </c>
      <c r="F272" s="9" t="s">
        <v>629</v>
      </c>
      <c r="G272" s="10" t="n">
        <v>2025</v>
      </c>
      <c r="H272" s="10" t="n">
        <v>10</v>
      </c>
      <c r="I272" s="19" t="n">
        <v>19800</v>
      </c>
      <c r="J272" s="19" t="n">
        <v>22000</v>
      </c>
      <c r="K272" s="10" t="n">
        <v>1100</v>
      </c>
      <c r="L272" s="10" t="n">
        <v>2691</v>
      </c>
      <c r="M272" s="10" t="n">
        <v>8</v>
      </c>
      <c r="N272" s="11" t="n">
        <v>9.8</v>
      </c>
      <c r="O272" s="18" t="s">
        <v>56</v>
      </c>
    </row>
    <row r="273" customFormat="false" ht="15" hidden="false" customHeight="false" outlineLevel="0" collapsed="false">
      <c r="A273" s="18" t="n">
        <v>159171284</v>
      </c>
      <c r="B273" s="10" t="n">
        <v>272</v>
      </c>
      <c r="C273" s="18" t="s">
        <v>43</v>
      </c>
      <c r="D273" s="9" t="s">
        <v>630</v>
      </c>
      <c r="E273" s="9" t="s">
        <v>631</v>
      </c>
      <c r="F273" s="9" t="s">
        <v>23</v>
      </c>
      <c r="G273" s="10" t="n">
        <v>2025</v>
      </c>
      <c r="H273" s="10" t="n">
        <v>10</v>
      </c>
      <c r="I273" s="19" t="n">
        <v>25200</v>
      </c>
      <c r="J273" s="19" t="n">
        <v>28000</v>
      </c>
      <c r="K273" s="10" t="n">
        <v>1400</v>
      </c>
      <c r="L273" s="10" t="n">
        <v>1914</v>
      </c>
      <c r="M273" s="10" t="n">
        <v>22</v>
      </c>
      <c r="N273" s="11" t="n">
        <v>10</v>
      </c>
      <c r="O273" s="18" t="s">
        <v>56</v>
      </c>
    </row>
    <row r="274" customFormat="false" ht="15" hidden="false" customHeight="false" outlineLevel="0" collapsed="false">
      <c r="A274" s="18" t="n">
        <v>158708037</v>
      </c>
      <c r="B274" s="10" t="n">
        <v>273</v>
      </c>
      <c r="C274" s="18" t="s">
        <v>43</v>
      </c>
      <c r="D274" s="9" t="s">
        <v>632</v>
      </c>
      <c r="E274" s="9" t="s">
        <v>633</v>
      </c>
      <c r="F274" s="9" t="s">
        <v>14</v>
      </c>
      <c r="G274" s="10" t="n">
        <v>2025</v>
      </c>
      <c r="H274" s="10" t="n">
        <v>10</v>
      </c>
      <c r="I274" s="19" t="n">
        <v>29700</v>
      </c>
      <c r="J274" s="19" t="n">
        <v>33000</v>
      </c>
      <c r="K274" s="10" t="n">
        <v>1650</v>
      </c>
      <c r="L274" s="10" t="n">
        <v>3300</v>
      </c>
      <c r="M274" s="10" t="n">
        <v>5</v>
      </c>
      <c r="N274" s="11" t="n">
        <v>9.6</v>
      </c>
      <c r="O274" s="18" t="s">
        <v>56</v>
      </c>
    </row>
    <row r="275" customFormat="false" ht="15" hidden="false" customHeight="false" outlineLevel="0" collapsed="false">
      <c r="A275" s="18" t="n">
        <v>155149859</v>
      </c>
      <c r="B275" s="10" t="n">
        <v>274</v>
      </c>
      <c r="C275" s="18" t="s">
        <v>43</v>
      </c>
      <c r="D275" s="15" t="s">
        <v>634</v>
      </c>
      <c r="E275" s="9" t="s">
        <v>635</v>
      </c>
      <c r="F275" s="9" t="s">
        <v>511</v>
      </c>
      <c r="G275" s="10" t="n">
        <v>2025</v>
      </c>
      <c r="H275" s="10" t="n">
        <v>10</v>
      </c>
      <c r="I275" s="19" t="n">
        <v>22500</v>
      </c>
      <c r="J275" s="19" t="n">
        <v>25000</v>
      </c>
      <c r="K275" s="10" t="n">
        <v>1250</v>
      </c>
      <c r="L275" s="10" t="n">
        <v>1548</v>
      </c>
      <c r="M275" s="10" t="n">
        <v>29</v>
      </c>
      <c r="N275" s="11" t="n">
        <v>9.9</v>
      </c>
      <c r="O275" s="18" t="s">
        <v>56</v>
      </c>
    </row>
    <row r="276" customFormat="false" ht="15" hidden="false" customHeight="false" outlineLevel="0" collapsed="false">
      <c r="A276" s="18" t="n">
        <v>154566057</v>
      </c>
      <c r="B276" s="10" t="n">
        <v>275</v>
      </c>
      <c r="C276" s="18" t="s">
        <v>43</v>
      </c>
      <c r="D276" s="9" t="s">
        <v>636</v>
      </c>
      <c r="E276" s="9" t="s">
        <v>637</v>
      </c>
      <c r="F276" s="9" t="s">
        <v>19</v>
      </c>
      <c r="G276" s="10" t="n">
        <v>2025</v>
      </c>
      <c r="H276" s="10" t="n">
        <v>10</v>
      </c>
      <c r="I276" s="19" t="n">
        <v>19800</v>
      </c>
      <c r="J276" s="19" t="n">
        <v>22000</v>
      </c>
      <c r="K276" s="10" t="n">
        <v>1100</v>
      </c>
      <c r="L276" s="10" t="n">
        <v>15258</v>
      </c>
      <c r="M276" s="10" t="n">
        <v>91</v>
      </c>
      <c r="N276" s="11" t="n">
        <v>9.8</v>
      </c>
      <c r="O276" s="18" t="s">
        <v>56</v>
      </c>
    </row>
    <row r="277" customFormat="false" ht="15" hidden="false" customHeight="false" outlineLevel="0" collapsed="false">
      <c r="A277" s="18" t="n">
        <v>154288390</v>
      </c>
      <c r="B277" s="10" t="n">
        <v>276</v>
      </c>
      <c r="C277" s="18" t="s">
        <v>43</v>
      </c>
      <c r="D277" s="9" t="s">
        <v>638</v>
      </c>
      <c r="E277" s="9" t="s">
        <v>639</v>
      </c>
      <c r="F277" s="9" t="s">
        <v>17</v>
      </c>
      <c r="G277" s="10" t="n">
        <v>2025</v>
      </c>
      <c r="H277" s="10" t="n">
        <v>10</v>
      </c>
      <c r="I277" s="19" t="n">
        <v>21600</v>
      </c>
      <c r="J277" s="19" t="n">
        <v>24000</v>
      </c>
      <c r="K277" s="10" t="n">
        <v>1200</v>
      </c>
      <c r="L277" s="10" t="n">
        <v>3426</v>
      </c>
      <c r="M277" s="10" t="n">
        <v>10</v>
      </c>
      <c r="N277" s="11" t="n">
        <v>10</v>
      </c>
      <c r="O277" s="18" t="s">
        <v>46</v>
      </c>
    </row>
    <row r="278" customFormat="false" ht="15" hidden="false" customHeight="false" outlineLevel="0" collapsed="false">
      <c r="A278" s="18" t="n">
        <v>154182485</v>
      </c>
      <c r="B278" s="10" t="n">
        <v>277</v>
      </c>
      <c r="C278" s="18" t="s">
        <v>43</v>
      </c>
      <c r="D278" s="9" t="s">
        <v>640</v>
      </c>
      <c r="E278" s="9" t="s">
        <v>641</v>
      </c>
      <c r="F278" s="9" t="s">
        <v>100</v>
      </c>
      <c r="G278" s="10" t="n">
        <v>2025</v>
      </c>
      <c r="H278" s="10" t="n">
        <v>10</v>
      </c>
      <c r="I278" s="19" t="n">
        <v>22500</v>
      </c>
      <c r="J278" s="19" t="n">
        <v>25000</v>
      </c>
      <c r="K278" s="10" t="n">
        <v>1250</v>
      </c>
      <c r="L278" s="10" t="n">
        <v>7050</v>
      </c>
      <c r="M278" s="10" t="n">
        <v>39</v>
      </c>
      <c r="N278" s="11" t="n">
        <v>9.9</v>
      </c>
      <c r="O278" s="18" t="s">
        <v>56</v>
      </c>
    </row>
    <row r="279" customFormat="false" ht="15" hidden="false" customHeight="false" outlineLevel="0" collapsed="false">
      <c r="A279" s="18" t="n">
        <v>154099735</v>
      </c>
      <c r="B279" s="10" t="n">
        <v>278</v>
      </c>
      <c r="C279" s="18" t="s">
        <v>43</v>
      </c>
      <c r="D279" s="9" t="s">
        <v>642</v>
      </c>
      <c r="E279" s="9" t="s">
        <v>643</v>
      </c>
      <c r="F279" s="9" t="s">
        <v>14</v>
      </c>
      <c r="G279" s="10" t="n">
        <v>2025</v>
      </c>
      <c r="H279" s="10" t="n">
        <v>10</v>
      </c>
      <c r="I279" s="19" t="n">
        <v>36000</v>
      </c>
      <c r="J279" s="19" t="n">
        <v>40000</v>
      </c>
      <c r="K279" s="10" t="n">
        <v>2000</v>
      </c>
      <c r="L279" s="10" t="n">
        <v>11598</v>
      </c>
      <c r="M279" s="10" t="n">
        <v>27</v>
      </c>
      <c r="N279" s="11" t="n">
        <v>9.6</v>
      </c>
      <c r="O279" s="18" t="s">
        <v>46</v>
      </c>
    </row>
    <row r="280" customFormat="false" ht="15" hidden="false" customHeight="false" outlineLevel="0" collapsed="false">
      <c r="A280" s="18" t="n">
        <v>152443479</v>
      </c>
      <c r="B280" s="10" t="n">
        <v>279</v>
      </c>
      <c r="C280" s="18" t="s">
        <v>43</v>
      </c>
      <c r="D280" s="9" t="s">
        <v>644</v>
      </c>
      <c r="E280" s="9" t="s">
        <v>645</v>
      </c>
      <c r="F280" s="9" t="s">
        <v>23</v>
      </c>
      <c r="G280" s="10" t="n">
        <v>2025</v>
      </c>
      <c r="H280" s="10" t="n">
        <v>10</v>
      </c>
      <c r="I280" s="19" t="n">
        <v>27000</v>
      </c>
      <c r="J280" s="19" t="n">
        <v>30000</v>
      </c>
      <c r="K280" s="10" t="n">
        <v>1500</v>
      </c>
      <c r="L280" s="10" t="n">
        <v>2871</v>
      </c>
      <c r="M280" s="10" t="n">
        <v>13</v>
      </c>
      <c r="N280" s="11" t="n">
        <v>10</v>
      </c>
      <c r="O280" s="18" t="s">
        <v>56</v>
      </c>
    </row>
    <row r="281" customFormat="false" ht="15" hidden="false" customHeight="false" outlineLevel="0" collapsed="false">
      <c r="A281" s="18" t="n">
        <v>152379887</v>
      </c>
      <c r="B281" s="10" t="n">
        <v>280</v>
      </c>
      <c r="C281" s="18" t="s">
        <v>43</v>
      </c>
      <c r="D281" s="9" t="s">
        <v>646</v>
      </c>
      <c r="E281" s="9" t="s">
        <v>647</v>
      </c>
      <c r="F281" s="9" t="s">
        <v>14</v>
      </c>
      <c r="G281" s="10" t="n">
        <v>2025</v>
      </c>
      <c r="H281" s="10" t="n">
        <v>10</v>
      </c>
      <c r="I281" s="19" t="n">
        <v>23400</v>
      </c>
      <c r="J281" s="19" t="n">
        <v>26000</v>
      </c>
      <c r="K281" s="10" t="n">
        <v>1300</v>
      </c>
      <c r="L281" s="10" t="n">
        <v>9858</v>
      </c>
      <c r="M281" s="10" t="n">
        <v>19</v>
      </c>
      <c r="N281" s="11" t="n">
        <v>8.9</v>
      </c>
      <c r="O281" s="18" t="s">
        <v>46</v>
      </c>
    </row>
    <row r="282" customFormat="false" ht="15" hidden="false" customHeight="false" outlineLevel="0" collapsed="false">
      <c r="A282" s="18" t="n">
        <v>151789405</v>
      </c>
      <c r="B282" s="10" t="n">
        <v>281</v>
      </c>
      <c r="C282" s="18" t="s">
        <v>43</v>
      </c>
      <c r="D282" s="9" t="s">
        <v>648</v>
      </c>
      <c r="E282" s="9" t="s">
        <v>649</v>
      </c>
      <c r="F282" s="9" t="s">
        <v>12</v>
      </c>
      <c r="G282" s="10" t="n">
        <v>2025</v>
      </c>
      <c r="H282" s="10" t="n">
        <v>10</v>
      </c>
      <c r="I282" s="19" t="n">
        <v>21600</v>
      </c>
      <c r="J282" s="19" t="n">
        <v>24000</v>
      </c>
      <c r="K282" s="10" t="n">
        <v>1200</v>
      </c>
      <c r="L282" s="10" t="n">
        <v>12672</v>
      </c>
      <c r="M282" s="10" t="n">
        <v>22</v>
      </c>
      <c r="N282" s="11" t="n">
        <v>9.5</v>
      </c>
      <c r="O282" s="18" t="s">
        <v>46</v>
      </c>
    </row>
    <row r="283" customFormat="false" ht="15" hidden="false" customHeight="false" outlineLevel="0" collapsed="false">
      <c r="A283" s="18" t="n">
        <v>150110126</v>
      </c>
      <c r="B283" s="10" t="n">
        <v>282</v>
      </c>
      <c r="C283" s="18" t="s">
        <v>43</v>
      </c>
      <c r="D283" s="9" t="s">
        <v>650</v>
      </c>
      <c r="E283" s="9" t="s">
        <v>651</v>
      </c>
      <c r="F283" s="9" t="s">
        <v>19</v>
      </c>
      <c r="G283" s="10" t="n">
        <v>2025</v>
      </c>
      <c r="H283" s="10" t="n">
        <v>10</v>
      </c>
      <c r="I283" s="19" t="n">
        <v>23400</v>
      </c>
      <c r="J283" s="19" t="n">
        <v>26000</v>
      </c>
      <c r="K283" s="10" t="n">
        <v>1300</v>
      </c>
      <c r="L283" s="10" t="n">
        <v>5340</v>
      </c>
      <c r="M283" s="10" t="n">
        <v>10</v>
      </c>
      <c r="N283" s="11" t="n">
        <v>9.8</v>
      </c>
      <c r="O283" s="18" t="s">
        <v>46</v>
      </c>
    </row>
    <row r="284" customFormat="false" ht="15" hidden="false" customHeight="false" outlineLevel="0" collapsed="false">
      <c r="A284" s="18" t="n">
        <v>149414736</v>
      </c>
      <c r="B284" s="10" t="n">
        <v>283</v>
      </c>
      <c r="C284" s="18" t="s">
        <v>43</v>
      </c>
      <c r="D284" s="15" t="s">
        <v>652</v>
      </c>
      <c r="E284" s="9" t="s">
        <v>653</v>
      </c>
      <c r="F284" s="9" t="s">
        <v>231</v>
      </c>
      <c r="G284" s="10" t="n">
        <v>2025</v>
      </c>
      <c r="H284" s="10" t="n">
        <v>10</v>
      </c>
      <c r="I284" s="19" t="n">
        <v>24300</v>
      </c>
      <c r="J284" s="19" t="n">
        <v>27000</v>
      </c>
      <c r="K284" s="10" t="n">
        <v>1350</v>
      </c>
      <c r="L284" s="10" t="n">
        <v>17082</v>
      </c>
      <c r="M284" s="10" t="n">
        <v>15</v>
      </c>
      <c r="N284" s="11" t="n">
        <v>9.7</v>
      </c>
      <c r="O284" s="18" t="s">
        <v>46</v>
      </c>
    </row>
    <row r="285" customFormat="false" ht="15" hidden="false" customHeight="false" outlineLevel="0" collapsed="false">
      <c r="A285" s="18" t="n">
        <v>149193207</v>
      </c>
      <c r="B285" s="10" t="n">
        <v>284</v>
      </c>
      <c r="C285" s="18" t="s">
        <v>43</v>
      </c>
      <c r="D285" s="9" t="s">
        <v>654</v>
      </c>
      <c r="E285" s="9" t="s">
        <v>655</v>
      </c>
      <c r="F285" s="9" t="s">
        <v>14</v>
      </c>
      <c r="G285" s="10" t="n">
        <v>2025</v>
      </c>
      <c r="H285" s="10" t="n">
        <v>10</v>
      </c>
      <c r="I285" s="19" t="n">
        <v>19800</v>
      </c>
      <c r="J285" s="19" t="n">
        <v>22000</v>
      </c>
      <c r="K285" s="10" t="n">
        <v>1100</v>
      </c>
      <c r="L285" s="10" t="n">
        <v>1578</v>
      </c>
      <c r="M285" s="10" t="n">
        <v>11</v>
      </c>
      <c r="N285" s="11" t="n">
        <v>10</v>
      </c>
      <c r="O285" s="18" t="s">
        <v>56</v>
      </c>
    </row>
    <row r="286" customFormat="false" ht="15" hidden="false" customHeight="false" outlineLevel="0" collapsed="false">
      <c r="A286" s="18" t="n">
        <v>147079126</v>
      </c>
      <c r="B286" s="10" t="n">
        <v>285</v>
      </c>
      <c r="C286" s="18" t="s">
        <v>43</v>
      </c>
      <c r="D286" s="9" t="s">
        <v>656</v>
      </c>
      <c r="E286" s="9" t="s">
        <v>657</v>
      </c>
      <c r="F286" s="9" t="s">
        <v>14</v>
      </c>
      <c r="G286" s="10" t="n">
        <v>2025</v>
      </c>
      <c r="H286" s="10" t="n">
        <v>10</v>
      </c>
      <c r="I286" s="19" t="n">
        <v>26100</v>
      </c>
      <c r="J286" s="19" t="n">
        <v>29000</v>
      </c>
      <c r="K286" s="10" t="n">
        <v>1450</v>
      </c>
      <c r="L286" s="10" t="n">
        <v>2100</v>
      </c>
      <c r="M286" s="10" t="n">
        <v>22</v>
      </c>
      <c r="N286" s="11" t="n">
        <v>9.8</v>
      </c>
      <c r="O286" s="18" t="s">
        <v>56</v>
      </c>
    </row>
    <row r="287" customFormat="false" ht="15" hidden="false" customHeight="false" outlineLevel="0" collapsed="false">
      <c r="A287" s="18" t="n">
        <v>145963641</v>
      </c>
      <c r="B287" s="10" t="n">
        <v>286</v>
      </c>
      <c r="C287" s="18" t="s">
        <v>43</v>
      </c>
      <c r="D287" s="9" t="s">
        <v>658</v>
      </c>
      <c r="E287" s="9" t="s">
        <v>659</v>
      </c>
      <c r="F287" s="9" t="s">
        <v>660</v>
      </c>
      <c r="G287" s="10" t="n">
        <v>2025</v>
      </c>
      <c r="H287" s="10" t="n">
        <v>10</v>
      </c>
      <c r="I287" s="19" t="n">
        <v>19800</v>
      </c>
      <c r="J287" s="19" t="n">
        <v>22000</v>
      </c>
      <c r="K287" s="10" t="n">
        <v>1100</v>
      </c>
      <c r="L287" s="10" t="n">
        <v>2184</v>
      </c>
      <c r="M287" s="10" t="n">
        <v>10</v>
      </c>
      <c r="N287" s="11" t="n">
        <v>10</v>
      </c>
      <c r="O287" s="18" t="s">
        <v>56</v>
      </c>
    </row>
    <row r="288" customFormat="false" ht="15" hidden="false" customHeight="false" outlineLevel="0" collapsed="false">
      <c r="A288" s="18" t="n">
        <v>143310229</v>
      </c>
      <c r="B288" s="10" t="n">
        <v>287</v>
      </c>
      <c r="C288" s="18" t="s">
        <v>43</v>
      </c>
      <c r="D288" s="9" t="s">
        <v>661</v>
      </c>
      <c r="E288" s="9" t="s">
        <v>662</v>
      </c>
      <c r="F288" s="9" t="s">
        <v>663</v>
      </c>
      <c r="G288" s="10" t="n">
        <v>2025</v>
      </c>
      <c r="H288" s="10" t="n">
        <v>10</v>
      </c>
      <c r="I288" s="19" t="n">
        <v>12600</v>
      </c>
      <c r="J288" s="19" t="n">
        <v>14000</v>
      </c>
      <c r="K288" s="10" t="n">
        <v>700</v>
      </c>
      <c r="L288" s="10" t="n">
        <v>792</v>
      </c>
      <c r="M288" s="10" t="n">
        <v>0</v>
      </c>
      <c r="N288" s="11" t="n">
        <v>0</v>
      </c>
      <c r="O288" s="18" t="s">
        <v>56</v>
      </c>
    </row>
    <row r="289" customFormat="false" ht="15" hidden="false" customHeight="false" outlineLevel="0" collapsed="false">
      <c r="A289" s="18" t="n">
        <v>142865133</v>
      </c>
      <c r="B289" s="10" t="n">
        <v>288</v>
      </c>
      <c r="C289" s="18" t="s">
        <v>43</v>
      </c>
      <c r="D289" s="9" t="s">
        <v>664</v>
      </c>
      <c r="E289" s="9" t="s">
        <v>403</v>
      </c>
      <c r="F289" s="9" t="s">
        <v>161</v>
      </c>
      <c r="G289" s="10" t="n">
        <v>2025</v>
      </c>
      <c r="H289" s="10" t="n">
        <v>10</v>
      </c>
      <c r="I289" s="19" t="n">
        <v>12600</v>
      </c>
      <c r="J289" s="19" t="n">
        <v>14000</v>
      </c>
      <c r="K289" s="10" t="n">
        <v>700</v>
      </c>
      <c r="L289" s="10" t="n">
        <v>1626</v>
      </c>
      <c r="M289" s="10" t="n">
        <v>0</v>
      </c>
      <c r="N289" s="11" t="n">
        <v>0</v>
      </c>
      <c r="O289" s="18" t="s">
        <v>56</v>
      </c>
    </row>
    <row r="290" customFormat="false" ht="15" hidden="false" customHeight="false" outlineLevel="0" collapsed="false">
      <c r="A290" s="18" t="n">
        <v>142771067</v>
      </c>
      <c r="B290" s="10" t="n">
        <v>289</v>
      </c>
      <c r="C290" s="18" t="s">
        <v>43</v>
      </c>
      <c r="D290" s="15" t="s">
        <v>665</v>
      </c>
      <c r="E290" s="9" t="s">
        <v>403</v>
      </c>
      <c r="F290" s="9" t="s">
        <v>161</v>
      </c>
      <c r="G290" s="10" t="n">
        <v>2025</v>
      </c>
      <c r="H290" s="10" t="n">
        <v>10</v>
      </c>
      <c r="I290" s="19" t="n">
        <v>12600</v>
      </c>
      <c r="J290" s="19" t="n">
        <v>14000</v>
      </c>
      <c r="K290" s="10" t="n">
        <v>700</v>
      </c>
      <c r="L290" s="10" t="n">
        <v>1044</v>
      </c>
      <c r="M290" s="10" t="n">
        <v>0</v>
      </c>
      <c r="N290" s="11" t="n">
        <v>0</v>
      </c>
      <c r="O290" s="18" t="s">
        <v>56</v>
      </c>
    </row>
    <row r="291" customFormat="false" ht="15" hidden="false" customHeight="false" outlineLevel="0" collapsed="false">
      <c r="A291" s="18" t="n">
        <v>142258696</v>
      </c>
      <c r="B291" s="10" t="n">
        <v>290</v>
      </c>
      <c r="C291" s="18" t="s">
        <v>43</v>
      </c>
      <c r="D291" s="9" t="s">
        <v>666</v>
      </c>
      <c r="E291" s="9" t="s">
        <v>667</v>
      </c>
      <c r="F291" s="9" t="s">
        <v>12</v>
      </c>
      <c r="G291" s="10" t="n">
        <v>2025</v>
      </c>
      <c r="H291" s="10" t="n">
        <v>10</v>
      </c>
      <c r="I291" s="19" t="n">
        <v>23400</v>
      </c>
      <c r="J291" s="19" t="n">
        <v>26000</v>
      </c>
      <c r="K291" s="10" t="n">
        <v>1300</v>
      </c>
      <c r="L291" s="10" t="n">
        <v>2940</v>
      </c>
      <c r="M291" s="10" t="n">
        <v>38</v>
      </c>
      <c r="N291" s="11" t="n">
        <v>9.7</v>
      </c>
      <c r="O291" s="18" t="s">
        <v>46</v>
      </c>
    </row>
    <row r="292" customFormat="false" ht="15" hidden="false" customHeight="false" outlineLevel="0" collapsed="false">
      <c r="A292" s="18" t="n">
        <v>141746357</v>
      </c>
      <c r="B292" s="10" t="n">
        <v>291</v>
      </c>
      <c r="C292" s="18" t="s">
        <v>43</v>
      </c>
      <c r="D292" s="9" t="s">
        <v>668</v>
      </c>
      <c r="E292" s="9" t="s">
        <v>669</v>
      </c>
      <c r="F292" s="9" t="s">
        <v>670</v>
      </c>
      <c r="G292" s="10" t="n">
        <v>2025</v>
      </c>
      <c r="H292" s="10" t="n">
        <v>10</v>
      </c>
      <c r="I292" s="19" t="n">
        <v>19800</v>
      </c>
      <c r="J292" s="19" t="n">
        <v>22000</v>
      </c>
      <c r="K292" s="10" t="n">
        <v>1100</v>
      </c>
      <c r="L292" s="10" t="n">
        <v>5091</v>
      </c>
      <c r="M292" s="10" t="n">
        <v>12</v>
      </c>
      <c r="N292" s="11" t="n">
        <v>9.8</v>
      </c>
      <c r="O292" s="18" t="s">
        <v>56</v>
      </c>
    </row>
    <row r="293" customFormat="false" ht="15" hidden="false" customHeight="false" outlineLevel="0" collapsed="false">
      <c r="A293" s="18" t="n">
        <v>141311181</v>
      </c>
      <c r="B293" s="10" t="n">
        <v>292</v>
      </c>
      <c r="C293" s="18" t="s">
        <v>43</v>
      </c>
      <c r="D293" s="9" t="s">
        <v>671</v>
      </c>
      <c r="E293" s="9" t="s">
        <v>672</v>
      </c>
      <c r="F293" s="9" t="s">
        <v>12</v>
      </c>
      <c r="G293" s="10" t="n">
        <v>2025</v>
      </c>
      <c r="H293" s="10" t="n">
        <v>10</v>
      </c>
      <c r="I293" s="19" t="n">
        <v>25200</v>
      </c>
      <c r="J293" s="19" t="n">
        <v>28000</v>
      </c>
      <c r="K293" s="10" t="n">
        <v>1400</v>
      </c>
      <c r="L293" s="10" t="n">
        <v>1512</v>
      </c>
      <c r="M293" s="10" t="n">
        <v>27</v>
      </c>
      <c r="N293" s="11" t="n">
        <v>9.4</v>
      </c>
      <c r="O293" s="18" t="s">
        <v>56</v>
      </c>
    </row>
    <row r="294" customFormat="false" ht="15" hidden="false" customHeight="false" outlineLevel="0" collapsed="false">
      <c r="A294" s="18" t="n">
        <v>139798543</v>
      </c>
      <c r="B294" s="10" t="n">
        <v>293</v>
      </c>
      <c r="C294" s="18" t="s">
        <v>43</v>
      </c>
      <c r="D294" s="9" t="s">
        <v>673</v>
      </c>
      <c r="E294" s="9" t="s">
        <v>246</v>
      </c>
      <c r="F294" s="9" t="s">
        <v>12</v>
      </c>
      <c r="G294" s="10" t="n">
        <v>2024</v>
      </c>
      <c r="H294" s="10" t="n">
        <v>10</v>
      </c>
      <c r="I294" s="19" t="n">
        <v>15300</v>
      </c>
      <c r="J294" s="19" t="n">
        <v>17000</v>
      </c>
      <c r="K294" s="10" t="n">
        <v>850</v>
      </c>
      <c r="L294" s="10" t="n">
        <v>6768</v>
      </c>
      <c r="M294" s="10" t="n">
        <v>37</v>
      </c>
      <c r="N294" s="11" t="n">
        <v>9.7</v>
      </c>
      <c r="O294" s="18" t="s">
        <v>46</v>
      </c>
    </row>
    <row r="295" customFormat="false" ht="15" hidden="false" customHeight="false" outlineLevel="0" collapsed="false">
      <c r="A295" s="18" t="n">
        <v>139777149</v>
      </c>
      <c r="B295" s="10" t="n">
        <v>294</v>
      </c>
      <c r="C295" s="18" t="s">
        <v>43</v>
      </c>
      <c r="D295" s="9" t="s">
        <v>674</v>
      </c>
      <c r="E295" s="9" t="s">
        <v>675</v>
      </c>
      <c r="F295" s="9" t="s">
        <v>64</v>
      </c>
      <c r="G295" s="10" t="n">
        <v>2024</v>
      </c>
      <c r="H295" s="10" t="n">
        <v>10</v>
      </c>
      <c r="I295" s="19" t="n">
        <v>16920</v>
      </c>
      <c r="J295" s="19" t="n">
        <v>18800</v>
      </c>
      <c r="K295" s="10" t="n">
        <v>940</v>
      </c>
      <c r="L295" s="10" t="n">
        <v>2754</v>
      </c>
      <c r="M295" s="10" t="n">
        <v>4</v>
      </c>
      <c r="N295" s="11" t="n">
        <v>10</v>
      </c>
      <c r="O295" s="18" t="s">
        <v>56</v>
      </c>
    </row>
    <row r="296" customFormat="false" ht="15" hidden="false" customHeight="false" outlineLevel="0" collapsed="false">
      <c r="A296" s="18" t="n">
        <v>136304038</v>
      </c>
      <c r="B296" s="10" t="n">
        <v>295</v>
      </c>
      <c r="C296" s="18" t="s">
        <v>43</v>
      </c>
      <c r="D296" s="15" t="s">
        <v>676</v>
      </c>
      <c r="E296" s="9" t="s">
        <v>677</v>
      </c>
      <c r="F296" s="9" t="s">
        <v>14</v>
      </c>
      <c r="G296" s="10" t="n">
        <v>2024</v>
      </c>
      <c r="H296" s="10" t="n">
        <v>10</v>
      </c>
      <c r="I296" s="19" t="n">
        <v>24300</v>
      </c>
      <c r="J296" s="19" t="n">
        <v>27000</v>
      </c>
      <c r="K296" s="10" t="n">
        <v>1350</v>
      </c>
      <c r="L296" s="10" t="n">
        <v>2946</v>
      </c>
      <c r="M296" s="10" t="n">
        <v>84</v>
      </c>
      <c r="N296" s="11" t="n">
        <v>9.7</v>
      </c>
      <c r="O296" s="18" t="s">
        <v>46</v>
      </c>
    </row>
    <row r="297" customFormat="false" ht="15" hidden="false" customHeight="false" outlineLevel="0" collapsed="false">
      <c r="A297" s="18" t="n">
        <v>130279113</v>
      </c>
      <c r="B297" s="10" t="n">
        <v>296</v>
      </c>
      <c r="C297" s="18" t="s">
        <v>43</v>
      </c>
      <c r="D297" s="9" t="s">
        <v>678</v>
      </c>
      <c r="E297" s="9" t="s">
        <v>679</v>
      </c>
      <c r="F297" s="15" t="s">
        <v>680</v>
      </c>
      <c r="G297" s="10" t="n">
        <v>2024</v>
      </c>
      <c r="H297" s="10" t="n">
        <v>10</v>
      </c>
      <c r="I297" s="19" t="n">
        <v>38520</v>
      </c>
      <c r="J297" s="19" t="n">
        <v>42800</v>
      </c>
      <c r="K297" s="10" t="n">
        <v>2140</v>
      </c>
      <c r="L297" s="10" t="n">
        <v>1644</v>
      </c>
      <c r="M297" s="10" t="n">
        <v>12</v>
      </c>
      <c r="N297" s="11" t="n">
        <v>9.8</v>
      </c>
      <c r="O297" s="18" t="s">
        <v>56</v>
      </c>
    </row>
    <row r="298" customFormat="false" ht="15" hidden="false" customHeight="false" outlineLevel="0" collapsed="false">
      <c r="A298" s="18" t="n">
        <v>130198048</v>
      </c>
      <c r="B298" s="10" t="n">
        <v>297</v>
      </c>
      <c r="C298" s="18" t="s">
        <v>43</v>
      </c>
      <c r="D298" s="15" t="s">
        <v>681</v>
      </c>
      <c r="E298" s="9" t="s">
        <v>403</v>
      </c>
      <c r="F298" s="9" t="s">
        <v>161</v>
      </c>
      <c r="G298" s="10" t="n">
        <v>2024</v>
      </c>
      <c r="H298" s="10" t="n">
        <v>10</v>
      </c>
      <c r="I298" s="19" t="n">
        <v>10800</v>
      </c>
      <c r="J298" s="19" t="n">
        <v>12000</v>
      </c>
      <c r="K298" s="10" t="n">
        <v>600</v>
      </c>
      <c r="L298" s="10" t="n">
        <v>1308</v>
      </c>
      <c r="M298" s="10" t="n">
        <v>0</v>
      </c>
      <c r="N298" s="11" t="n">
        <v>0</v>
      </c>
      <c r="O298" s="18" t="s">
        <v>56</v>
      </c>
    </row>
    <row r="299" customFormat="false" ht="15" hidden="false" customHeight="false" outlineLevel="0" collapsed="false">
      <c r="A299" s="18" t="n">
        <v>130179291</v>
      </c>
      <c r="B299" s="10" t="n">
        <v>298</v>
      </c>
      <c r="C299" s="18" t="s">
        <v>43</v>
      </c>
      <c r="D299" s="9" t="s">
        <v>682</v>
      </c>
      <c r="E299" s="9" t="s">
        <v>357</v>
      </c>
      <c r="F299" s="9" t="s">
        <v>12</v>
      </c>
      <c r="G299" s="10" t="n">
        <v>2024</v>
      </c>
      <c r="H299" s="10" t="n">
        <v>10</v>
      </c>
      <c r="I299" s="19" t="n">
        <v>32400</v>
      </c>
      <c r="J299" s="19" t="n">
        <v>36000</v>
      </c>
      <c r="K299" s="10" t="n">
        <v>1800</v>
      </c>
      <c r="L299" s="10" t="n">
        <v>3048</v>
      </c>
      <c r="M299" s="10" t="n">
        <v>32</v>
      </c>
      <c r="N299" s="11" t="n">
        <v>9.8</v>
      </c>
      <c r="O299" s="18" t="s">
        <v>46</v>
      </c>
    </row>
    <row r="300" customFormat="false" ht="15" hidden="false" customHeight="false" outlineLevel="0" collapsed="false">
      <c r="A300" s="18" t="n">
        <v>130156635</v>
      </c>
      <c r="B300" s="10" t="n">
        <v>299</v>
      </c>
      <c r="C300" s="18" t="s">
        <v>43</v>
      </c>
      <c r="D300" s="15" t="s">
        <v>683</v>
      </c>
      <c r="E300" s="9" t="s">
        <v>684</v>
      </c>
      <c r="F300" s="9" t="s">
        <v>12</v>
      </c>
      <c r="G300" s="10" t="n">
        <v>2024</v>
      </c>
      <c r="H300" s="10" t="n">
        <v>10</v>
      </c>
      <c r="I300" s="19" t="n">
        <v>40500</v>
      </c>
      <c r="J300" s="19" t="n">
        <v>45000</v>
      </c>
      <c r="K300" s="10" t="n">
        <v>2250</v>
      </c>
      <c r="L300" s="10" t="n">
        <v>2514</v>
      </c>
      <c r="M300" s="10" t="n">
        <v>12</v>
      </c>
      <c r="N300" s="11" t="n">
        <v>9.5</v>
      </c>
      <c r="O300" s="18" t="s">
        <v>56</v>
      </c>
    </row>
    <row r="301" customFormat="false" ht="15" hidden="false" customHeight="false" outlineLevel="0" collapsed="false">
      <c r="A301" s="18" t="n">
        <v>127102247</v>
      </c>
      <c r="B301" s="10" t="n">
        <v>300</v>
      </c>
      <c r="C301" s="18" t="s">
        <v>43</v>
      </c>
      <c r="D301" s="15" t="s">
        <v>685</v>
      </c>
      <c r="E301" s="9" t="s">
        <v>677</v>
      </c>
      <c r="F301" s="9" t="s">
        <v>14</v>
      </c>
      <c r="G301" s="10" t="n">
        <v>2024</v>
      </c>
      <c r="H301" s="10" t="n">
        <v>10</v>
      </c>
      <c r="I301" s="19" t="n">
        <v>22500</v>
      </c>
      <c r="J301" s="19" t="n">
        <v>25000</v>
      </c>
      <c r="K301" s="10" t="n">
        <v>1250</v>
      </c>
      <c r="L301" s="10" t="n">
        <v>6162</v>
      </c>
      <c r="M301" s="10" t="n">
        <v>95</v>
      </c>
      <c r="N301" s="11" t="n">
        <v>9.7</v>
      </c>
      <c r="O301" s="18" t="s">
        <v>46</v>
      </c>
    </row>
    <row r="302" customFormat="false" ht="15" hidden="false" customHeight="false" outlineLevel="0" collapsed="false">
      <c r="A302" s="18" t="n">
        <v>126114513</v>
      </c>
      <c r="B302" s="10" t="n">
        <v>301</v>
      </c>
      <c r="C302" s="18" t="s">
        <v>43</v>
      </c>
      <c r="D302" s="15" t="s">
        <v>686</v>
      </c>
      <c r="E302" s="9" t="s">
        <v>687</v>
      </c>
      <c r="F302" s="9" t="s">
        <v>311</v>
      </c>
      <c r="G302" s="10" t="n">
        <v>2024</v>
      </c>
      <c r="H302" s="10" t="n">
        <v>10</v>
      </c>
      <c r="I302" s="19" t="n">
        <v>38700</v>
      </c>
      <c r="J302" s="19" t="n">
        <v>43000</v>
      </c>
      <c r="K302" s="10" t="n">
        <v>2150</v>
      </c>
      <c r="L302" s="10" t="n">
        <v>1554</v>
      </c>
      <c r="M302" s="10" t="n">
        <v>13</v>
      </c>
      <c r="N302" s="11" t="n">
        <v>9.2</v>
      </c>
      <c r="O302" s="18" t="s">
        <v>56</v>
      </c>
    </row>
    <row r="303" customFormat="false" ht="15" hidden="false" customHeight="false" outlineLevel="0" collapsed="false">
      <c r="A303" s="18" t="n">
        <v>125886358</v>
      </c>
      <c r="B303" s="10" t="n">
        <v>302</v>
      </c>
      <c r="C303" s="18" t="s">
        <v>43</v>
      </c>
      <c r="D303" s="15" t="s">
        <v>688</v>
      </c>
      <c r="E303" s="9" t="s">
        <v>689</v>
      </c>
      <c r="F303" s="9" t="s">
        <v>88</v>
      </c>
      <c r="G303" s="10" t="n">
        <v>2024</v>
      </c>
      <c r="H303" s="10" t="n">
        <v>10</v>
      </c>
      <c r="I303" s="19" t="n">
        <v>16200</v>
      </c>
      <c r="J303" s="19" t="n">
        <v>18000</v>
      </c>
      <c r="K303" s="10" t="n">
        <v>900</v>
      </c>
      <c r="L303" s="10" t="n">
        <v>2394</v>
      </c>
      <c r="M303" s="10" t="n">
        <v>11</v>
      </c>
      <c r="N303" s="11" t="n">
        <v>10</v>
      </c>
      <c r="O303" s="18" t="s">
        <v>46</v>
      </c>
    </row>
    <row r="304" customFormat="false" ht="15" hidden="false" customHeight="false" outlineLevel="0" collapsed="false">
      <c r="A304" s="18" t="n">
        <v>125821659</v>
      </c>
      <c r="B304" s="10" t="n">
        <v>303</v>
      </c>
      <c r="C304" s="18" t="s">
        <v>43</v>
      </c>
      <c r="D304" s="9" t="s">
        <v>690</v>
      </c>
      <c r="E304" s="9" t="s">
        <v>691</v>
      </c>
      <c r="F304" s="9" t="s">
        <v>692</v>
      </c>
      <c r="G304" s="10" t="n">
        <v>2024</v>
      </c>
      <c r="H304" s="10" t="n">
        <v>10</v>
      </c>
      <c r="I304" s="19" t="n">
        <v>20700</v>
      </c>
      <c r="J304" s="19" t="n">
        <v>23000</v>
      </c>
      <c r="K304" s="10" t="n">
        <v>1150</v>
      </c>
      <c r="L304" s="10" t="n">
        <v>2349</v>
      </c>
      <c r="M304" s="10" t="n">
        <v>6</v>
      </c>
      <c r="N304" s="11" t="n">
        <v>10</v>
      </c>
      <c r="O304" s="18" t="s">
        <v>56</v>
      </c>
    </row>
    <row r="305" customFormat="false" ht="15" hidden="false" customHeight="false" outlineLevel="0" collapsed="false">
      <c r="A305" s="18" t="n">
        <v>125692722</v>
      </c>
      <c r="B305" s="10" t="n">
        <v>304</v>
      </c>
      <c r="C305" s="18" t="s">
        <v>43</v>
      </c>
      <c r="D305" s="9" t="s">
        <v>693</v>
      </c>
      <c r="E305" s="9" t="s">
        <v>694</v>
      </c>
      <c r="F305" s="9" t="s">
        <v>17</v>
      </c>
      <c r="G305" s="10" t="n">
        <v>2024</v>
      </c>
      <c r="H305" s="10" t="n">
        <v>10</v>
      </c>
      <c r="I305" s="19" t="n">
        <v>17100</v>
      </c>
      <c r="J305" s="19" t="n">
        <v>19000</v>
      </c>
      <c r="K305" s="10" t="n">
        <v>950</v>
      </c>
      <c r="L305" s="10" t="n">
        <v>7884</v>
      </c>
      <c r="M305" s="10" t="n">
        <v>32</v>
      </c>
      <c r="N305" s="11" t="n">
        <v>9.7</v>
      </c>
      <c r="O305" s="18" t="s">
        <v>46</v>
      </c>
    </row>
    <row r="306" customFormat="false" ht="15" hidden="false" customHeight="false" outlineLevel="0" collapsed="false">
      <c r="A306" s="18" t="n">
        <v>125483821</v>
      </c>
      <c r="B306" s="10" t="n">
        <v>305</v>
      </c>
      <c r="C306" s="18" t="s">
        <v>43</v>
      </c>
      <c r="D306" s="9" t="s">
        <v>695</v>
      </c>
      <c r="E306" s="15" t="s">
        <v>696</v>
      </c>
      <c r="F306" s="9" t="s">
        <v>23</v>
      </c>
      <c r="G306" s="10" t="n">
        <v>2024</v>
      </c>
      <c r="H306" s="10" t="n">
        <v>10</v>
      </c>
      <c r="I306" s="19" t="n">
        <v>22500</v>
      </c>
      <c r="J306" s="19" t="n">
        <v>25000</v>
      </c>
      <c r="K306" s="10" t="n">
        <v>1250</v>
      </c>
      <c r="L306" s="10" t="n">
        <v>1656</v>
      </c>
      <c r="M306" s="10" t="n">
        <v>19</v>
      </c>
      <c r="N306" s="11" t="n">
        <v>10</v>
      </c>
      <c r="O306" s="18" t="s">
        <v>56</v>
      </c>
    </row>
    <row r="307" customFormat="false" ht="15" hidden="false" customHeight="false" outlineLevel="0" collapsed="false">
      <c r="A307" s="18" t="n">
        <v>124832401</v>
      </c>
      <c r="B307" s="10" t="n">
        <v>306</v>
      </c>
      <c r="C307" s="18" t="s">
        <v>43</v>
      </c>
      <c r="D307" s="9" t="s">
        <v>697</v>
      </c>
      <c r="E307" s="9" t="s">
        <v>698</v>
      </c>
      <c r="F307" s="9" t="s">
        <v>514</v>
      </c>
      <c r="G307" s="10" t="n">
        <v>2024</v>
      </c>
      <c r="H307" s="10" t="n">
        <v>0</v>
      </c>
      <c r="I307" s="19" t="n">
        <v>32000</v>
      </c>
      <c r="J307" s="19" t="n">
        <v>32000</v>
      </c>
      <c r="K307" s="10" t="n">
        <v>960</v>
      </c>
      <c r="L307" s="10" t="n">
        <v>2970</v>
      </c>
      <c r="M307" s="10" t="n">
        <v>4</v>
      </c>
      <c r="N307" s="11" t="n">
        <v>10</v>
      </c>
      <c r="O307" s="18" t="s">
        <v>56</v>
      </c>
    </row>
    <row r="308" customFormat="false" ht="15" hidden="false" customHeight="false" outlineLevel="0" collapsed="false">
      <c r="A308" s="18" t="n">
        <v>124806989</v>
      </c>
      <c r="B308" s="10" t="n">
        <v>307</v>
      </c>
      <c r="C308" s="18" t="s">
        <v>43</v>
      </c>
      <c r="D308" s="9" t="s">
        <v>699</v>
      </c>
      <c r="E308" s="9" t="s">
        <v>426</v>
      </c>
      <c r="F308" s="9" t="s">
        <v>14</v>
      </c>
      <c r="G308" s="10" t="n">
        <v>2024</v>
      </c>
      <c r="H308" s="10" t="n">
        <v>10</v>
      </c>
      <c r="I308" s="19" t="n">
        <v>21600</v>
      </c>
      <c r="J308" s="19" t="n">
        <v>24000</v>
      </c>
      <c r="K308" s="10" t="n">
        <v>1200</v>
      </c>
      <c r="L308" s="10" t="n">
        <v>1896</v>
      </c>
      <c r="M308" s="10" t="n">
        <v>14</v>
      </c>
      <c r="N308" s="11" t="n">
        <v>9.7</v>
      </c>
      <c r="O308" s="18" t="s">
        <v>56</v>
      </c>
    </row>
    <row r="309" customFormat="false" ht="15" hidden="false" customHeight="false" outlineLevel="0" collapsed="false">
      <c r="A309" s="18" t="n">
        <v>124213797</v>
      </c>
      <c r="B309" s="10" t="n">
        <v>308</v>
      </c>
      <c r="C309" s="18" t="s">
        <v>43</v>
      </c>
      <c r="D309" s="9" t="s">
        <v>700</v>
      </c>
      <c r="E309" s="9" t="s">
        <v>701</v>
      </c>
      <c r="F309" s="9" t="s">
        <v>19</v>
      </c>
      <c r="G309" s="10" t="n">
        <v>2024</v>
      </c>
      <c r="H309" s="10" t="n">
        <v>10</v>
      </c>
      <c r="I309" s="19" t="n">
        <v>18000</v>
      </c>
      <c r="J309" s="19" t="n">
        <v>20000</v>
      </c>
      <c r="K309" s="10" t="n">
        <v>1000</v>
      </c>
      <c r="L309" s="10" t="n">
        <v>684</v>
      </c>
      <c r="M309" s="10" t="n">
        <v>6</v>
      </c>
      <c r="N309" s="11" t="n">
        <v>10</v>
      </c>
      <c r="O309" s="18" t="s">
        <v>56</v>
      </c>
    </row>
    <row r="310" customFormat="false" ht="15" hidden="false" customHeight="false" outlineLevel="0" collapsed="false">
      <c r="A310" s="18" t="n">
        <v>124138645</v>
      </c>
      <c r="B310" s="10" t="n">
        <v>309</v>
      </c>
      <c r="C310" s="18" t="s">
        <v>43</v>
      </c>
      <c r="D310" s="9" t="s">
        <v>702</v>
      </c>
      <c r="E310" s="9" t="s">
        <v>703</v>
      </c>
      <c r="F310" s="9" t="s">
        <v>311</v>
      </c>
      <c r="G310" s="10" t="n">
        <v>2024</v>
      </c>
      <c r="H310" s="10" t="n">
        <v>10</v>
      </c>
      <c r="I310" s="19" t="n">
        <v>32400</v>
      </c>
      <c r="J310" s="19" t="n">
        <v>36000</v>
      </c>
      <c r="K310" s="10" t="n">
        <v>1800</v>
      </c>
      <c r="L310" s="10" t="n">
        <v>3714</v>
      </c>
      <c r="M310" s="10" t="n">
        <v>23</v>
      </c>
      <c r="N310" s="11" t="n">
        <v>9.7</v>
      </c>
      <c r="O310" s="18" t="s">
        <v>46</v>
      </c>
    </row>
    <row r="311" customFormat="false" ht="15" hidden="false" customHeight="false" outlineLevel="0" collapsed="false">
      <c r="A311" s="18" t="n">
        <v>122863801</v>
      </c>
      <c r="B311" s="10" t="n">
        <v>310</v>
      </c>
      <c r="C311" s="18" t="s">
        <v>43</v>
      </c>
      <c r="D311" s="9" t="s">
        <v>704</v>
      </c>
      <c r="E311" s="9" t="s">
        <v>705</v>
      </c>
      <c r="F311" s="9" t="s">
        <v>552</v>
      </c>
      <c r="G311" s="10" t="n">
        <v>2023</v>
      </c>
      <c r="H311" s="10" t="n">
        <v>10</v>
      </c>
      <c r="I311" s="19" t="n">
        <v>26550</v>
      </c>
      <c r="J311" s="19" t="n">
        <v>29500</v>
      </c>
      <c r="K311" s="10" t="n">
        <v>1470</v>
      </c>
      <c r="L311" s="10" t="n">
        <v>2919</v>
      </c>
      <c r="M311" s="10" t="n">
        <v>1990</v>
      </c>
      <c r="N311" s="11" t="n">
        <v>9.8</v>
      </c>
      <c r="O311" s="18" t="s">
        <v>46</v>
      </c>
    </row>
    <row r="312" customFormat="false" ht="15" hidden="false" customHeight="false" outlineLevel="0" collapsed="false">
      <c r="A312" s="18" t="n">
        <v>120483591</v>
      </c>
      <c r="B312" s="10" t="n">
        <v>311</v>
      </c>
      <c r="C312" s="18" t="s">
        <v>43</v>
      </c>
      <c r="D312" s="9" t="s">
        <v>706</v>
      </c>
      <c r="E312" s="9" t="s">
        <v>707</v>
      </c>
      <c r="F312" s="9" t="s">
        <v>238</v>
      </c>
      <c r="G312" s="10" t="n">
        <v>2023</v>
      </c>
      <c r="H312" s="10" t="n">
        <v>10</v>
      </c>
      <c r="I312" s="19" t="n">
        <v>16920</v>
      </c>
      <c r="J312" s="19" t="n">
        <v>18800</v>
      </c>
      <c r="K312" s="10" t="n">
        <v>940</v>
      </c>
      <c r="L312" s="10" t="n">
        <v>1125</v>
      </c>
      <c r="M312" s="10" t="n">
        <v>7</v>
      </c>
      <c r="N312" s="11" t="n">
        <v>9</v>
      </c>
      <c r="O312" s="18" t="s">
        <v>56</v>
      </c>
    </row>
    <row r="313" customFormat="false" ht="15" hidden="false" customHeight="false" outlineLevel="0" collapsed="false">
      <c r="A313" s="18" t="n">
        <v>119712582</v>
      </c>
      <c r="B313" s="10" t="n">
        <v>312</v>
      </c>
      <c r="C313" s="18" t="s">
        <v>43</v>
      </c>
      <c r="D313" s="9" t="s">
        <v>708</v>
      </c>
      <c r="E313" s="9" t="s">
        <v>709</v>
      </c>
      <c r="F313" s="9" t="s">
        <v>12</v>
      </c>
      <c r="G313" s="10" t="n">
        <v>2023</v>
      </c>
      <c r="H313" s="10" t="n">
        <v>10</v>
      </c>
      <c r="I313" s="19" t="n">
        <v>34200</v>
      </c>
      <c r="J313" s="19" t="n">
        <v>38000</v>
      </c>
      <c r="K313" s="10" t="n">
        <v>1900</v>
      </c>
      <c r="L313" s="10" t="n">
        <v>1848</v>
      </c>
      <c r="M313" s="10" t="n">
        <v>39</v>
      </c>
      <c r="N313" s="11" t="n">
        <v>9.2</v>
      </c>
      <c r="O313" s="18" t="s">
        <v>56</v>
      </c>
    </row>
    <row r="314" customFormat="false" ht="15" hidden="false" customHeight="false" outlineLevel="0" collapsed="false">
      <c r="A314" s="18" t="n">
        <v>118827280</v>
      </c>
      <c r="B314" s="10" t="n">
        <v>313</v>
      </c>
      <c r="C314" s="18" t="s">
        <v>43</v>
      </c>
      <c r="D314" s="9" t="s">
        <v>710</v>
      </c>
      <c r="E314" s="9" t="s">
        <v>711</v>
      </c>
      <c r="F314" s="9" t="s">
        <v>12</v>
      </c>
      <c r="G314" s="10" t="n">
        <v>2023</v>
      </c>
      <c r="H314" s="10" t="n">
        <v>10</v>
      </c>
      <c r="I314" s="19" t="n">
        <v>18000</v>
      </c>
      <c r="J314" s="19" t="n">
        <v>20000</v>
      </c>
      <c r="K314" s="10" t="n">
        <v>1000</v>
      </c>
      <c r="L314" s="10" t="n">
        <v>1656</v>
      </c>
      <c r="M314" s="10" t="n">
        <v>37</v>
      </c>
      <c r="N314" s="11" t="n">
        <v>9.5</v>
      </c>
      <c r="O314" s="18" t="s">
        <v>56</v>
      </c>
    </row>
    <row r="315" customFormat="false" ht="15" hidden="false" customHeight="false" outlineLevel="0" collapsed="false">
      <c r="A315" s="18" t="n">
        <v>118685906</v>
      </c>
      <c r="B315" s="10" t="n">
        <v>314</v>
      </c>
      <c r="C315" s="18" t="s">
        <v>43</v>
      </c>
      <c r="D315" s="9" t="s">
        <v>712</v>
      </c>
      <c r="E315" s="9" t="s">
        <v>713</v>
      </c>
      <c r="F315" s="9" t="s">
        <v>12</v>
      </c>
      <c r="G315" s="10" t="n">
        <v>2023</v>
      </c>
      <c r="H315" s="10" t="n">
        <v>10</v>
      </c>
      <c r="I315" s="19" t="n">
        <v>32400</v>
      </c>
      <c r="J315" s="19" t="n">
        <v>36000</v>
      </c>
      <c r="K315" s="10" t="n">
        <v>1800</v>
      </c>
      <c r="L315" s="10" t="n">
        <v>2988</v>
      </c>
      <c r="M315" s="10" t="n">
        <v>30</v>
      </c>
      <c r="N315" s="11" t="n">
        <v>9.1</v>
      </c>
      <c r="O315" s="18" t="s">
        <v>46</v>
      </c>
    </row>
    <row r="316" customFormat="false" ht="15" hidden="false" customHeight="false" outlineLevel="0" collapsed="false">
      <c r="A316" s="18" t="n">
        <v>118397432</v>
      </c>
      <c r="B316" s="10" t="n">
        <v>315</v>
      </c>
      <c r="C316" s="18" t="s">
        <v>43</v>
      </c>
      <c r="D316" s="9" t="s">
        <v>714</v>
      </c>
      <c r="E316" s="9" t="s">
        <v>715</v>
      </c>
      <c r="F316" s="9" t="s">
        <v>16</v>
      </c>
      <c r="G316" s="10" t="n">
        <v>2023</v>
      </c>
      <c r="H316" s="10" t="n">
        <v>10</v>
      </c>
      <c r="I316" s="19" t="n">
        <v>29700</v>
      </c>
      <c r="J316" s="19" t="n">
        <v>33000</v>
      </c>
      <c r="K316" s="10" t="n">
        <v>1650</v>
      </c>
      <c r="L316" s="10" t="n">
        <v>2298</v>
      </c>
      <c r="M316" s="10" t="n">
        <v>8</v>
      </c>
      <c r="N316" s="11" t="n">
        <v>9.5</v>
      </c>
      <c r="O316" s="18" t="s">
        <v>46</v>
      </c>
    </row>
    <row r="317" customFormat="false" ht="15" hidden="false" customHeight="false" outlineLevel="0" collapsed="false">
      <c r="A317" s="18" t="n">
        <v>116755317</v>
      </c>
      <c r="B317" s="10" t="n">
        <v>316</v>
      </c>
      <c r="C317" s="18" t="s">
        <v>43</v>
      </c>
      <c r="D317" s="9" t="s">
        <v>716</v>
      </c>
      <c r="E317" s="9" t="s">
        <v>717</v>
      </c>
      <c r="F317" s="9" t="s">
        <v>514</v>
      </c>
      <c r="G317" s="10" t="n">
        <v>2023</v>
      </c>
      <c r="H317" s="10" t="n">
        <v>0</v>
      </c>
      <c r="I317" s="19" t="n">
        <v>39000</v>
      </c>
      <c r="J317" s="19" t="n">
        <v>39000</v>
      </c>
      <c r="K317" s="10" t="n">
        <v>0</v>
      </c>
      <c r="L317" s="10" t="n">
        <v>2190</v>
      </c>
      <c r="M317" s="10" t="n">
        <v>9</v>
      </c>
      <c r="N317" s="11" t="n">
        <v>9.8</v>
      </c>
      <c r="O317" s="18" t="s">
        <v>56</v>
      </c>
    </row>
    <row r="318" customFormat="false" ht="15" hidden="false" customHeight="false" outlineLevel="0" collapsed="false">
      <c r="A318" s="18" t="n">
        <v>113791780</v>
      </c>
      <c r="B318" s="10" t="n">
        <v>317</v>
      </c>
      <c r="C318" s="18" t="s">
        <v>43</v>
      </c>
      <c r="D318" s="9" t="s">
        <v>718</v>
      </c>
      <c r="E318" s="9" t="s">
        <v>305</v>
      </c>
      <c r="F318" s="9" t="s">
        <v>14</v>
      </c>
      <c r="G318" s="10" t="n">
        <v>2022</v>
      </c>
      <c r="H318" s="10" t="n">
        <v>10</v>
      </c>
      <c r="I318" s="19" t="n">
        <v>23400</v>
      </c>
      <c r="J318" s="19" t="n">
        <v>26000</v>
      </c>
      <c r="K318" s="10" t="n">
        <v>1300</v>
      </c>
      <c r="L318" s="10" t="n">
        <v>3708</v>
      </c>
      <c r="M318" s="10" t="n">
        <v>120</v>
      </c>
      <c r="N318" s="11" t="n">
        <v>9.9</v>
      </c>
      <c r="O318" s="18" t="s">
        <v>46</v>
      </c>
    </row>
    <row r="319" customFormat="false" ht="15" hidden="false" customHeight="false" outlineLevel="0" collapsed="false">
      <c r="A319" s="18" t="n">
        <v>109590932</v>
      </c>
      <c r="B319" s="10" t="n">
        <v>318</v>
      </c>
      <c r="C319" s="18" t="s">
        <v>43</v>
      </c>
      <c r="D319" s="9" t="s">
        <v>719</v>
      </c>
      <c r="E319" s="9" t="s">
        <v>720</v>
      </c>
      <c r="F319" s="9" t="s">
        <v>88</v>
      </c>
      <c r="G319" s="10" t="n">
        <v>2022</v>
      </c>
      <c r="H319" s="10" t="n">
        <v>10</v>
      </c>
      <c r="I319" s="19" t="n">
        <v>15120</v>
      </c>
      <c r="J319" s="19" t="n">
        <v>16800</v>
      </c>
      <c r="K319" s="10" t="n">
        <v>840</v>
      </c>
      <c r="L319" s="10" t="n">
        <v>1224</v>
      </c>
      <c r="M319" s="10" t="n">
        <v>29</v>
      </c>
      <c r="N319" s="11" t="n">
        <v>9.4</v>
      </c>
      <c r="O319" s="18" t="s">
        <v>56</v>
      </c>
    </row>
    <row r="320" customFormat="false" ht="15" hidden="false" customHeight="false" outlineLevel="0" collapsed="false">
      <c r="A320" s="18" t="n">
        <v>107077663</v>
      </c>
      <c r="B320" s="10" t="n">
        <v>319</v>
      </c>
      <c r="C320" s="18" t="s">
        <v>43</v>
      </c>
      <c r="D320" s="9" t="s">
        <v>721</v>
      </c>
      <c r="E320" s="9" t="s">
        <v>722</v>
      </c>
      <c r="F320" s="9" t="s">
        <v>311</v>
      </c>
      <c r="G320" s="10" t="n">
        <v>2022</v>
      </c>
      <c r="H320" s="10" t="n">
        <v>10</v>
      </c>
      <c r="I320" s="19" t="n">
        <v>29700</v>
      </c>
      <c r="J320" s="19" t="n">
        <v>33000</v>
      </c>
      <c r="K320" s="10" t="n">
        <v>1650</v>
      </c>
      <c r="L320" s="10" t="n">
        <v>2586</v>
      </c>
      <c r="M320" s="10" t="n">
        <v>12</v>
      </c>
      <c r="N320" s="11" t="n">
        <v>9.2</v>
      </c>
      <c r="O320" s="18" t="s">
        <v>46</v>
      </c>
    </row>
    <row r="321" customFormat="false" ht="15" hidden="false" customHeight="false" outlineLevel="0" collapsed="false">
      <c r="A321" s="18" t="n">
        <v>105803863</v>
      </c>
      <c r="B321" s="10" t="n">
        <v>320</v>
      </c>
      <c r="C321" s="18" t="s">
        <v>43</v>
      </c>
      <c r="D321" s="15" t="s">
        <v>723</v>
      </c>
      <c r="E321" s="9" t="s">
        <v>724</v>
      </c>
      <c r="F321" s="9" t="s">
        <v>311</v>
      </c>
      <c r="G321" s="10" t="n">
        <v>2021</v>
      </c>
      <c r="H321" s="10" t="n">
        <v>10</v>
      </c>
      <c r="I321" s="19" t="n">
        <v>18000</v>
      </c>
      <c r="J321" s="19" t="n">
        <v>20000</v>
      </c>
      <c r="K321" s="10" t="n">
        <v>1000</v>
      </c>
      <c r="L321" s="10" t="n">
        <v>1704</v>
      </c>
      <c r="M321" s="10" t="n">
        <v>58</v>
      </c>
      <c r="N321" s="11" t="n">
        <v>9.2</v>
      </c>
      <c r="O321" s="18" t="s">
        <v>46</v>
      </c>
    </row>
    <row r="322" customFormat="false" ht="15" hidden="false" customHeight="false" outlineLevel="0" collapsed="false">
      <c r="A322" s="18" t="n">
        <v>105104944</v>
      </c>
      <c r="B322" s="10" t="n">
        <v>321</v>
      </c>
      <c r="C322" s="18" t="s">
        <v>43</v>
      </c>
      <c r="D322" s="9" t="s">
        <v>725</v>
      </c>
      <c r="E322" s="9" t="s">
        <v>726</v>
      </c>
      <c r="F322" s="9" t="s">
        <v>21</v>
      </c>
      <c r="G322" s="10" t="n">
        <v>2021</v>
      </c>
      <c r="H322" s="10" t="n">
        <v>10</v>
      </c>
      <c r="I322" s="19" t="n">
        <v>22500</v>
      </c>
      <c r="J322" s="19" t="n">
        <v>25000</v>
      </c>
      <c r="K322" s="10" t="n">
        <v>1250</v>
      </c>
      <c r="L322" s="10" t="n">
        <v>936</v>
      </c>
      <c r="M322" s="10" t="n">
        <v>9</v>
      </c>
      <c r="N322" s="11" t="n">
        <v>9.3</v>
      </c>
      <c r="O322" s="18" t="s">
        <v>56</v>
      </c>
    </row>
    <row r="323" customFormat="false" ht="15" hidden="false" customHeight="false" outlineLevel="0" collapsed="false">
      <c r="A323" s="18" t="n">
        <v>104661489</v>
      </c>
      <c r="B323" s="10" t="n">
        <v>322</v>
      </c>
      <c r="C323" s="18" t="s">
        <v>43</v>
      </c>
      <c r="D323" s="9" t="s">
        <v>727</v>
      </c>
      <c r="E323" s="9" t="s">
        <v>333</v>
      </c>
      <c r="F323" s="9" t="s">
        <v>12</v>
      </c>
      <c r="G323" s="10" t="n">
        <v>2021</v>
      </c>
      <c r="H323" s="10" t="n">
        <v>10</v>
      </c>
      <c r="I323" s="19" t="n">
        <v>21600</v>
      </c>
      <c r="J323" s="19" t="n">
        <v>24000</v>
      </c>
      <c r="K323" s="10" t="n">
        <v>1200</v>
      </c>
      <c r="L323" s="10" t="n">
        <v>4623</v>
      </c>
      <c r="M323" s="10" t="n">
        <v>52</v>
      </c>
      <c r="N323" s="11" t="n">
        <v>9.7</v>
      </c>
      <c r="O323" s="18" t="s">
        <v>46</v>
      </c>
    </row>
    <row r="324" customFormat="false" ht="15" hidden="false" customHeight="false" outlineLevel="0" collapsed="false">
      <c r="A324" s="18" t="n">
        <v>102830177</v>
      </c>
      <c r="B324" s="10" t="n">
        <v>323</v>
      </c>
      <c r="C324" s="18" t="s">
        <v>43</v>
      </c>
      <c r="D324" s="15" t="s">
        <v>728</v>
      </c>
      <c r="E324" s="9" t="s">
        <v>729</v>
      </c>
      <c r="F324" s="9" t="s">
        <v>322</v>
      </c>
      <c r="G324" s="10" t="n">
        <v>2021</v>
      </c>
      <c r="H324" s="10" t="n">
        <v>0</v>
      </c>
      <c r="I324" s="19" t="n">
        <v>27000</v>
      </c>
      <c r="J324" s="19" t="n">
        <v>27000</v>
      </c>
      <c r="K324" s="10" t="n">
        <v>810</v>
      </c>
      <c r="L324" s="10" t="n">
        <v>3258</v>
      </c>
      <c r="M324" s="10" t="n">
        <v>3</v>
      </c>
      <c r="N324" s="11" t="n">
        <v>8.7</v>
      </c>
      <c r="O324" s="18" t="s">
        <v>46</v>
      </c>
    </row>
    <row r="325" customFormat="false" ht="15" hidden="false" customHeight="false" outlineLevel="0" collapsed="false">
      <c r="A325" s="18" t="n">
        <v>99359735</v>
      </c>
      <c r="B325" s="10" t="n">
        <v>324</v>
      </c>
      <c r="C325" s="18" t="s">
        <v>43</v>
      </c>
      <c r="D325" s="9" t="s">
        <v>730</v>
      </c>
      <c r="E325" s="9" t="s">
        <v>731</v>
      </c>
      <c r="F325" s="9" t="s">
        <v>732</v>
      </c>
      <c r="G325" s="10" t="n">
        <v>2021</v>
      </c>
      <c r="H325" s="10" t="n">
        <v>5</v>
      </c>
      <c r="I325" s="19" t="n">
        <v>31350</v>
      </c>
      <c r="J325" s="19" t="n">
        <v>33000</v>
      </c>
      <c r="K325" s="10" t="n">
        <v>990</v>
      </c>
      <c r="L325" s="10" t="n">
        <v>6774</v>
      </c>
      <c r="M325" s="10" t="n">
        <v>6</v>
      </c>
      <c r="N325" s="11" t="n">
        <v>8</v>
      </c>
      <c r="O325" s="18" t="s">
        <v>46</v>
      </c>
    </row>
    <row r="326" customFormat="false" ht="15" hidden="false" customHeight="false" outlineLevel="0" collapsed="false">
      <c r="A326" s="18" t="n">
        <v>96375165</v>
      </c>
      <c r="B326" s="10" t="n">
        <v>325</v>
      </c>
      <c r="C326" s="18" t="s">
        <v>43</v>
      </c>
      <c r="D326" s="9" t="s">
        <v>733</v>
      </c>
      <c r="E326" s="9" t="s">
        <v>734</v>
      </c>
      <c r="F326" s="9" t="s">
        <v>735</v>
      </c>
      <c r="G326" s="10" t="n">
        <v>2020</v>
      </c>
      <c r="H326" s="10" t="n">
        <v>10</v>
      </c>
      <c r="I326" s="19" t="n">
        <v>16200</v>
      </c>
      <c r="J326" s="19" t="n">
        <v>18000</v>
      </c>
      <c r="K326" s="10" t="n">
        <v>900</v>
      </c>
      <c r="L326" s="10" t="n">
        <v>1818</v>
      </c>
      <c r="M326" s="10" t="n">
        <v>30</v>
      </c>
      <c r="N326" s="11" t="n">
        <v>9.3</v>
      </c>
      <c r="O326" s="18" t="s">
        <v>56</v>
      </c>
    </row>
    <row r="327" customFormat="false" ht="15" hidden="false" customHeight="false" outlineLevel="0" collapsed="false">
      <c r="A327" s="18" t="n">
        <v>91219874</v>
      </c>
      <c r="B327" s="10" t="n">
        <v>326</v>
      </c>
      <c r="C327" s="18" t="s">
        <v>43</v>
      </c>
      <c r="D327" s="15" t="s">
        <v>736</v>
      </c>
      <c r="E327" s="9" t="s">
        <v>737</v>
      </c>
      <c r="F327" s="9" t="s">
        <v>17</v>
      </c>
      <c r="G327" s="10" t="n">
        <v>2020</v>
      </c>
      <c r="H327" s="10" t="n">
        <v>10</v>
      </c>
      <c r="I327" s="19" t="n">
        <v>19800</v>
      </c>
      <c r="J327" s="19" t="n">
        <v>22000</v>
      </c>
      <c r="K327" s="10" t="n">
        <v>1100</v>
      </c>
      <c r="L327" s="10" t="n">
        <v>2616</v>
      </c>
      <c r="M327" s="10" t="n">
        <v>36</v>
      </c>
      <c r="N327" s="11" t="n">
        <v>9.2</v>
      </c>
      <c r="O327" s="18" t="s">
        <v>56</v>
      </c>
    </row>
    <row r="328" customFormat="false" ht="15" hidden="false" customHeight="false" outlineLevel="0" collapsed="false">
      <c r="A328" s="18" t="n">
        <v>91071614</v>
      </c>
      <c r="B328" s="10" t="n">
        <v>327</v>
      </c>
      <c r="C328" s="18" t="s">
        <v>43</v>
      </c>
      <c r="D328" s="9" t="s">
        <v>738</v>
      </c>
      <c r="E328" s="9" t="s">
        <v>739</v>
      </c>
      <c r="F328" s="9" t="s">
        <v>23</v>
      </c>
      <c r="G328" s="10" t="n">
        <v>2020</v>
      </c>
      <c r="H328" s="10" t="n">
        <v>10</v>
      </c>
      <c r="I328" s="19" t="n">
        <v>17100</v>
      </c>
      <c r="J328" s="19" t="n">
        <v>19000</v>
      </c>
      <c r="K328" s="10" t="n">
        <v>950</v>
      </c>
      <c r="L328" s="10" t="n">
        <v>2952</v>
      </c>
      <c r="M328" s="10" t="n">
        <v>13</v>
      </c>
      <c r="N328" s="11" t="n">
        <v>10</v>
      </c>
      <c r="O328" s="18" t="s">
        <v>46</v>
      </c>
    </row>
    <row r="329" customFormat="false" ht="15" hidden="false" customHeight="false" outlineLevel="0" collapsed="false">
      <c r="A329" s="18" t="n">
        <v>89872186</v>
      </c>
      <c r="B329" s="10" t="n">
        <v>328</v>
      </c>
      <c r="C329" s="18" t="s">
        <v>43</v>
      </c>
      <c r="D329" s="9" t="s">
        <v>740</v>
      </c>
      <c r="E329" s="9" t="s">
        <v>741</v>
      </c>
      <c r="F329" s="9" t="s">
        <v>360</v>
      </c>
      <c r="G329" s="10" t="n">
        <v>2020</v>
      </c>
      <c r="H329" s="10" t="n">
        <v>5</v>
      </c>
      <c r="I329" s="19" t="n">
        <v>25650</v>
      </c>
      <c r="J329" s="19" t="n">
        <v>27000</v>
      </c>
      <c r="K329" s="10" t="n">
        <v>810</v>
      </c>
      <c r="L329" s="10" t="n">
        <v>594</v>
      </c>
      <c r="M329" s="10" t="n">
        <v>9</v>
      </c>
      <c r="N329" s="11" t="n">
        <v>9.6</v>
      </c>
      <c r="O329" s="18" t="s">
        <v>56</v>
      </c>
    </row>
    <row r="330" customFormat="false" ht="15" hidden="false" customHeight="false" outlineLevel="0" collapsed="false">
      <c r="A330" s="18" t="n">
        <v>89496122</v>
      </c>
      <c r="B330" s="10" t="n">
        <v>329</v>
      </c>
      <c r="C330" s="18" t="s">
        <v>43</v>
      </c>
      <c r="D330" s="9" t="s">
        <v>742</v>
      </c>
      <c r="E330" s="15" t="s">
        <v>743</v>
      </c>
      <c r="F330" s="9" t="s">
        <v>744</v>
      </c>
      <c r="G330" s="10" t="n">
        <v>2020</v>
      </c>
      <c r="H330" s="10" t="n">
        <v>0</v>
      </c>
      <c r="I330" s="19" t="n">
        <v>39000</v>
      </c>
      <c r="J330" s="19" t="n">
        <v>39000</v>
      </c>
      <c r="K330" s="10" t="n">
        <v>1170</v>
      </c>
      <c r="L330" s="10" t="n">
        <v>3690</v>
      </c>
      <c r="M330" s="10" t="n">
        <v>27</v>
      </c>
      <c r="N330" s="11" t="n">
        <v>7.3</v>
      </c>
      <c r="O330" s="18" t="s">
        <v>46</v>
      </c>
    </row>
    <row r="331" customFormat="false" ht="15" hidden="false" customHeight="false" outlineLevel="0" collapsed="false">
      <c r="A331" s="18" t="n">
        <v>86006680</v>
      </c>
      <c r="B331" s="10" t="n">
        <v>330</v>
      </c>
      <c r="C331" s="18" t="s">
        <v>43</v>
      </c>
      <c r="D331" s="9" t="s">
        <v>745</v>
      </c>
      <c r="E331" s="15" t="s">
        <v>746</v>
      </c>
      <c r="F331" s="9" t="s">
        <v>747</v>
      </c>
      <c r="G331" s="10" t="n">
        <v>2020</v>
      </c>
      <c r="H331" s="10" t="n">
        <v>10</v>
      </c>
      <c r="I331" s="19" t="n">
        <v>9900</v>
      </c>
      <c r="J331" s="19" t="n">
        <v>11000</v>
      </c>
      <c r="K331" s="10" t="n">
        <v>550</v>
      </c>
      <c r="L331" s="10" t="n">
        <v>2145</v>
      </c>
      <c r="M331" s="10" t="n">
        <v>12</v>
      </c>
      <c r="N331" s="11" t="n">
        <v>9.3</v>
      </c>
      <c r="O331" s="18" t="s">
        <v>56</v>
      </c>
    </row>
    <row r="332" customFormat="false" ht="15" hidden="false" customHeight="false" outlineLevel="0" collapsed="false">
      <c r="A332" s="18" t="n">
        <v>76182394</v>
      </c>
      <c r="B332" s="10" t="n">
        <v>331</v>
      </c>
      <c r="C332" s="18" t="s">
        <v>43</v>
      </c>
      <c r="D332" s="9" t="s">
        <v>748</v>
      </c>
      <c r="E332" s="9" t="s">
        <v>499</v>
      </c>
      <c r="F332" s="9" t="s">
        <v>17</v>
      </c>
      <c r="G332" s="10" t="n">
        <v>2019</v>
      </c>
      <c r="H332" s="10" t="n">
        <v>10</v>
      </c>
      <c r="I332" s="19" t="n">
        <v>18000</v>
      </c>
      <c r="J332" s="19" t="n">
        <v>20000</v>
      </c>
      <c r="K332" s="10" t="n">
        <v>1000</v>
      </c>
      <c r="L332" s="10" t="n">
        <v>3474</v>
      </c>
      <c r="M332" s="10" t="n">
        <v>100</v>
      </c>
      <c r="N332" s="11" t="n">
        <v>9.8</v>
      </c>
      <c r="O332" s="18" t="s">
        <v>46</v>
      </c>
    </row>
    <row r="333" customFormat="false" ht="15" hidden="false" customHeight="false" outlineLevel="0" collapsed="false">
      <c r="A333" s="18" t="n">
        <v>69477238</v>
      </c>
      <c r="B333" s="10" t="n">
        <v>332</v>
      </c>
      <c r="C333" s="18" t="s">
        <v>43</v>
      </c>
      <c r="D333" s="9" t="s">
        <v>749</v>
      </c>
      <c r="E333" s="9" t="s">
        <v>750</v>
      </c>
      <c r="F333" s="9" t="s">
        <v>751</v>
      </c>
      <c r="G333" s="10" t="n">
        <v>2019</v>
      </c>
      <c r="H333" s="10" t="n">
        <v>10</v>
      </c>
      <c r="I333" s="19" t="n">
        <v>27000</v>
      </c>
      <c r="J333" s="19" t="n">
        <v>30000</v>
      </c>
      <c r="K333" s="10" t="n">
        <v>1500</v>
      </c>
      <c r="L333" s="10" t="n">
        <v>1206</v>
      </c>
      <c r="M333" s="10" t="n">
        <v>64</v>
      </c>
      <c r="N333" s="11" t="n">
        <v>9.8</v>
      </c>
      <c r="O333" s="18" t="s">
        <v>56</v>
      </c>
    </row>
    <row r="334" customFormat="false" ht="15" hidden="false" customHeight="false" outlineLevel="0" collapsed="false">
      <c r="A334" s="18" t="n">
        <v>67512293</v>
      </c>
      <c r="B334" s="10" t="n">
        <v>333</v>
      </c>
      <c r="C334" s="18" t="s">
        <v>43</v>
      </c>
      <c r="D334" s="9" t="s">
        <v>752</v>
      </c>
      <c r="E334" s="9" t="s">
        <v>753</v>
      </c>
      <c r="F334" s="9" t="s">
        <v>16</v>
      </c>
      <c r="G334" s="10" t="n">
        <v>2018</v>
      </c>
      <c r="H334" s="10" t="n">
        <v>10</v>
      </c>
      <c r="I334" s="19" t="n">
        <v>21600</v>
      </c>
      <c r="J334" s="19" t="n">
        <v>24000</v>
      </c>
      <c r="K334" s="10" t="n">
        <v>1200</v>
      </c>
      <c r="L334" s="10" t="n">
        <v>2706</v>
      </c>
      <c r="M334" s="10" t="n">
        <v>27</v>
      </c>
      <c r="N334" s="11" t="n">
        <v>8.9</v>
      </c>
      <c r="O334" s="18" t="s">
        <v>56</v>
      </c>
    </row>
    <row r="335" customFormat="false" ht="15" hidden="false" customHeight="false" outlineLevel="0" collapsed="false">
      <c r="A335" s="18" t="n">
        <v>59566585</v>
      </c>
      <c r="B335" s="10" t="n">
        <v>334</v>
      </c>
      <c r="C335" s="18" t="s">
        <v>43</v>
      </c>
      <c r="D335" s="9" t="s">
        <v>754</v>
      </c>
      <c r="E335" s="9" t="s">
        <v>755</v>
      </c>
      <c r="F335" s="9" t="s">
        <v>21</v>
      </c>
      <c r="G335" s="10" t="n">
        <v>2018</v>
      </c>
      <c r="H335" s="10" t="n">
        <v>10</v>
      </c>
      <c r="I335" s="19" t="n">
        <v>32400</v>
      </c>
      <c r="J335" s="19" t="n">
        <v>36000</v>
      </c>
      <c r="K335" s="10" t="n">
        <v>1800</v>
      </c>
      <c r="L335" s="10" t="n">
        <v>3834</v>
      </c>
      <c r="M335" s="10" t="n">
        <v>21</v>
      </c>
      <c r="N335" s="11" t="n">
        <v>8.8</v>
      </c>
      <c r="O335" s="18" t="s">
        <v>46</v>
      </c>
    </row>
    <row r="336" customFormat="false" ht="15" hidden="false" customHeight="false" outlineLevel="0" collapsed="false">
      <c r="A336" s="18" t="n">
        <v>11775117</v>
      </c>
      <c r="B336" s="10" t="n">
        <v>335</v>
      </c>
      <c r="C336" s="18" t="s">
        <v>43</v>
      </c>
      <c r="D336" s="9" t="s">
        <v>756</v>
      </c>
      <c r="E336" s="9" t="s">
        <v>757</v>
      </c>
      <c r="F336" s="9" t="s">
        <v>12</v>
      </c>
      <c r="G336" s="10" t="n">
        <v>2014</v>
      </c>
      <c r="H336" s="10" t="n">
        <v>10</v>
      </c>
      <c r="I336" s="19" t="n">
        <v>25200</v>
      </c>
      <c r="J336" s="19" t="n">
        <v>28000</v>
      </c>
      <c r="K336" s="10" t="n">
        <v>1400</v>
      </c>
      <c r="L336" s="10" t="n">
        <v>1674</v>
      </c>
      <c r="M336" s="10" t="n">
        <v>11</v>
      </c>
      <c r="N336" s="11" t="n">
        <v>9.4</v>
      </c>
      <c r="O336" s="18" t="s">
        <v>56</v>
      </c>
    </row>
    <row r="337" customFormat="false" ht="15" hidden="false" customHeight="false" outlineLevel="0" collapsed="false">
      <c r="A337" s="18" t="n">
        <v>189212974</v>
      </c>
      <c r="B337" s="10" t="n">
        <v>336</v>
      </c>
      <c r="C337" s="18" t="s">
        <v>43</v>
      </c>
      <c r="D337" s="9" t="s">
        <v>758</v>
      </c>
      <c r="E337" s="9" t="s">
        <v>759</v>
      </c>
      <c r="F337" s="9" t="s">
        <v>760</v>
      </c>
      <c r="G337" s="10" t="n">
        <v>2026</v>
      </c>
      <c r="H337" s="10" t="n">
        <v>10</v>
      </c>
      <c r="I337" s="19" t="n">
        <v>19800</v>
      </c>
      <c r="J337" s="19" t="n">
        <v>22000</v>
      </c>
      <c r="K337" s="10" t="n">
        <v>1100</v>
      </c>
      <c r="L337" s="10" t="n">
        <v>678</v>
      </c>
      <c r="M337" s="10" t="n">
        <v>1</v>
      </c>
      <c r="N337" s="11" t="n">
        <v>10</v>
      </c>
      <c r="O337" s="18" t="s">
        <v>56</v>
      </c>
    </row>
    <row r="338" customFormat="false" ht="15" hidden="false" customHeight="false" outlineLevel="0" collapsed="false">
      <c r="A338" s="18" t="n">
        <v>190272030</v>
      </c>
      <c r="B338" s="10" t="n">
        <v>337</v>
      </c>
      <c r="C338" s="18" t="s">
        <v>43</v>
      </c>
      <c r="D338" s="9" t="s">
        <v>761</v>
      </c>
      <c r="E338" s="9" t="s">
        <v>762</v>
      </c>
      <c r="F338" s="9" t="s">
        <v>23</v>
      </c>
      <c r="G338" s="10" t="n">
        <v>2026</v>
      </c>
      <c r="H338" s="10" t="n">
        <v>10</v>
      </c>
      <c r="I338" s="19" t="n">
        <v>18000</v>
      </c>
      <c r="J338" s="19" t="n">
        <v>20000</v>
      </c>
      <c r="K338" s="10" t="n">
        <v>1000</v>
      </c>
      <c r="L338" s="10" t="n">
        <v>240</v>
      </c>
      <c r="M338" s="10" t="n">
        <v>0</v>
      </c>
      <c r="N338" s="11" t="n">
        <v>0</v>
      </c>
      <c r="O338" s="18" t="s">
        <v>56</v>
      </c>
    </row>
    <row r="339" customFormat="false" ht="15" hidden="false" customHeight="false" outlineLevel="0" collapsed="false">
      <c r="A339" s="18" t="n">
        <v>189663337</v>
      </c>
      <c r="B339" s="10" t="n">
        <v>338</v>
      </c>
      <c r="C339" s="18" t="s">
        <v>43</v>
      </c>
      <c r="D339" s="9" t="s">
        <v>763</v>
      </c>
      <c r="E339" s="9" t="s">
        <v>764</v>
      </c>
      <c r="F339" s="9" t="s">
        <v>64</v>
      </c>
      <c r="G339" s="10" t="n">
        <v>2026</v>
      </c>
      <c r="H339" s="10" t="n">
        <v>10</v>
      </c>
      <c r="I339" s="19" t="n">
        <v>16920</v>
      </c>
      <c r="J339" s="19" t="n">
        <v>18800</v>
      </c>
      <c r="K339" s="10" t="n">
        <v>940</v>
      </c>
      <c r="L339" s="10" t="n">
        <v>789</v>
      </c>
      <c r="M339" s="10" t="n">
        <v>0</v>
      </c>
      <c r="N339" s="11" t="n">
        <v>0</v>
      </c>
      <c r="O339" s="18" t="s">
        <v>56</v>
      </c>
    </row>
    <row r="340" customFormat="false" ht="15" hidden="false" customHeight="false" outlineLevel="0" collapsed="false">
      <c r="A340" s="18" t="n">
        <v>189590860</v>
      </c>
      <c r="B340" s="10" t="n">
        <v>339</v>
      </c>
      <c r="C340" s="18" t="s">
        <v>43</v>
      </c>
      <c r="D340" s="15" t="s">
        <v>765</v>
      </c>
      <c r="E340" s="9" t="s">
        <v>766</v>
      </c>
      <c r="F340" s="9" t="s">
        <v>116</v>
      </c>
      <c r="G340" s="10" t="n">
        <v>2026</v>
      </c>
      <c r="H340" s="10" t="n">
        <v>10</v>
      </c>
      <c r="I340" s="19" t="n">
        <v>19800</v>
      </c>
      <c r="J340" s="19" t="n">
        <v>22000</v>
      </c>
      <c r="K340" s="10" t="n">
        <v>1100</v>
      </c>
      <c r="L340" s="10" t="n">
        <v>579</v>
      </c>
      <c r="M340" s="10" t="n">
        <v>4</v>
      </c>
      <c r="N340" s="11" t="n">
        <v>10</v>
      </c>
      <c r="O340" s="18" t="s">
        <v>56</v>
      </c>
    </row>
    <row r="341" customFormat="false" ht="15" hidden="false" customHeight="false" outlineLevel="0" collapsed="false">
      <c r="A341" s="18" t="n">
        <v>184570770</v>
      </c>
      <c r="B341" s="10" t="n">
        <v>340</v>
      </c>
      <c r="C341" s="18" t="s">
        <v>43</v>
      </c>
      <c r="D341" s="9" t="s">
        <v>767</v>
      </c>
      <c r="E341" s="9" t="s">
        <v>768</v>
      </c>
      <c r="F341" s="9" t="s">
        <v>769</v>
      </c>
      <c r="G341" s="10" t="n">
        <v>2026</v>
      </c>
      <c r="H341" s="10" t="n">
        <v>10</v>
      </c>
      <c r="I341" s="19" t="n">
        <v>16020</v>
      </c>
      <c r="J341" s="19" t="n">
        <v>17800</v>
      </c>
      <c r="K341" s="10" t="n">
        <v>890</v>
      </c>
      <c r="L341" s="10" t="n">
        <v>1860</v>
      </c>
      <c r="M341" s="10" t="n">
        <v>122</v>
      </c>
      <c r="N341" s="11" t="n">
        <v>9.9</v>
      </c>
      <c r="O341" s="18" t="s">
        <v>56</v>
      </c>
    </row>
    <row r="342" customFormat="false" ht="15" hidden="false" customHeight="false" outlineLevel="0" collapsed="false">
      <c r="A342" s="18" t="n">
        <v>181177659</v>
      </c>
      <c r="B342" s="10" t="n">
        <v>341</v>
      </c>
      <c r="C342" s="18" t="s">
        <v>43</v>
      </c>
      <c r="D342" s="9" t="s">
        <v>770</v>
      </c>
      <c r="E342" s="9" t="s">
        <v>495</v>
      </c>
      <c r="F342" s="9" t="s">
        <v>12</v>
      </c>
      <c r="G342" s="10" t="n">
        <v>2026</v>
      </c>
      <c r="H342" s="10" t="n">
        <v>10</v>
      </c>
      <c r="I342" s="19" t="n">
        <v>31500</v>
      </c>
      <c r="J342" s="19" t="n">
        <v>35000</v>
      </c>
      <c r="K342" s="10" t="n">
        <v>1750</v>
      </c>
      <c r="L342" s="10" t="n">
        <v>1029</v>
      </c>
      <c r="M342" s="10" t="n">
        <v>11</v>
      </c>
      <c r="N342" s="11" t="n">
        <v>10</v>
      </c>
      <c r="O342" s="18" t="s">
        <v>56</v>
      </c>
    </row>
    <row r="343" customFormat="false" ht="15" hidden="false" customHeight="false" outlineLevel="0" collapsed="false">
      <c r="A343" s="18" t="n">
        <v>173033853</v>
      </c>
      <c r="B343" s="10" t="n">
        <v>342</v>
      </c>
      <c r="C343" s="18" t="s">
        <v>43</v>
      </c>
      <c r="D343" s="9" t="s">
        <v>771</v>
      </c>
      <c r="E343" s="9" t="s">
        <v>772</v>
      </c>
      <c r="F343" s="9" t="s">
        <v>88</v>
      </c>
      <c r="G343" s="10" t="n">
        <v>2026</v>
      </c>
      <c r="H343" s="10" t="n">
        <v>10</v>
      </c>
      <c r="I343" s="19" t="n">
        <v>28800</v>
      </c>
      <c r="J343" s="19" t="n">
        <v>32000</v>
      </c>
      <c r="K343" s="10" t="n">
        <v>1600</v>
      </c>
      <c r="L343" s="10" t="n">
        <v>2220</v>
      </c>
      <c r="M343" s="10" t="n">
        <v>2</v>
      </c>
      <c r="N343" s="11" t="n">
        <v>9</v>
      </c>
      <c r="O343" s="18" t="s">
        <v>56</v>
      </c>
    </row>
    <row r="344" customFormat="false" ht="15" hidden="false" customHeight="false" outlineLevel="0" collapsed="false">
      <c r="A344" s="18" t="n">
        <v>167434734</v>
      </c>
      <c r="B344" s="10" t="n">
        <v>343</v>
      </c>
      <c r="C344" s="18" t="s">
        <v>43</v>
      </c>
      <c r="D344" s="15" t="s">
        <v>773</v>
      </c>
      <c r="E344" s="9" t="s">
        <v>774</v>
      </c>
      <c r="F344" s="9" t="s">
        <v>14</v>
      </c>
      <c r="G344" s="10" t="n">
        <v>2025</v>
      </c>
      <c r="H344" s="10" t="n">
        <v>10</v>
      </c>
      <c r="I344" s="19" t="n">
        <v>22500</v>
      </c>
      <c r="J344" s="19" t="n">
        <v>25000</v>
      </c>
      <c r="K344" s="10" t="n">
        <v>1250</v>
      </c>
      <c r="L344" s="10" t="n">
        <v>5286</v>
      </c>
      <c r="M344" s="10" t="n">
        <v>23</v>
      </c>
      <c r="N344" s="11" t="n">
        <v>10</v>
      </c>
      <c r="O344" s="18" t="s">
        <v>56</v>
      </c>
    </row>
    <row r="345" customFormat="false" ht="15" hidden="false" customHeight="false" outlineLevel="0" collapsed="false">
      <c r="A345" s="18" t="n">
        <v>18249021</v>
      </c>
      <c r="B345" s="10" t="n">
        <v>344</v>
      </c>
      <c r="C345" s="18" t="s">
        <v>43</v>
      </c>
      <c r="D345" s="9" t="s">
        <v>775</v>
      </c>
      <c r="E345" s="9" t="s">
        <v>776</v>
      </c>
      <c r="F345" s="9" t="s">
        <v>21</v>
      </c>
      <c r="G345" s="10" t="n">
        <v>2015</v>
      </c>
      <c r="H345" s="10" t="n">
        <v>10</v>
      </c>
      <c r="I345" s="19" t="n">
        <v>18000</v>
      </c>
      <c r="J345" s="19" t="n">
        <v>20000</v>
      </c>
      <c r="K345" s="10" t="n">
        <v>1000</v>
      </c>
      <c r="L345" s="10" t="n">
        <v>2394</v>
      </c>
      <c r="M345" s="10" t="n">
        <v>90</v>
      </c>
      <c r="N345" s="11" t="n">
        <v>9.4</v>
      </c>
      <c r="O345" s="18" t="s">
        <v>46</v>
      </c>
    </row>
    <row r="346" customFormat="false" ht="15" hidden="false" customHeight="false" outlineLevel="0" collapsed="false">
      <c r="A346" s="18" t="n">
        <v>190278099</v>
      </c>
      <c r="B346" s="10" t="n">
        <v>345</v>
      </c>
      <c r="C346" s="18" t="s">
        <v>43</v>
      </c>
      <c r="D346" s="9" t="s">
        <v>777</v>
      </c>
      <c r="E346" s="9" t="s">
        <v>778</v>
      </c>
      <c r="F346" s="9" t="s">
        <v>145</v>
      </c>
      <c r="G346" s="10" t="n">
        <v>2026</v>
      </c>
      <c r="H346" s="10" t="n">
        <v>0</v>
      </c>
      <c r="I346" s="19" t="n">
        <v>20000</v>
      </c>
      <c r="J346" s="19" t="n">
        <v>20000</v>
      </c>
      <c r="K346" s="10" t="n">
        <v>0</v>
      </c>
      <c r="L346" s="10" t="n">
        <v>180</v>
      </c>
      <c r="M346" s="10" t="n">
        <v>0</v>
      </c>
      <c r="N346" s="11" t="n">
        <v>0</v>
      </c>
      <c r="O346" s="18" t="s">
        <v>56</v>
      </c>
    </row>
    <row r="347" customFormat="false" ht="15" hidden="false" customHeight="false" outlineLevel="0" collapsed="false">
      <c r="A347" s="18" t="n">
        <v>190216677</v>
      </c>
      <c r="B347" s="10" t="n">
        <v>346</v>
      </c>
      <c r="C347" s="18" t="s">
        <v>43</v>
      </c>
      <c r="D347" s="9" t="s">
        <v>779</v>
      </c>
      <c r="E347" s="9" t="s">
        <v>780</v>
      </c>
      <c r="F347" s="9" t="s">
        <v>514</v>
      </c>
      <c r="G347" s="10" t="n">
        <v>2026</v>
      </c>
      <c r="H347" s="10" t="n">
        <v>0</v>
      </c>
      <c r="I347" s="19" t="n">
        <v>28000</v>
      </c>
      <c r="J347" s="19" t="n">
        <v>28000</v>
      </c>
      <c r="K347" s="10" t="n">
        <v>0</v>
      </c>
      <c r="L347" s="10" t="n">
        <v>120</v>
      </c>
      <c r="M347" s="10" t="n">
        <v>0</v>
      </c>
      <c r="N347" s="11" t="n">
        <v>0</v>
      </c>
      <c r="O347" s="18" t="s">
        <v>56</v>
      </c>
    </row>
    <row r="348" customFormat="false" ht="15" hidden="false" customHeight="false" outlineLevel="0" collapsed="false">
      <c r="A348" s="18" t="n">
        <v>189857662</v>
      </c>
      <c r="B348" s="10" t="n">
        <v>347</v>
      </c>
      <c r="C348" s="18" t="s">
        <v>43</v>
      </c>
      <c r="D348" s="15" t="s">
        <v>781</v>
      </c>
      <c r="E348" s="9" t="s">
        <v>782</v>
      </c>
      <c r="F348" s="9" t="s">
        <v>783</v>
      </c>
      <c r="G348" s="10" t="n">
        <v>2026</v>
      </c>
      <c r="H348" s="10" t="n">
        <v>0</v>
      </c>
      <c r="I348" s="19" t="n">
        <v>38000</v>
      </c>
      <c r="J348" s="19" t="n">
        <v>38000</v>
      </c>
      <c r="K348" s="10" t="n">
        <v>0</v>
      </c>
      <c r="L348" s="10" t="n">
        <v>246</v>
      </c>
      <c r="M348" s="10" t="n">
        <v>0</v>
      </c>
      <c r="N348" s="11" t="n">
        <v>0</v>
      </c>
      <c r="O348" s="18" t="s">
        <v>56</v>
      </c>
    </row>
    <row r="349" customFormat="false" ht="15" hidden="false" customHeight="false" outlineLevel="0" collapsed="false">
      <c r="A349" s="18" t="n">
        <v>189763119</v>
      </c>
      <c r="B349" s="10" t="n">
        <v>348</v>
      </c>
      <c r="C349" s="18" t="s">
        <v>43</v>
      </c>
      <c r="D349" s="9" t="s">
        <v>784</v>
      </c>
      <c r="E349" s="9" t="s">
        <v>785</v>
      </c>
      <c r="F349" s="9" t="s">
        <v>786</v>
      </c>
      <c r="G349" s="10" t="n">
        <v>2026</v>
      </c>
      <c r="H349" s="10" t="n">
        <v>10</v>
      </c>
      <c r="I349" s="19" t="n">
        <v>15300</v>
      </c>
      <c r="J349" s="19" t="n">
        <v>17000</v>
      </c>
      <c r="K349" s="10" t="n">
        <v>850</v>
      </c>
      <c r="L349" s="10" t="n">
        <v>282</v>
      </c>
      <c r="M349" s="10" t="n">
        <v>0</v>
      </c>
      <c r="N349" s="11" t="n">
        <v>0</v>
      </c>
      <c r="O349" s="18" t="s">
        <v>56</v>
      </c>
    </row>
    <row r="350" customFormat="false" ht="15" hidden="false" customHeight="false" outlineLevel="0" collapsed="false">
      <c r="A350" s="18" t="n">
        <v>189749546</v>
      </c>
      <c r="B350" s="10" t="n">
        <v>349</v>
      </c>
      <c r="C350" s="18" t="s">
        <v>43</v>
      </c>
      <c r="D350" s="15" t="s">
        <v>787</v>
      </c>
      <c r="E350" s="9" t="s">
        <v>788</v>
      </c>
      <c r="F350" s="9" t="s">
        <v>732</v>
      </c>
      <c r="G350" s="10" t="n">
        <v>2026</v>
      </c>
      <c r="H350" s="10" t="n">
        <v>0</v>
      </c>
      <c r="I350" s="19" t="n">
        <v>25000</v>
      </c>
      <c r="J350" s="19" t="n">
        <v>25000</v>
      </c>
      <c r="K350" s="10" t="n">
        <v>0</v>
      </c>
      <c r="L350" s="10" t="n">
        <v>246</v>
      </c>
      <c r="M350" s="10" t="n">
        <v>0</v>
      </c>
      <c r="N350" s="11" t="n">
        <v>0</v>
      </c>
      <c r="O350" s="18" t="s">
        <v>56</v>
      </c>
    </row>
    <row r="351" customFormat="false" ht="15" hidden="false" customHeight="false" outlineLevel="0" collapsed="false">
      <c r="A351" s="18" t="n">
        <v>189673230</v>
      </c>
      <c r="B351" s="10" t="n">
        <v>350</v>
      </c>
      <c r="C351" s="18" t="s">
        <v>43</v>
      </c>
      <c r="D351" s="9" t="s">
        <v>789</v>
      </c>
      <c r="E351" s="9" t="s">
        <v>790</v>
      </c>
      <c r="F351" s="9" t="s">
        <v>791</v>
      </c>
      <c r="G351" s="10" t="n">
        <v>2026</v>
      </c>
      <c r="H351" s="10" t="n">
        <v>0</v>
      </c>
      <c r="I351" s="19" t="n">
        <v>20700</v>
      </c>
      <c r="J351" s="19" t="n">
        <v>20700</v>
      </c>
      <c r="K351" s="10" t="n">
        <v>0</v>
      </c>
      <c r="L351" s="10" t="n">
        <v>246</v>
      </c>
      <c r="M351" s="10" t="n">
        <v>0</v>
      </c>
      <c r="N351" s="11" t="n">
        <v>0</v>
      </c>
      <c r="O351" s="18" t="s">
        <v>56</v>
      </c>
    </row>
    <row r="352" customFormat="false" ht="15" hidden="false" customHeight="false" outlineLevel="0" collapsed="false">
      <c r="A352" s="18" t="n">
        <v>189634815</v>
      </c>
      <c r="B352" s="10" t="n">
        <v>351</v>
      </c>
      <c r="C352" s="18" t="s">
        <v>43</v>
      </c>
      <c r="D352" s="9" t="s">
        <v>792</v>
      </c>
      <c r="E352" s="9" t="s">
        <v>793</v>
      </c>
      <c r="F352" s="9" t="s">
        <v>732</v>
      </c>
      <c r="G352" s="10" t="n">
        <v>2026</v>
      </c>
      <c r="H352" s="10" t="n">
        <v>0</v>
      </c>
      <c r="I352" s="19" t="n">
        <v>65000</v>
      </c>
      <c r="J352" s="19" t="n">
        <v>65000</v>
      </c>
      <c r="K352" s="10" t="n">
        <v>0</v>
      </c>
      <c r="L352" s="10" t="n">
        <v>162</v>
      </c>
      <c r="M352" s="10" t="n">
        <v>0</v>
      </c>
      <c r="N352" s="11" t="n">
        <v>0</v>
      </c>
      <c r="O352" s="18" t="s">
        <v>56</v>
      </c>
    </row>
    <row r="353" customFormat="false" ht="15" hidden="false" customHeight="false" outlineLevel="0" collapsed="false">
      <c r="A353" s="18" t="n">
        <v>189628247</v>
      </c>
      <c r="B353" s="10" t="n">
        <v>352</v>
      </c>
      <c r="C353" s="18" t="s">
        <v>43</v>
      </c>
      <c r="D353" s="15" t="s">
        <v>794</v>
      </c>
      <c r="E353" s="9" t="s">
        <v>795</v>
      </c>
      <c r="F353" s="9" t="s">
        <v>796</v>
      </c>
      <c r="G353" s="10" t="n">
        <v>2026</v>
      </c>
      <c r="H353" s="10" t="n">
        <v>10</v>
      </c>
      <c r="I353" s="19" t="n">
        <v>31500</v>
      </c>
      <c r="J353" s="19" t="n">
        <v>35000</v>
      </c>
      <c r="K353" s="10" t="n">
        <v>1750</v>
      </c>
      <c r="L353" s="10" t="n">
        <v>579</v>
      </c>
      <c r="M353" s="10" t="n">
        <v>5</v>
      </c>
      <c r="N353" s="11" t="n">
        <v>10</v>
      </c>
      <c r="O353" s="18" t="s">
        <v>56</v>
      </c>
    </row>
    <row r="354" customFormat="false" ht="15" hidden="false" customHeight="false" outlineLevel="0" collapsed="false">
      <c r="A354" s="18" t="n">
        <v>189439522</v>
      </c>
      <c r="B354" s="10" t="n">
        <v>353</v>
      </c>
      <c r="C354" s="18" t="s">
        <v>43</v>
      </c>
      <c r="D354" s="9" t="s">
        <v>797</v>
      </c>
      <c r="E354" s="9" t="s">
        <v>798</v>
      </c>
      <c r="F354" s="15" t="s">
        <v>561</v>
      </c>
      <c r="G354" s="10" t="n">
        <v>2026</v>
      </c>
      <c r="H354" s="10" t="n">
        <v>0</v>
      </c>
      <c r="I354" s="19" t="n">
        <v>28000</v>
      </c>
      <c r="J354" s="19" t="n">
        <v>28000</v>
      </c>
      <c r="K354" s="10" t="n">
        <v>0</v>
      </c>
      <c r="L354" s="10" t="n">
        <v>204</v>
      </c>
      <c r="M354" s="10" t="n">
        <v>0</v>
      </c>
      <c r="N354" s="11" t="n">
        <v>0</v>
      </c>
      <c r="O354" s="18" t="s">
        <v>56</v>
      </c>
    </row>
    <row r="355" customFormat="false" ht="15" hidden="false" customHeight="false" outlineLevel="0" collapsed="false">
      <c r="A355" s="18" t="n">
        <v>189438793</v>
      </c>
      <c r="B355" s="10" t="n">
        <v>354</v>
      </c>
      <c r="C355" s="18" t="s">
        <v>43</v>
      </c>
      <c r="D355" s="9" t="s">
        <v>799</v>
      </c>
      <c r="E355" s="9" t="s">
        <v>800</v>
      </c>
      <c r="F355" s="9" t="s">
        <v>511</v>
      </c>
      <c r="G355" s="10" t="n">
        <v>2026</v>
      </c>
      <c r="H355" s="10" t="n">
        <v>10</v>
      </c>
      <c r="I355" s="19" t="n">
        <v>20700</v>
      </c>
      <c r="J355" s="19" t="n">
        <v>23000</v>
      </c>
      <c r="K355" s="10" t="n">
        <v>1150</v>
      </c>
      <c r="L355" s="10" t="n">
        <v>246</v>
      </c>
      <c r="M355" s="10" t="n">
        <v>11</v>
      </c>
      <c r="N355" s="11" t="n">
        <v>9.8</v>
      </c>
      <c r="O355" s="18" t="s">
        <v>56</v>
      </c>
    </row>
    <row r="356" customFormat="false" ht="15" hidden="false" customHeight="false" outlineLevel="0" collapsed="false">
      <c r="A356" s="18" t="n">
        <v>189379748</v>
      </c>
      <c r="B356" s="10" t="n">
        <v>355</v>
      </c>
      <c r="C356" s="18" t="s">
        <v>43</v>
      </c>
      <c r="D356" s="9" t="s">
        <v>801</v>
      </c>
      <c r="E356" s="9" t="s">
        <v>802</v>
      </c>
      <c r="F356" s="9" t="s">
        <v>311</v>
      </c>
      <c r="G356" s="10" t="n">
        <v>2026</v>
      </c>
      <c r="H356" s="10" t="n">
        <v>10</v>
      </c>
      <c r="I356" s="19" t="n">
        <v>29700</v>
      </c>
      <c r="J356" s="19" t="n">
        <v>33000</v>
      </c>
      <c r="K356" s="10" t="n">
        <v>1650</v>
      </c>
      <c r="L356" s="10" t="n">
        <v>414</v>
      </c>
      <c r="M356" s="10" t="n">
        <v>0</v>
      </c>
      <c r="N356" s="11" t="n">
        <v>0</v>
      </c>
      <c r="O356" s="18" t="s">
        <v>56</v>
      </c>
    </row>
    <row r="357" customFormat="false" ht="15" hidden="false" customHeight="false" outlineLevel="0" collapsed="false">
      <c r="A357" s="18" t="n">
        <v>189205584</v>
      </c>
      <c r="B357" s="10" t="n">
        <v>356</v>
      </c>
      <c r="C357" s="18" t="s">
        <v>43</v>
      </c>
      <c r="D357" s="9" t="s">
        <v>803</v>
      </c>
      <c r="E357" s="9" t="s">
        <v>804</v>
      </c>
      <c r="F357" s="9" t="s">
        <v>116</v>
      </c>
      <c r="G357" s="10" t="n">
        <v>2026</v>
      </c>
      <c r="H357" s="10" t="n">
        <v>10</v>
      </c>
      <c r="I357" s="19" t="n">
        <v>19800</v>
      </c>
      <c r="J357" s="19" t="n">
        <v>22000</v>
      </c>
      <c r="K357" s="10" t="n">
        <v>1100</v>
      </c>
      <c r="L357" s="10" t="n">
        <v>1401</v>
      </c>
      <c r="M357" s="10" t="n">
        <v>8</v>
      </c>
      <c r="N357" s="11" t="n">
        <v>10</v>
      </c>
      <c r="O357" s="18" t="s">
        <v>56</v>
      </c>
    </row>
    <row r="358" customFormat="false" ht="15" hidden="false" customHeight="false" outlineLevel="0" collapsed="false">
      <c r="A358" s="18" t="n">
        <v>189185961</v>
      </c>
      <c r="B358" s="10" t="n">
        <v>357</v>
      </c>
      <c r="C358" s="18" t="s">
        <v>43</v>
      </c>
      <c r="D358" s="9" t="s">
        <v>805</v>
      </c>
      <c r="E358" s="9" t="s">
        <v>806</v>
      </c>
      <c r="F358" s="9" t="s">
        <v>807</v>
      </c>
      <c r="G358" s="10" t="n">
        <v>2026</v>
      </c>
      <c r="H358" s="10" t="n">
        <v>10</v>
      </c>
      <c r="I358" s="19" t="n">
        <v>16200</v>
      </c>
      <c r="J358" s="19" t="n">
        <v>18000</v>
      </c>
      <c r="K358" s="10" t="n">
        <v>900</v>
      </c>
      <c r="L358" s="10" t="n">
        <v>498</v>
      </c>
      <c r="M358" s="10" t="n">
        <v>2</v>
      </c>
      <c r="N358" s="11" t="n">
        <v>10</v>
      </c>
      <c r="O358" s="18" t="s">
        <v>56</v>
      </c>
    </row>
    <row r="359" customFormat="false" ht="15" hidden="false" customHeight="false" outlineLevel="0" collapsed="false">
      <c r="A359" s="18" t="n">
        <v>188920799</v>
      </c>
      <c r="B359" s="10" t="n">
        <v>358</v>
      </c>
      <c r="C359" s="18" t="s">
        <v>43</v>
      </c>
      <c r="D359" s="9" t="s">
        <v>808</v>
      </c>
      <c r="E359" s="9" t="s">
        <v>809</v>
      </c>
      <c r="F359" s="9" t="s">
        <v>810</v>
      </c>
      <c r="G359" s="10" t="n">
        <v>2026</v>
      </c>
      <c r="H359" s="10" t="n">
        <v>10</v>
      </c>
      <c r="I359" s="19" t="n">
        <v>13500</v>
      </c>
      <c r="J359" s="19" t="n">
        <v>15000</v>
      </c>
      <c r="K359" s="10" t="n">
        <v>750</v>
      </c>
      <c r="L359" s="10" t="n">
        <v>396</v>
      </c>
      <c r="M359" s="10" t="n">
        <v>1</v>
      </c>
      <c r="N359" s="11" t="n">
        <v>2</v>
      </c>
      <c r="O359" s="18" t="s">
        <v>56</v>
      </c>
    </row>
    <row r="360" customFormat="false" ht="15" hidden="false" customHeight="false" outlineLevel="0" collapsed="false">
      <c r="A360" s="18" t="n">
        <v>188920794</v>
      </c>
      <c r="B360" s="10" t="n">
        <v>359</v>
      </c>
      <c r="C360" s="18" t="s">
        <v>43</v>
      </c>
      <c r="D360" s="9" t="s">
        <v>811</v>
      </c>
      <c r="E360" s="9" t="s">
        <v>809</v>
      </c>
      <c r="F360" s="9" t="s">
        <v>810</v>
      </c>
      <c r="G360" s="10" t="n">
        <v>2026</v>
      </c>
      <c r="H360" s="10" t="n">
        <v>10</v>
      </c>
      <c r="I360" s="19" t="n">
        <v>13500</v>
      </c>
      <c r="J360" s="19" t="n">
        <v>15000</v>
      </c>
      <c r="K360" s="10" t="n">
        <v>750</v>
      </c>
      <c r="L360" s="10" t="n">
        <v>312</v>
      </c>
      <c r="M360" s="10" t="n">
        <v>1</v>
      </c>
      <c r="N360" s="11" t="n">
        <v>2</v>
      </c>
      <c r="O360" s="18" t="s">
        <v>56</v>
      </c>
    </row>
    <row r="361" customFormat="false" ht="15" hidden="false" customHeight="false" outlineLevel="0" collapsed="false">
      <c r="A361" s="18" t="n">
        <v>188859267</v>
      </c>
      <c r="B361" s="10" t="n">
        <v>360</v>
      </c>
      <c r="C361" s="18" t="s">
        <v>43</v>
      </c>
      <c r="D361" s="9" t="s">
        <v>812</v>
      </c>
      <c r="E361" s="9" t="s">
        <v>813</v>
      </c>
      <c r="F361" s="9" t="s">
        <v>12</v>
      </c>
      <c r="G361" s="10" t="n">
        <v>2026</v>
      </c>
      <c r="H361" s="10" t="n">
        <v>10</v>
      </c>
      <c r="I361" s="19" t="n">
        <v>24300</v>
      </c>
      <c r="J361" s="19" t="n">
        <v>27000</v>
      </c>
      <c r="K361" s="10" t="n">
        <v>1350</v>
      </c>
      <c r="L361" s="10" t="n">
        <v>576</v>
      </c>
      <c r="M361" s="10" t="n">
        <v>25</v>
      </c>
      <c r="N361" s="11" t="n">
        <v>9.8</v>
      </c>
      <c r="O361" s="18" t="s">
        <v>56</v>
      </c>
    </row>
    <row r="362" customFormat="false" ht="15" hidden="false" customHeight="false" outlineLevel="0" collapsed="false">
      <c r="A362" s="18" t="n">
        <v>188831472</v>
      </c>
      <c r="B362" s="10" t="n">
        <v>361</v>
      </c>
      <c r="C362" s="18" t="s">
        <v>43</v>
      </c>
      <c r="D362" s="15" t="s">
        <v>814</v>
      </c>
      <c r="E362" s="9" t="s">
        <v>815</v>
      </c>
      <c r="F362" s="9" t="s">
        <v>511</v>
      </c>
      <c r="G362" s="10" t="n">
        <v>2026</v>
      </c>
      <c r="H362" s="10" t="n">
        <v>10</v>
      </c>
      <c r="I362" s="19" t="n">
        <v>22500</v>
      </c>
      <c r="J362" s="19" t="n">
        <v>25000</v>
      </c>
      <c r="K362" s="10" t="n">
        <v>1250</v>
      </c>
      <c r="L362" s="10" t="n">
        <v>834</v>
      </c>
      <c r="M362" s="10" t="n">
        <v>3</v>
      </c>
      <c r="N362" s="11" t="n">
        <v>10</v>
      </c>
      <c r="O362" s="18" t="s">
        <v>56</v>
      </c>
    </row>
    <row r="363" customFormat="false" ht="15" hidden="false" customHeight="false" outlineLevel="0" collapsed="false">
      <c r="A363" s="18" t="n">
        <v>187726388</v>
      </c>
      <c r="B363" s="10" t="n">
        <v>362</v>
      </c>
      <c r="C363" s="18" t="s">
        <v>43</v>
      </c>
      <c r="D363" s="9" t="s">
        <v>816</v>
      </c>
      <c r="E363" s="9" t="s">
        <v>817</v>
      </c>
      <c r="F363" s="9" t="s">
        <v>511</v>
      </c>
      <c r="G363" s="10" t="n">
        <v>2026</v>
      </c>
      <c r="H363" s="10" t="n">
        <v>5</v>
      </c>
      <c r="I363" s="19" t="n">
        <v>21850</v>
      </c>
      <c r="J363" s="19" t="n">
        <v>23000</v>
      </c>
      <c r="K363" s="10" t="n">
        <v>1150</v>
      </c>
      <c r="L363" s="10" t="n">
        <v>519</v>
      </c>
      <c r="M363" s="10" t="n">
        <v>22</v>
      </c>
      <c r="N363" s="11" t="n">
        <v>10</v>
      </c>
      <c r="O363" s="18" t="s">
        <v>56</v>
      </c>
    </row>
    <row r="364" customFormat="false" ht="15" hidden="false" customHeight="false" outlineLevel="0" collapsed="false">
      <c r="A364" s="18" t="n">
        <v>187572169</v>
      </c>
      <c r="B364" s="10" t="n">
        <v>363</v>
      </c>
      <c r="C364" s="18" t="s">
        <v>43</v>
      </c>
      <c r="D364" s="15" t="s">
        <v>818</v>
      </c>
      <c r="E364" s="9" t="s">
        <v>819</v>
      </c>
      <c r="F364" s="9" t="s">
        <v>422</v>
      </c>
      <c r="G364" s="10" t="n">
        <v>2026</v>
      </c>
      <c r="H364" s="10" t="n">
        <v>10</v>
      </c>
      <c r="I364" s="19" t="n">
        <v>36000</v>
      </c>
      <c r="J364" s="19" t="n">
        <v>40000</v>
      </c>
      <c r="K364" s="10" t="n">
        <v>2000</v>
      </c>
      <c r="L364" s="10" t="n">
        <v>498</v>
      </c>
      <c r="M364" s="10" t="n">
        <v>5</v>
      </c>
      <c r="N364" s="11" t="n">
        <v>10</v>
      </c>
      <c r="O364" s="18" t="s">
        <v>56</v>
      </c>
    </row>
    <row r="365" customFormat="false" ht="15" hidden="false" customHeight="false" outlineLevel="0" collapsed="false">
      <c r="A365" s="18" t="n">
        <v>187313988</v>
      </c>
      <c r="B365" s="10" t="n">
        <v>364</v>
      </c>
      <c r="C365" s="18" t="s">
        <v>43</v>
      </c>
      <c r="D365" s="9" t="s">
        <v>820</v>
      </c>
      <c r="E365" s="9" t="s">
        <v>821</v>
      </c>
      <c r="F365" s="9" t="s">
        <v>88</v>
      </c>
      <c r="G365" s="10" t="n">
        <v>2026</v>
      </c>
      <c r="H365" s="10" t="n">
        <v>10</v>
      </c>
      <c r="I365" s="19" t="n">
        <v>23400</v>
      </c>
      <c r="J365" s="19" t="n">
        <v>26000</v>
      </c>
      <c r="K365" s="10" t="n">
        <v>1300</v>
      </c>
      <c r="L365" s="10" t="n">
        <v>804</v>
      </c>
      <c r="M365" s="10" t="n">
        <v>13</v>
      </c>
      <c r="N365" s="11" t="n">
        <v>9.8</v>
      </c>
      <c r="O365" s="18" t="s">
        <v>56</v>
      </c>
    </row>
    <row r="366" customFormat="false" ht="15" hidden="false" customHeight="false" outlineLevel="0" collapsed="false">
      <c r="A366" s="18" t="n">
        <v>187307360</v>
      </c>
      <c r="B366" s="10" t="n">
        <v>365</v>
      </c>
      <c r="C366" s="18" t="s">
        <v>43</v>
      </c>
      <c r="D366" s="9" t="s">
        <v>822</v>
      </c>
      <c r="E366" s="9" t="s">
        <v>823</v>
      </c>
      <c r="F366" s="9" t="s">
        <v>16</v>
      </c>
      <c r="G366" s="10" t="n">
        <v>2026</v>
      </c>
      <c r="H366" s="10" t="n">
        <v>10</v>
      </c>
      <c r="I366" s="19" t="n">
        <v>18000</v>
      </c>
      <c r="J366" s="19" t="n">
        <v>20000</v>
      </c>
      <c r="K366" s="10" t="n">
        <v>1000</v>
      </c>
      <c r="L366" s="10" t="n">
        <v>546</v>
      </c>
      <c r="M366" s="10" t="n">
        <v>4</v>
      </c>
      <c r="N366" s="11" t="n">
        <v>10</v>
      </c>
      <c r="O366" s="18" t="s">
        <v>56</v>
      </c>
    </row>
    <row r="367" customFormat="false" ht="15" hidden="false" customHeight="false" outlineLevel="0" collapsed="false">
      <c r="A367" s="18" t="n">
        <v>185472118</v>
      </c>
      <c r="B367" s="10" t="n">
        <v>366</v>
      </c>
      <c r="C367" s="18" t="s">
        <v>43</v>
      </c>
      <c r="D367" s="9" t="s">
        <v>824</v>
      </c>
      <c r="E367" s="9" t="s">
        <v>825</v>
      </c>
      <c r="F367" s="9" t="s">
        <v>12</v>
      </c>
      <c r="G367" s="10" t="n">
        <v>2026</v>
      </c>
      <c r="H367" s="10" t="n">
        <v>10</v>
      </c>
      <c r="I367" s="19" t="n">
        <v>25200</v>
      </c>
      <c r="J367" s="19" t="n">
        <v>28000</v>
      </c>
      <c r="K367" s="10" t="n">
        <v>1400</v>
      </c>
      <c r="L367" s="10" t="n">
        <v>564</v>
      </c>
      <c r="M367" s="10" t="n">
        <v>13</v>
      </c>
      <c r="N367" s="11" t="n">
        <v>9.8</v>
      </c>
      <c r="O367" s="18" t="s">
        <v>56</v>
      </c>
    </row>
    <row r="368" customFormat="false" ht="15" hidden="false" customHeight="false" outlineLevel="0" collapsed="false">
      <c r="A368" s="18" t="n">
        <v>184402617</v>
      </c>
      <c r="B368" s="10" t="n">
        <v>367</v>
      </c>
      <c r="C368" s="18" t="s">
        <v>43</v>
      </c>
      <c r="D368" s="9" t="s">
        <v>826</v>
      </c>
      <c r="E368" s="9" t="s">
        <v>377</v>
      </c>
      <c r="F368" s="9" t="s">
        <v>751</v>
      </c>
      <c r="G368" s="10" t="n">
        <v>2026</v>
      </c>
      <c r="H368" s="10" t="n">
        <v>10</v>
      </c>
      <c r="I368" s="19" t="n">
        <v>15120</v>
      </c>
      <c r="J368" s="19" t="n">
        <v>16800</v>
      </c>
      <c r="K368" s="10" t="n">
        <v>840</v>
      </c>
      <c r="L368" s="10" t="n">
        <v>1047</v>
      </c>
      <c r="M368" s="10" t="n">
        <v>25</v>
      </c>
      <c r="N368" s="11" t="n">
        <v>9.9</v>
      </c>
      <c r="O368" s="18" t="s">
        <v>56</v>
      </c>
    </row>
    <row r="369" customFormat="false" ht="15" hidden="false" customHeight="false" outlineLevel="0" collapsed="false">
      <c r="A369" s="18" t="n">
        <v>184272211</v>
      </c>
      <c r="B369" s="10" t="n">
        <v>368</v>
      </c>
      <c r="C369" s="18" t="s">
        <v>43</v>
      </c>
      <c r="D369" s="9" t="s">
        <v>827</v>
      </c>
      <c r="E369" s="15" t="s">
        <v>828</v>
      </c>
      <c r="F369" s="9" t="s">
        <v>23</v>
      </c>
      <c r="G369" s="10" t="n">
        <v>2026</v>
      </c>
      <c r="H369" s="10" t="n">
        <v>10</v>
      </c>
      <c r="I369" s="19" t="n">
        <v>25200</v>
      </c>
      <c r="J369" s="19" t="n">
        <v>28000</v>
      </c>
      <c r="K369" s="10" t="n">
        <v>1400</v>
      </c>
      <c r="L369" s="10" t="n">
        <v>540</v>
      </c>
      <c r="M369" s="10" t="n">
        <v>18</v>
      </c>
      <c r="N369" s="11" t="n">
        <v>10</v>
      </c>
      <c r="O369" s="18" t="s">
        <v>56</v>
      </c>
    </row>
    <row r="370" customFormat="false" ht="15" hidden="false" customHeight="false" outlineLevel="0" collapsed="false">
      <c r="A370" s="18" t="n">
        <v>183753179</v>
      </c>
      <c r="B370" s="10" t="n">
        <v>369</v>
      </c>
      <c r="C370" s="18" t="s">
        <v>43</v>
      </c>
      <c r="D370" s="9" t="s">
        <v>829</v>
      </c>
      <c r="E370" s="9" t="s">
        <v>830</v>
      </c>
      <c r="F370" s="9" t="s">
        <v>831</v>
      </c>
      <c r="G370" s="10" t="n">
        <v>2026</v>
      </c>
      <c r="H370" s="10" t="n">
        <v>10</v>
      </c>
      <c r="I370" s="19" t="n">
        <v>12600</v>
      </c>
      <c r="J370" s="19" t="n">
        <v>14000</v>
      </c>
      <c r="K370" s="10" t="n">
        <v>700</v>
      </c>
      <c r="L370" s="10" t="n">
        <v>774</v>
      </c>
      <c r="M370" s="10" t="n">
        <v>0</v>
      </c>
      <c r="N370" s="11" t="n">
        <v>0</v>
      </c>
      <c r="O370" s="18" t="s">
        <v>56</v>
      </c>
    </row>
    <row r="371" customFormat="false" ht="15" hidden="false" customHeight="false" outlineLevel="0" collapsed="false">
      <c r="A371" s="18" t="n">
        <v>183753010</v>
      </c>
      <c r="B371" s="10" t="n">
        <v>370</v>
      </c>
      <c r="C371" s="18" t="s">
        <v>43</v>
      </c>
      <c r="D371" s="9" t="s">
        <v>832</v>
      </c>
      <c r="E371" s="9" t="s">
        <v>833</v>
      </c>
      <c r="F371" s="9" t="s">
        <v>16</v>
      </c>
      <c r="G371" s="10" t="n">
        <v>2026</v>
      </c>
      <c r="H371" s="10" t="n">
        <v>10</v>
      </c>
      <c r="I371" s="19" t="n">
        <v>15120</v>
      </c>
      <c r="J371" s="19" t="n">
        <v>16800</v>
      </c>
      <c r="K371" s="10" t="n">
        <v>840</v>
      </c>
      <c r="L371" s="10" t="n">
        <v>1140</v>
      </c>
      <c r="M371" s="10" t="n">
        <v>24</v>
      </c>
      <c r="N371" s="11" t="n">
        <v>9.9</v>
      </c>
      <c r="O371" s="18" t="s">
        <v>56</v>
      </c>
    </row>
    <row r="372" customFormat="false" ht="15" hidden="false" customHeight="false" outlineLevel="0" collapsed="false">
      <c r="A372" s="18" t="n">
        <v>183747150</v>
      </c>
      <c r="B372" s="10" t="n">
        <v>371</v>
      </c>
      <c r="C372" s="18" t="s">
        <v>43</v>
      </c>
      <c r="D372" s="9" t="s">
        <v>834</v>
      </c>
      <c r="E372" s="9" t="s">
        <v>835</v>
      </c>
      <c r="F372" s="9" t="s">
        <v>12</v>
      </c>
      <c r="G372" s="10" t="n">
        <v>2026</v>
      </c>
      <c r="H372" s="10" t="n">
        <v>10</v>
      </c>
      <c r="I372" s="19" t="n">
        <v>24300</v>
      </c>
      <c r="J372" s="19" t="n">
        <v>27000</v>
      </c>
      <c r="K372" s="10" t="n">
        <v>1350</v>
      </c>
      <c r="L372" s="10" t="n">
        <v>984</v>
      </c>
      <c r="M372" s="10" t="n">
        <v>35</v>
      </c>
      <c r="N372" s="11" t="n">
        <v>9.8</v>
      </c>
      <c r="O372" s="18" t="s">
        <v>56</v>
      </c>
    </row>
    <row r="373" customFormat="false" ht="15" hidden="false" customHeight="false" outlineLevel="0" collapsed="false">
      <c r="A373" s="18" t="n">
        <v>183706883</v>
      </c>
      <c r="B373" s="10" t="n">
        <v>372</v>
      </c>
      <c r="C373" s="18" t="s">
        <v>43</v>
      </c>
      <c r="D373" s="9" t="s">
        <v>836</v>
      </c>
      <c r="E373" s="9" t="s">
        <v>572</v>
      </c>
      <c r="F373" s="9" t="s">
        <v>573</v>
      </c>
      <c r="G373" s="10" t="n">
        <v>2026</v>
      </c>
      <c r="H373" s="10" t="n">
        <v>10</v>
      </c>
      <c r="I373" s="19" t="n">
        <v>15300</v>
      </c>
      <c r="J373" s="19" t="n">
        <v>17000</v>
      </c>
      <c r="K373" s="10" t="n">
        <v>850</v>
      </c>
      <c r="L373" s="10" t="n">
        <v>708</v>
      </c>
      <c r="M373" s="10" t="n">
        <v>8</v>
      </c>
      <c r="N373" s="11" t="n">
        <v>10</v>
      </c>
      <c r="O373" s="18" t="s">
        <v>56</v>
      </c>
    </row>
    <row r="374" customFormat="false" ht="15" hidden="false" customHeight="false" outlineLevel="0" collapsed="false">
      <c r="A374" s="18" t="n">
        <v>183651449</v>
      </c>
      <c r="B374" s="10" t="n">
        <v>373</v>
      </c>
      <c r="C374" s="18" t="s">
        <v>43</v>
      </c>
      <c r="D374" s="9" t="s">
        <v>837</v>
      </c>
      <c r="E374" s="9" t="s">
        <v>838</v>
      </c>
      <c r="F374" s="9" t="s">
        <v>311</v>
      </c>
      <c r="G374" s="10" t="n">
        <v>2026</v>
      </c>
      <c r="H374" s="10" t="n">
        <v>10</v>
      </c>
      <c r="I374" s="19" t="n">
        <v>22500</v>
      </c>
      <c r="J374" s="19" t="n">
        <v>25000</v>
      </c>
      <c r="K374" s="10" t="n">
        <v>1250</v>
      </c>
      <c r="L374" s="10" t="n">
        <v>2061</v>
      </c>
      <c r="M374" s="10" t="n">
        <v>2</v>
      </c>
      <c r="N374" s="11" t="n">
        <v>8</v>
      </c>
      <c r="O374" s="18" t="s">
        <v>56</v>
      </c>
    </row>
    <row r="375" customFormat="false" ht="15" hidden="false" customHeight="false" outlineLevel="0" collapsed="false">
      <c r="A375" s="18" t="n">
        <v>182413407</v>
      </c>
      <c r="B375" s="10" t="n">
        <v>374</v>
      </c>
      <c r="C375" s="18" t="s">
        <v>43</v>
      </c>
      <c r="D375" s="15" t="s">
        <v>839</v>
      </c>
      <c r="E375" s="9" t="s">
        <v>426</v>
      </c>
      <c r="F375" s="9" t="s">
        <v>14</v>
      </c>
      <c r="G375" s="10" t="n">
        <v>2026</v>
      </c>
      <c r="H375" s="10" t="n">
        <v>10</v>
      </c>
      <c r="I375" s="19" t="n">
        <v>29700</v>
      </c>
      <c r="J375" s="19" t="n">
        <v>33000</v>
      </c>
      <c r="K375" s="10" t="n">
        <v>1650</v>
      </c>
      <c r="L375" s="10" t="n">
        <v>1128</v>
      </c>
      <c r="M375" s="10" t="n">
        <v>16</v>
      </c>
      <c r="N375" s="11" t="n">
        <v>9.6</v>
      </c>
      <c r="O375" s="18" t="s">
        <v>56</v>
      </c>
    </row>
    <row r="376" customFormat="false" ht="15" hidden="false" customHeight="false" outlineLevel="0" collapsed="false">
      <c r="A376" s="18" t="n">
        <v>182019497</v>
      </c>
      <c r="B376" s="10" t="n">
        <v>375</v>
      </c>
      <c r="C376" s="18" t="s">
        <v>43</v>
      </c>
      <c r="D376" s="9" t="s">
        <v>840</v>
      </c>
      <c r="E376" s="9" t="s">
        <v>841</v>
      </c>
      <c r="F376" s="9" t="s">
        <v>12</v>
      </c>
      <c r="G376" s="10" t="n">
        <v>2026</v>
      </c>
      <c r="H376" s="10" t="n">
        <v>10</v>
      </c>
      <c r="I376" s="19" t="n">
        <v>24300</v>
      </c>
      <c r="J376" s="19" t="n">
        <v>27000</v>
      </c>
      <c r="K376" s="10" t="n">
        <v>1350</v>
      </c>
      <c r="L376" s="10" t="n">
        <v>1086</v>
      </c>
      <c r="M376" s="10" t="n">
        <v>10</v>
      </c>
      <c r="N376" s="11" t="n">
        <v>9.8</v>
      </c>
      <c r="O376" s="18" t="s">
        <v>56</v>
      </c>
    </row>
    <row r="377" customFormat="false" ht="15" hidden="false" customHeight="false" outlineLevel="0" collapsed="false">
      <c r="A377" s="18" t="n">
        <v>181114947</v>
      </c>
      <c r="B377" s="10" t="n">
        <v>376</v>
      </c>
      <c r="C377" s="18" t="s">
        <v>43</v>
      </c>
      <c r="D377" s="9" t="s">
        <v>842</v>
      </c>
      <c r="E377" s="9" t="s">
        <v>843</v>
      </c>
      <c r="F377" s="9" t="s">
        <v>311</v>
      </c>
      <c r="G377" s="10" t="n">
        <v>2026</v>
      </c>
      <c r="H377" s="10" t="n">
        <v>10</v>
      </c>
      <c r="I377" s="19" t="n">
        <v>30600</v>
      </c>
      <c r="J377" s="19" t="n">
        <v>34000</v>
      </c>
      <c r="K377" s="10" t="n">
        <v>1700</v>
      </c>
      <c r="L377" s="10" t="n">
        <v>1212</v>
      </c>
      <c r="M377" s="10" t="n">
        <v>0</v>
      </c>
      <c r="N377" s="11" t="n">
        <v>0</v>
      </c>
      <c r="O377" s="18" t="s">
        <v>56</v>
      </c>
    </row>
    <row r="378" customFormat="false" ht="15" hidden="false" customHeight="false" outlineLevel="0" collapsed="false">
      <c r="A378" s="18" t="n">
        <v>181006742</v>
      </c>
      <c r="B378" s="10" t="n">
        <v>377</v>
      </c>
      <c r="C378" s="18" t="s">
        <v>43</v>
      </c>
      <c r="D378" s="9" t="s">
        <v>844</v>
      </c>
      <c r="E378" s="9" t="s">
        <v>845</v>
      </c>
      <c r="F378" s="9" t="s">
        <v>846</v>
      </c>
      <c r="G378" s="10" t="n">
        <v>2026</v>
      </c>
      <c r="H378" s="10" t="n">
        <v>0</v>
      </c>
      <c r="I378" s="19" t="n">
        <v>17000</v>
      </c>
      <c r="J378" s="19" t="n">
        <v>17000</v>
      </c>
      <c r="K378" s="10" t="n">
        <v>0</v>
      </c>
      <c r="L378" s="10" t="n">
        <v>228</v>
      </c>
      <c r="M378" s="10" t="n">
        <v>0</v>
      </c>
      <c r="N378" s="11" t="n">
        <v>0</v>
      </c>
      <c r="O378" s="18" t="s">
        <v>56</v>
      </c>
    </row>
    <row r="379" customFormat="false" ht="15" hidden="false" customHeight="false" outlineLevel="0" collapsed="false">
      <c r="A379" s="18" t="n">
        <v>180515096</v>
      </c>
      <c r="B379" s="10" t="n">
        <v>378</v>
      </c>
      <c r="C379" s="18" t="s">
        <v>43</v>
      </c>
      <c r="D379" s="15" t="s">
        <v>847</v>
      </c>
      <c r="E379" s="9" t="s">
        <v>848</v>
      </c>
      <c r="F379" s="9" t="s">
        <v>360</v>
      </c>
      <c r="G379" s="10" t="n">
        <v>2026</v>
      </c>
      <c r="H379" s="10" t="n">
        <v>0</v>
      </c>
      <c r="I379" s="19" t="n">
        <v>39000</v>
      </c>
      <c r="J379" s="19" t="n">
        <v>39000</v>
      </c>
      <c r="K379" s="10" t="n">
        <v>0</v>
      </c>
      <c r="L379" s="10" t="n">
        <v>606</v>
      </c>
      <c r="M379" s="10" t="n">
        <v>0</v>
      </c>
      <c r="N379" s="11" t="n">
        <v>0</v>
      </c>
      <c r="O379" s="18" t="s">
        <v>56</v>
      </c>
    </row>
    <row r="380" customFormat="false" ht="15" hidden="false" customHeight="false" outlineLevel="0" collapsed="false">
      <c r="A380" s="18" t="n">
        <v>180513902</v>
      </c>
      <c r="B380" s="10" t="n">
        <v>379</v>
      </c>
      <c r="C380" s="18" t="s">
        <v>43</v>
      </c>
      <c r="D380" s="9" t="s">
        <v>849</v>
      </c>
      <c r="E380" s="9" t="s">
        <v>850</v>
      </c>
      <c r="F380" s="9" t="s">
        <v>21</v>
      </c>
      <c r="G380" s="10" t="n">
        <v>2026</v>
      </c>
      <c r="H380" s="10" t="n">
        <v>10</v>
      </c>
      <c r="I380" s="19" t="n">
        <v>21600</v>
      </c>
      <c r="J380" s="19" t="n">
        <v>24000</v>
      </c>
      <c r="K380" s="10" t="n">
        <v>1200</v>
      </c>
      <c r="L380" s="10" t="n">
        <v>882</v>
      </c>
      <c r="M380" s="10" t="n">
        <v>0</v>
      </c>
      <c r="N380" s="11" t="n">
        <v>0</v>
      </c>
      <c r="O380" s="18" t="s">
        <v>56</v>
      </c>
    </row>
    <row r="381" customFormat="false" ht="15" hidden="false" customHeight="false" outlineLevel="0" collapsed="false">
      <c r="A381" s="18" t="n">
        <v>180490508</v>
      </c>
      <c r="B381" s="10" t="n">
        <v>380</v>
      </c>
      <c r="C381" s="18" t="s">
        <v>43</v>
      </c>
      <c r="D381" s="9" t="s">
        <v>851</v>
      </c>
      <c r="E381" s="9" t="s">
        <v>852</v>
      </c>
      <c r="F381" s="9" t="s">
        <v>14</v>
      </c>
      <c r="G381" s="10" t="n">
        <v>2026</v>
      </c>
      <c r="H381" s="10" t="n">
        <v>10</v>
      </c>
      <c r="I381" s="19" t="n">
        <v>24300</v>
      </c>
      <c r="J381" s="19" t="n">
        <v>27000</v>
      </c>
      <c r="K381" s="10" t="n">
        <v>1350</v>
      </c>
      <c r="L381" s="10" t="n">
        <v>972</v>
      </c>
      <c r="M381" s="10" t="n">
        <v>13</v>
      </c>
      <c r="N381" s="11" t="n">
        <v>9.7</v>
      </c>
      <c r="O381" s="18" t="s">
        <v>56</v>
      </c>
    </row>
    <row r="382" customFormat="false" ht="15" hidden="false" customHeight="false" outlineLevel="0" collapsed="false">
      <c r="A382" s="18" t="n">
        <v>180488781</v>
      </c>
      <c r="B382" s="10" t="n">
        <v>381</v>
      </c>
      <c r="C382" s="18" t="s">
        <v>43</v>
      </c>
      <c r="D382" s="9" t="s">
        <v>853</v>
      </c>
      <c r="E382" s="9" t="s">
        <v>854</v>
      </c>
      <c r="F382" s="9" t="s">
        <v>12</v>
      </c>
      <c r="G382" s="10" t="n">
        <v>2026</v>
      </c>
      <c r="H382" s="10" t="n">
        <v>10</v>
      </c>
      <c r="I382" s="19" t="n">
        <v>32400</v>
      </c>
      <c r="J382" s="19" t="n">
        <v>36000</v>
      </c>
      <c r="K382" s="10" t="n">
        <v>1800</v>
      </c>
      <c r="L382" s="10" t="n">
        <v>1266</v>
      </c>
      <c r="M382" s="10" t="n">
        <v>3</v>
      </c>
      <c r="N382" s="11" t="n">
        <v>10</v>
      </c>
      <c r="O382" s="18" t="s">
        <v>56</v>
      </c>
    </row>
    <row r="383" customFormat="false" ht="15" hidden="false" customHeight="false" outlineLevel="0" collapsed="false">
      <c r="A383" s="18" t="n">
        <v>180162710</v>
      </c>
      <c r="B383" s="10" t="n">
        <v>382</v>
      </c>
      <c r="C383" s="18" t="s">
        <v>43</v>
      </c>
      <c r="D383" s="15" t="s">
        <v>855</v>
      </c>
      <c r="E383" s="9" t="s">
        <v>856</v>
      </c>
      <c r="F383" s="9" t="s">
        <v>12</v>
      </c>
      <c r="G383" s="10" t="n">
        <v>2026</v>
      </c>
      <c r="H383" s="10" t="n">
        <v>10</v>
      </c>
      <c r="I383" s="19" t="n">
        <v>21600</v>
      </c>
      <c r="J383" s="19" t="n">
        <v>24000</v>
      </c>
      <c r="K383" s="10" t="n">
        <v>1200</v>
      </c>
      <c r="L383" s="10" t="n">
        <v>2460</v>
      </c>
      <c r="M383" s="10" t="n">
        <v>34</v>
      </c>
      <c r="N383" s="11" t="n">
        <v>9.9</v>
      </c>
      <c r="O383" s="18" t="s">
        <v>46</v>
      </c>
    </row>
    <row r="384" customFormat="false" ht="15" hidden="false" customHeight="false" outlineLevel="0" collapsed="false">
      <c r="A384" s="18" t="n">
        <v>179587739</v>
      </c>
      <c r="B384" s="10" t="n">
        <v>383</v>
      </c>
      <c r="C384" s="18" t="s">
        <v>43</v>
      </c>
      <c r="D384" s="9" t="s">
        <v>857</v>
      </c>
      <c r="E384" s="9" t="s">
        <v>858</v>
      </c>
      <c r="F384" s="9" t="s">
        <v>21</v>
      </c>
      <c r="G384" s="10" t="n">
        <v>2026</v>
      </c>
      <c r="H384" s="10" t="n">
        <v>10</v>
      </c>
      <c r="I384" s="19" t="n">
        <v>25200</v>
      </c>
      <c r="J384" s="19" t="n">
        <v>28000</v>
      </c>
      <c r="K384" s="10" t="n">
        <v>1400</v>
      </c>
      <c r="L384" s="10" t="n">
        <v>702</v>
      </c>
      <c r="M384" s="10" t="n">
        <v>0</v>
      </c>
      <c r="N384" s="11" t="n">
        <v>0</v>
      </c>
      <c r="O384" s="18" t="s">
        <v>56</v>
      </c>
    </row>
    <row r="385" customFormat="false" ht="15" hidden="false" customHeight="false" outlineLevel="0" collapsed="false">
      <c r="A385" s="18" t="n">
        <v>176913080</v>
      </c>
      <c r="B385" s="10" t="n">
        <v>384</v>
      </c>
      <c r="C385" s="18" t="s">
        <v>43</v>
      </c>
      <c r="D385" s="9" t="s">
        <v>859</v>
      </c>
      <c r="E385" s="9" t="s">
        <v>860</v>
      </c>
      <c r="F385" s="9" t="s">
        <v>21</v>
      </c>
      <c r="G385" s="10" t="n">
        <v>2026</v>
      </c>
      <c r="H385" s="10" t="n">
        <v>10</v>
      </c>
      <c r="I385" s="19" t="n">
        <v>28800</v>
      </c>
      <c r="J385" s="19" t="n">
        <v>32000</v>
      </c>
      <c r="K385" s="10" t="n">
        <v>1600</v>
      </c>
      <c r="L385" s="10" t="n">
        <v>1020</v>
      </c>
      <c r="M385" s="10" t="n">
        <v>0</v>
      </c>
      <c r="N385" s="11" t="n">
        <v>0</v>
      </c>
      <c r="O385" s="18" t="s">
        <v>56</v>
      </c>
    </row>
    <row r="386" customFormat="false" ht="15" hidden="false" customHeight="false" outlineLevel="0" collapsed="false">
      <c r="A386" s="18" t="n">
        <v>176901915</v>
      </c>
      <c r="B386" s="10" t="n">
        <v>385</v>
      </c>
      <c r="C386" s="18" t="s">
        <v>43</v>
      </c>
      <c r="D386" s="9" t="s">
        <v>861</v>
      </c>
      <c r="E386" s="9" t="s">
        <v>862</v>
      </c>
      <c r="F386" s="9" t="s">
        <v>64</v>
      </c>
      <c r="G386" s="10" t="n">
        <v>2026</v>
      </c>
      <c r="H386" s="10" t="n">
        <v>10</v>
      </c>
      <c r="I386" s="19" t="n">
        <v>15120</v>
      </c>
      <c r="J386" s="19" t="n">
        <v>16800</v>
      </c>
      <c r="K386" s="10" t="n">
        <v>840</v>
      </c>
      <c r="L386" s="10" t="n">
        <v>1794</v>
      </c>
      <c r="M386" s="10" t="n">
        <v>19</v>
      </c>
      <c r="N386" s="11" t="n">
        <v>10</v>
      </c>
      <c r="O386" s="18" t="s">
        <v>56</v>
      </c>
    </row>
    <row r="387" customFormat="false" ht="15" hidden="false" customHeight="false" outlineLevel="0" collapsed="false">
      <c r="A387" s="18" t="n">
        <v>176538801</v>
      </c>
      <c r="B387" s="10" t="n">
        <v>386</v>
      </c>
      <c r="C387" s="18" t="s">
        <v>43</v>
      </c>
      <c r="D387" s="9" t="s">
        <v>863</v>
      </c>
      <c r="E387" s="9" t="s">
        <v>864</v>
      </c>
      <c r="F387" s="9" t="s">
        <v>19</v>
      </c>
      <c r="G387" s="10" t="n">
        <v>2026</v>
      </c>
      <c r="H387" s="10" t="n">
        <v>10</v>
      </c>
      <c r="I387" s="19" t="n">
        <v>21600</v>
      </c>
      <c r="J387" s="19" t="n">
        <v>24000</v>
      </c>
      <c r="K387" s="10" t="n">
        <v>1200</v>
      </c>
      <c r="L387" s="10" t="n">
        <v>4008</v>
      </c>
      <c r="M387" s="10" t="n">
        <v>62</v>
      </c>
      <c r="N387" s="11" t="n">
        <v>10</v>
      </c>
      <c r="O387" s="18" t="s">
        <v>56</v>
      </c>
    </row>
    <row r="388" customFormat="false" ht="15" hidden="false" customHeight="false" outlineLevel="0" collapsed="false">
      <c r="A388" s="18" t="n">
        <v>175301361</v>
      </c>
      <c r="B388" s="10" t="n">
        <v>387</v>
      </c>
      <c r="C388" s="18" t="s">
        <v>43</v>
      </c>
      <c r="D388" s="9" t="s">
        <v>865</v>
      </c>
      <c r="E388" s="9" t="s">
        <v>866</v>
      </c>
      <c r="F388" s="9" t="s">
        <v>867</v>
      </c>
      <c r="G388" s="10" t="n">
        <v>2026</v>
      </c>
      <c r="H388" s="10" t="n">
        <v>10</v>
      </c>
      <c r="I388" s="19" t="n">
        <v>22500</v>
      </c>
      <c r="J388" s="19" t="n">
        <v>25000</v>
      </c>
      <c r="K388" s="10" t="n">
        <v>1250</v>
      </c>
      <c r="L388" s="10" t="n">
        <v>1548</v>
      </c>
      <c r="M388" s="10" t="n">
        <v>16</v>
      </c>
      <c r="N388" s="11" t="n">
        <v>9.9</v>
      </c>
      <c r="O388" s="18" t="s">
        <v>56</v>
      </c>
    </row>
    <row r="389" customFormat="false" ht="15" hidden="false" customHeight="false" outlineLevel="0" collapsed="false">
      <c r="A389" s="18" t="n">
        <v>175122641</v>
      </c>
      <c r="B389" s="10" t="n">
        <v>388</v>
      </c>
      <c r="C389" s="18" t="s">
        <v>43</v>
      </c>
      <c r="D389" s="15" t="s">
        <v>868</v>
      </c>
      <c r="E389" s="9" t="s">
        <v>869</v>
      </c>
      <c r="F389" s="9" t="s">
        <v>870</v>
      </c>
      <c r="G389" s="10" t="n">
        <v>2026</v>
      </c>
      <c r="H389" s="10" t="n">
        <v>10</v>
      </c>
      <c r="I389" s="19" t="n">
        <v>22500</v>
      </c>
      <c r="J389" s="19" t="n">
        <v>25000</v>
      </c>
      <c r="K389" s="10" t="n">
        <v>1250</v>
      </c>
      <c r="L389" s="10" t="n">
        <v>894</v>
      </c>
      <c r="M389" s="10" t="n">
        <v>2</v>
      </c>
      <c r="N389" s="11" t="n">
        <v>10</v>
      </c>
      <c r="O389" s="18" t="s">
        <v>56</v>
      </c>
    </row>
    <row r="390" customFormat="false" ht="15" hidden="false" customHeight="false" outlineLevel="0" collapsed="false">
      <c r="A390" s="18" t="n">
        <v>174795790</v>
      </c>
      <c r="B390" s="10" t="n">
        <v>389</v>
      </c>
      <c r="C390" s="18" t="s">
        <v>43</v>
      </c>
      <c r="D390" s="9" t="s">
        <v>871</v>
      </c>
      <c r="E390" s="9" t="s">
        <v>872</v>
      </c>
      <c r="F390" s="9" t="s">
        <v>12</v>
      </c>
      <c r="G390" s="10" t="n">
        <v>2026</v>
      </c>
      <c r="H390" s="10" t="n">
        <v>10</v>
      </c>
      <c r="I390" s="19" t="n">
        <v>19800</v>
      </c>
      <c r="J390" s="19" t="n">
        <v>22000</v>
      </c>
      <c r="K390" s="10" t="n">
        <v>1100</v>
      </c>
      <c r="L390" s="10" t="n">
        <v>1188</v>
      </c>
      <c r="M390" s="10" t="n">
        <v>44</v>
      </c>
      <c r="N390" s="11" t="n">
        <v>9.8</v>
      </c>
      <c r="O390" s="18" t="s">
        <v>56</v>
      </c>
    </row>
    <row r="391" customFormat="false" ht="15" hidden="false" customHeight="false" outlineLevel="0" collapsed="false">
      <c r="A391" s="18" t="n">
        <v>174753625</v>
      </c>
      <c r="B391" s="10" t="n">
        <v>390</v>
      </c>
      <c r="C391" s="18" t="s">
        <v>43</v>
      </c>
      <c r="D391" s="9" t="s">
        <v>873</v>
      </c>
      <c r="E391" s="15" t="s">
        <v>874</v>
      </c>
      <c r="F391" s="9" t="s">
        <v>23</v>
      </c>
      <c r="G391" s="10" t="n">
        <v>2026</v>
      </c>
      <c r="H391" s="10" t="n">
        <v>10</v>
      </c>
      <c r="I391" s="19" t="n">
        <v>22500</v>
      </c>
      <c r="J391" s="19" t="n">
        <v>25000</v>
      </c>
      <c r="K391" s="10" t="n">
        <v>1250</v>
      </c>
      <c r="L391" s="10" t="n">
        <v>1224</v>
      </c>
      <c r="M391" s="10" t="n">
        <v>5</v>
      </c>
      <c r="N391" s="11" t="n">
        <v>10</v>
      </c>
      <c r="O391" s="18" t="s">
        <v>56</v>
      </c>
    </row>
    <row r="392" customFormat="false" ht="15" hidden="false" customHeight="false" outlineLevel="0" collapsed="false">
      <c r="A392" s="18" t="n">
        <v>174327619</v>
      </c>
      <c r="B392" s="10" t="n">
        <v>391</v>
      </c>
      <c r="C392" s="18" t="s">
        <v>43</v>
      </c>
      <c r="D392" s="9" t="s">
        <v>875</v>
      </c>
      <c r="E392" s="9" t="s">
        <v>876</v>
      </c>
      <c r="F392" s="9" t="s">
        <v>308</v>
      </c>
      <c r="G392" s="10" t="n">
        <v>2026</v>
      </c>
      <c r="H392" s="10" t="n">
        <v>10</v>
      </c>
      <c r="I392" s="19" t="n">
        <v>31500</v>
      </c>
      <c r="J392" s="19" t="n">
        <v>35000</v>
      </c>
      <c r="K392" s="10" t="n">
        <v>1750</v>
      </c>
      <c r="L392" s="10" t="n">
        <v>1236</v>
      </c>
      <c r="M392" s="10" t="n">
        <v>9</v>
      </c>
      <c r="N392" s="11" t="n">
        <v>10</v>
      </c>
      <c r="O392" s="18" t="s">
        <v>56</v>
      </c>
    </row>
    <row r="393" customFormat="false" ht="15" hidden="false" customHeight="false" outlineLevel="0" collapsed="false">
      <c r="A393" s="18" t="n">
        <v>174080422</v>
      </c>
      <c r="B393" s="10" t="n">
        <v>392</v>
      </c>
      <c r="C393" s="18" t="s">
        <v>43</v>
      </c>
      <c r="D393" s="9" t="s">
        <v>877</v>
      </c>
      <c r="E393" s="9" t="s">
        <v>878</v>
      </c>
      <c r="F393" s="9" t="s">
        <v>879</v>
      </c>
      <c r="G393" s="10" t="n">
        <v>2026</v>
      </c>
      <c r="H393" s="10" t="n">
        <v>10</v>
      </c>
      <c r="I393" s="19" t="n">
        <v>23400</v>
      </c>
      <c r="J393" s="19" t="n">
        <v>26000</v>
      </c>
      <c r="K393" s="10" t="n">
        <v>1300</v>
      </c>
      <c r="L393" s="10" t="n">
        <v>1110</v>
      </c>
      <c r="M393" s="10" t="n">
        <v>16</v>
      </c>
      <c r="N393" s="11" t="n">
        <v>9.8</v>
      </c>
      <c r="O393" s="18" t="s">
        <v>56</v>
      </c>
    </row>
    <row r="394" customFormat="false" ht="15" hidden="false" customHeight="false" outlineLevel="0" collapsed="false">
      <c r="A394" s="18" t="n">
        <v>174057787</v>
      </c>
      <c r="B394" s="10" t="n">
        <v>393</v>
      </c>
      <c r="C394" s="18" t="s">
        <v>43</v>
      </c>
      <c r="D394" s="9" t="s">
        <v>880</v>
      </c>
      <c r="E394" s="9" t="s">
        <v>881</v>
      </c>
      <c r="F394" s="9" t="s">
        <v>511</v>
      </c>
      <c r="G394" s="10" t="n">
        <v>2026</v>
      </c>
      <c r="H394" s="10" t="n">
        <v>10</v>
      </c>
      <c r="I394" s="19" t="n">
        <v>20700</v>
      </c>
      <c r="J394" s="19" t="n">
        <v>23000</v>
      </c>
      <c r="K394" s="10" t="n">
        <v>1150</v>
      </c>
      <c r="L394" s="10" t="n">
        <v>222</v>
      </c>
      <c r="M394" s="10" t="n">
        <v>18</v>
      </c>
      <c r="N394" s="11" t="n">
        <v>10</v>
      </c>
      <c r="O394" s="18" t="s">
        <v>56</v>
      </c>
    </row>
    <row r="395" customFormat="false" ht="15" hidden="false" customHeight="false" outlineLevel="0" collapsed="false">
      <c r="A395" s="18" t="n">
        <v>171566846</v>
      </c>
      <c r="B395" s="10" t="n">
        <v>394</v>
      </c>
      <c r="C395" s="18" t="s">
        <v>43</v>
      </c>
      <c r="D395" s="9" t="s">
        <v>882</v>
      </c>
      <c r="E395" s="9" t="s">
        <v>883</v>
      </c>
      <c r="F395" s="9" t="s">
        <v>14</v>
      </c>
      <c r="G395" s="10" t="n">
        <v>2026</v>
      </c>
      <c r="H395" s="10" t="n">
        <v>10</v>
      </c>
      <c r="I395" s="19" t="n">
        <v>16920</v>
      </c>
      <c r="J395" s="19" t="n">
        <v>18800</v>
      </c>
      <c r="K395" s="10" t="n">
        <v>940</v>
      </c>
      <c r="L395" s="10" t="n">
        <v>5004</v>
      </c>
      <c r="M395" s="10" t="n">
        <v>49</v>
      </c>
      <c r="N395" s="11" t="n">
        <v>9.7</v>
      </c>
      <c r="O395" s="18" t="s">
        <v>56</v>
      </c>
    </row>
    <row r="396" customFormat="false" ht="15" hidden="false" customHeight="false" outlineLevel="0" collapsed="false">
      <c r="A396" s="18" t="n">
        <v>170998602</v>
      </c>
      <c r="B396" s="10" t="n">
        <v>395</v>
      </c>
      <c r="C396" s="18" t="s">
        <v>43</v>
      </c>
      <c r="D396" s="9" t="s">
        <v>884</v>
      </c>
      <c r="E396" s="9" t="s">
        <v>885</v>
      </c>
      <c r="F396" s="9" t="s">
        <v>14</v>
      </c>
      <c r="G396" s="10" t="n">
        <v>2026</v>
      </c>
      <c r="H396" s="10" t="n">
        <v>10</v>
      </c>
      <c r="I396" s="19" t="n">
        <v>23400</v>
      </c>
      <c r="J396" s="19" t="n">
        <v>26000</v>
      </c>
      <c r="K396" s="10" t="n">
        <v>1300</v>
      </c>
      <c r="L396" s="10" t="n">
        <v>3051</v>
      </c>
      <c r="M396" s="10" t="n">
        <v>61</v>
      </c>
      <c r="N396" s="11" t="n">
        <v>9.9</v>
      </c>
      <c r="O396" s="18" t="s">
        <v>56</v>
      </c>
    </row>
    <row r="397" customFormat="false" ht="15" hidden="false" customHeight="false" outlineLevel="0" collapsed="false">
      <c r="A397" s="18" t="n">
        <v>170504548</v>
      </c>
      <c r="B397" s="10" t="n">
        <v>396</v>
      </c>
      <c r="C397" s="18" t="s">
        <v>43</v>
      </c>
      <c r="D397" s="9" t="s">
        <v>886</v>
      </c>
      <c r="E397" s="9" t="s">
        <v>887</v>
      </c>
      <c r="F397" s="9" t="s">
        <v>17</v>
      </c>
      <c r="G397" s="10" t="n">
        <v>2026</v>
      </c>
      <c r="H397" s="10" t="n">
        <v>10</v>
      </c>
      <c r="I397" s="19" t="n">
        <v>19800</v>
      </c>
      <c r="J397" s="19" t="n">
        <v>22000</v>
      </c>
      <c r="K397" s="10" t="n">
        <v>1100</v>
      </c>
      <c r="L397" s="10" t="n">
        <v>1677</v>
      </c>
      <c r="M397" s="10" t="n">
        <v>20</v>
      </c>
      <c r="N397" s="11" t="n">
        <v>10</v>
      </c>
      <c r="O397" s="18" t="s">
        <v>56</v>
      </c>
    </row>
    <row r="398" customFormat="false" ht="15" hidden="false" customHeight="false" outlineLevel="0" collapsed="false">
      <c r="A398" s="18" t="n">
        <v>169672758</v>
      </c>
      <c r="B398" s="10" t="n">
        <v>397</v>
      </c>
      <c r="C398" s="18" t="s">
        <v>43</v>
      </c>
      <c r="D398" s="9" t="s">
        <v>888</v>
      </c>
      <c r="E398" s="9" t="s">
        <v>889</v>
      </c>
      <c r="F398" s="9" t="s">
        <v>511</v>
      </c>
      <c r="G398" s="10" t="n">
        <v>2025</v>
      </c>
      <c r="H398" s="10" t="n">
        <v>10</v>
      </c>
      <c r="I398" s="19" t="n">
        <v>24300</v>
      </c>
      <c r="J398" s="19" t="n">
        <v>27000</v>
      </c>
      <c r="K398" s="10" t="n">
        <v>1350</v>
      </c>
      <c r="L398" s="10" t="n">
        <v>1656</v>
      </c>
      <c r="M398" s="10" t="n">
        <v>46</v>
      </c>
      <c r="N398" s="11" t="n">
        <v>10</v>
      </c>
      <c r="O398" s="18" t="s">
        <v>56</v>
      </c>
    </row>
    <row r="399" customFormat="false" ht="15" hidden="false" customHeight="false" outlineLevel="0" collapsed="false">
      <c r="A399" s="18" t="n">
        <v>168840773</v>
      </c>
      <c r="B399" s="10" t="n">
        <v>398</v>
      </c>
      <c r="C399" s="18" t="s">
        <v>43</v>
      </c>
      <c r="D399" s="9" t="s">
        <v>890</v>
      </c>
      <c r="E399" s="9" t="s">
        <v>891</v>
      </c>
      <c r="F399" s="9" t="s">
        <v>16</v>
      </c>
      <c r="G399" s="10" t="n">
        <v>2025</v>
      </c>
      <c r="H399" s="10" t="n">
        <v>10</v>
      </c>
      <c r="I399" s="19" t="n">
        <v>18000</v>
      </c>
      <c r="J399" s="19" t="n">
        <v>20000</v>
      </c>
      <c r="K399" s="10" t="n">
        <v>1000</v>
      </c>
      <c r="L399" s="10" t="n">
        <v>4200</v>
      </c>
      <c r="M399" s="10" t="n">
        <v>21</v>
      </c>
      <c r="N399" s="11" t="n">
        <v>8.7</v>
      </c>
      <c r="O399" s="18" t="s">
        <v>56</v>
      </c>
    </row>
    <row r="400" customFormat="false" ht="15" hidden="false" customHeight="false" outlineLevel="0" collapsed="false">
      <c r="A400" s="18" t="n">
        <v>168727208</v>
      </c>
      <c r="B400" s="10" t="n">
        <v>399</v>
      </c>
      <c r="C400" s="18" t="s">
        <v>43</v>
      </c>
      <c r="D400" s="9" t="s">
        <v>892</v>
      </c>
      <c r="E400" s="9" t="s">
        <v>893</v>
      </c>
      <c r="F400" s="9" t="s">
        <v>21</v>
      </c>
      <c r="G400" s="10" t="n">
        <v>2026</v>
      </c>
      <c r="H400" s="10" t="n">
        <v>10</v>
      </c>
      <c r="I400" s="19" t="n">
        <v>25200</v>
      </c>
      <c r="J400" s="19" t="n">
        <v>28000</v>
      </c>
      <c r="K400" s="10" t="n">
        <v>1400</v>
      </c>
      <c r="L400" s="10" t="n">
        <v>2175</v>
      </c>
      <c r="M400" s="10" t="n">
        <v>2</v>
      </c>
      <c r="N400" s="11" t="n">
        <v>3</v>
      </c>
      <c r="O400" s="18" t="s">
        <v>56</v>
      </c>
    </row>
    <row r="401" customFormat="false" ht="15" hidden="false" customHeight="false" outlineLevel="0" collapsed="false">
      <c r="A401" s="18" t="n">
        <v>168654454</v>
      </c>
      <c r="B401" s="10" t="n">
        <v>400</v>
      </c>
      <c r="C401" s="18" t="s">
        <v>43</v>
      </c>
      <c r="D401" s="9" t="s">
        <v>894</v>
      </c>
      <c r="E401" s="9" t="s">
        <v>895</v>
      </c>
      <c r="F401" s="9" t="s">
        <v>322</v>
      </c>
      <c r="G401" s="10" t="n">
        <v>2025</v>
      </c>
      <c r="H401" s="10" t="n">
        <v>10</v>
      </c>
      <c r="I401" s="19" t="n">
        <v>13500</v>
      </c>
      <c r="J401" s="19" t="n">
        <v>15000</v>
      </c>
      <c r="K401" s="10" t="n">
        <v>0</v>
      </c>
      <c r="L401" s="10" t="n">
        <v>1125</v>
      </c>
      <c r="M401" s="10" t="n">
        <v>4</v>
      </c>
      <c r="N401" s="11" t="n">
        <v>10</v>
      </c>
      <c r="O401" s="18" t="s">
        <v>56</v>
      </c>
    </row>
    <row r="402" customFormat="false" ht="15" hidden="false" customHeight="false" outlineLevel="0" collapsed="false">
      <c r="A402" s="18" t="n">
        <v>168561327</v>
      </c>
      <c r="B402" s="10" t="n">
        <v>401</v>
      </c>
      <c r="C402" s="18" t="s">
        <v>43</v>
      </c>
      <c r="D402" s="9" t="s">
        <v>896</v>
      </c>
      <c r="E402" s="9" t="s">
        <v>838</v>
      </c>
      <c r="F402" s="9" t="s">
        <v>311</v>
      </c>
      <c r="G402" s="10" t="n">
        <v>2025</v>
      </c>
      <c r="H402" s="10" t="n">
        <v>10</v>
      </c>
      <c r="I402" s="19" t="n">
        <v>19800</v>
      </c>
      <c r="J402" s="19" t="n">
        <v>22000</v>
      </c>
      <c r="K402" s="10" t="n">
        <v>1100</v>
      </c>
      <c r="L402" s="10" t="n">
        <v>3852</v>
      </c>
      <c r="M402" s="10" t="n">
        <v>45</v>
      </c>
      <c r="N402" s="11" t="n">
        <v>9.9</v>
      </c>
      <c r="O402" s="18" t="s">
        <v>56</v>
      </c>
    </row>
    <row r="403" customFormat="false" ht="15" hidden="false" customHeight="false" outlineLevel="0" collapsed="false">
      <c r="A403" s="18" t="n">
        <v>168451090</v>
      </c>
      <c r="B403" s="10" t="n">
        <v>402</v>
      </c>
      <c r="C403" s="18" t="s">
        <v>43</v>
      </c>
      <c r="D403" s="9" t="s">
        <v>897</v>
      </c>
      <c r="E403" s="9" t="s">
        <v>898</v>
      </c>
      <c r="F403" s="9" t="s">
        <v>19</v>
      </c>
      <c r="G403" s="10" t="n">
        <v>2026</v>
      </c>
      <c r="H403" s="10" t="n">
        <v>10</v>
      </c>
      <c r="I403" s="19" t="n">
        <v>25200</v>
      </c>
      <c r="J403" s="19" t="n">
        <v>28000</v>
      </c>
      <c r="K403" s="10" t="n">
        <v>1400</v>
      </c>
      <c r="L403" s="10" t="n">
        <v>1452</v>
      </c>
      <c r="M403" s="10" t="n">
        <v>7</v>
      </c>
      <c r="N403" s="11" t="n">
        <v>9.4</v>
      </c>
      <c r="O403" s="18" t="s">
        <v>56</v>
      </c>
    </row>
    <row r="404" customFormat="false" ht="15" hidden="false" customHeight="false" outlineLevel="0" collapsed="false">
      <c r="A404" s="18" t="n">
        <v>167841837</v>
      </c>
      <c r="B404" s="10" t="n">
        <v>403</v>
      </c>
      <c r="C404" s="18" t="s">
        <v>43</v>
      </c>
      <c r="D404" s="15" t="s">
        <v>899</v>
      </c>
      <c r="E404" s="9" t="s">
        <v>900</v>
      </c>
      <c r="F404" s="9" t="s">
        <v>901</v>
      </c>
      <c r="G404" s="10" t="n">
        <v>2025</v>
      </c>
      <c r="H404" s="10" t="n">
        <v>10</v>
      </c>
      <c r="I404" s="19" t="n">
        <v>18900</v>
      </c>
      <c r="J404" s="19" t="n">
        <v>21000</v>
      </c>
      <c r="K404" s="10" t="n">
        <v>1050</v>
      </c>
      <c r="L404" s="10" t="n">
        <v>3666</v>
      </c>
      <c r="M404" s="10" t="n">
        <v>54</v>
      </c>
      <c r="N404" s="11" t="n">
        <v>10</v>
      </c>
      <c r="O404" s="18" t="s">
        <v>56</v>
      </c>
    </row>
    <row r="405" customFormat="false" ht="15" hidden="false" customHeight="false" outlineLevel="0" collapsed="false">
      <c r="A405" s="18" t="n">
        <v>167556594</v>
      </c>
      <c r="B405" s="10" t="n">
        <v>404</v>
      </c>
      <c r="C405" s="18" t="s">
        <v>43</v>
      </c>
      <c r="D405" s="15" t="s">
        <v>902</v>
      </c>
      <c r="E405" s="9" t="s">
        <v>903</v>
      </c>
      <c r="F405" s="9" t="s">
        <v>544</v>
      </c>
      <c r="G405" s="10" t="n">
        <v>2025</v>
      </c>
      <c r="H405" s="10" t="n">
        <v>10</v>
      </c>
      <c r="I405" s="19" t="n">
        <v>10800</v>
      </c>
      <c r="J405" s="19" t="n">
        <v>12000</v>
      </c>
      <c r="K405" s="10" t="n">
        <v>600</v>
      </c>
      <c r="L405" s="10" t="n">
        <v>342</v>
      </c>
      <c r="M405" s="10" t="n">
        <v>9</v>
      </c>
      <c r="N405" s="11" t="n">
        <v>9.8</v>
      </c>
      <c r="O405" s="18" t="s">
        <v>56</v>
      </c>
    </row>
    <row r="406" customFormat="false" ht="15" hidden="false" customHeight="false" outlineLevel="0" collapsed="false">
      <c r="A406" s="18" t="n">
        <v>167476896</v>
      </c>
      <c r="B406" s="10" t="n">
        <v>405</v>
      </c>
      <c r="C406" s="18" t="s">
        <v>43</v>
      </c>
      <c r="D406" s="9" t="s">
        <v>904</v>
      </c>
      <c r="E406" s="9" t="s">
        <v>905</v>
      </c>
      <c r="F406" s="9" t="s">
        <v>422</v>
      </c>
      <c r="G406" s="10" t="n">
        <v>2025</v>
      </c>
      <c r="H406" s="10" t="n">
        <v>10</v>
      </c>
      <c r="I406" s="19" t="n">
        <v>45000</v>
      </c>
      <c r="J406" s="19" t="n">
        <v>50000</v>
      </c>
      <c r="K406" s="10" t="n">
        <v>2500</v>
      </c>
      <c r="L406" s="10" t="n">
        <v>834</v>
      </c>
      <c r="M406" s="10" t="n">
        <v>4</v>
      </c>
      <c r="N406" s="11" t="n">
        <v>10</v>
      </c>
      <c r="O406" s="18" t="s">
        <v>56</v>
      </c>
    </row>
    <row r="407" customFormat="false" ht="15" hidden="false" customHeight="false" outlineLevel="0" collapsed="false">
      <c r="A407" s="18" t="n">
        <v>167475617</v>
      </c>
      <c r="B407" s="10" t="n">
        <v>406</v>
      </c>
      <c r="C407" s="18" t="s">
        <v>43</v>
      </c>
      <c r="D407" s="9" t="s">
        <v>906</v>
      </c>
      <c r="E407" s="9" t="s">
        <v>907</v>
      </c>
      <c r="F407" s="9" t="s">
        <v>12</v>
      </c>
      <c r="G407" s="10" t="n">
        <v>2025</v>
      </c>
      <c r="H407" s="10" t="n">
        <v>10</v>
      </c>
      <c r="I407" s="19" t="n">
        <v>15300</v>
      </c>
      <c r="J407" s="19" t="n">
        <v>17000</v>
      </c>
      <c r="K407" s="10" t="n">
        <v>850</v>
      </c>
      <c r="L407" s="10" t="n">
        <v>1686</v>
      </c>
      <c r="M407" s="10" t="n">
        <v>28</v>
      </c>
      <c r="N407" s="11" t="n">
        <v>10</v>
      </c>
      <c r="O407" s="18" t="s">
        <v>56</v>
      </c>
    </row>
    <row r="408" customFormat="false" ht="15" hidden="false" customHeight="false" outlineLevel="0" collapsed="false">
      <c r="A408" s="18" t="n">
        <v>167463337</v>
      </c>
      <c r="B408" s="10" t="n">
        <v>407</v>
      </c>
      <c r="C408" s="18" t="s">
        <v>43</v>
      </c>
      <c r="D408" s="9" t="s">
        <v>908</v>
      </c>
      <c r="E408" s="9" t="s">
        <v>909</v>
      </c>
      <c r="F408" s="9" t="s">
        <v>14</v>
      </c>
      <c r="G408" s="10" t="n">
        <v>2025</v>
      </c>
      <c r="H408" s="10" t="n">
        <v>10</v>
      </c>
      <c r="I408" s="19" t="n">
        <v>19800</v>
      </c>
      <c r="J408" s="19" t="n">
        <v>22000</v>
      </c>
      <c r="K408" s="10" t="n">
        <v>1100</v>
      </c>
      <c r="L408" s="10" t="n">
        <v>2988</v>
      </c>
      <c r="M408" s="10" t="n">
        <v>20</v>
      </c>
      <c r="N408" s="11" t="n">
        <v>9.7</v>
      </c>
      <c r="O408" s="18" t="s">
        <v>56</v>
      </c>
    </row>
    <row r="409" customFormat="false" ht="15" hidden="false" customHeight="false" outlineLevel="0" collapsed="false">
      <c r="A409" s="18" t="n">
        <v>167388454</v>
      </c>
      <c r="B409" s="10" t="n">
        <v>408</v>
      </c>
      <c r="C409" s="18" t="s">
        <v>43</v>
      </c>
      <c r="D409" s="9" t="s">
        <v>910</v>
      </c>
      <c r="E409" s="9" t="s">
        <v>403</v>
      </c>
      <c r="F409" s="9" t="s">
        <v>161</v>
      </c>
      <c r="G409" s="10" t="n">
        <v>2025</v>
      </c>
      <c r="H409" s="10" t="n">
        <v>10</v>
      </c>
      <c r="I409" s="19" t="n">
        <v>12600</v>
      </c>
      <c r="J409" s="19" t="n">
        <v>14000</v>
      </c>
      <c r="K409" s="10" t="n">
        <v>700</v>
      </c>
      <c r="L409" s="10" t="n">
        <v>2109</v>
      </c>
      <c r="M409" s="10" t="n">
        <v>0</v>
      </c>
      <c r="N409" s="11" t="n">
        <v>0</v>
      </c>
      <c r="O409" s="18" t="s">
        <v>56</v>
      </c>
    </row>
    <row r="410" customFormat="false" ht="15" hidden="false" customHeight="false" outlineLevel="0" collapsed="false">
      <c r="A410" s="18" t="n">
        <v>163496515</v>
      </c>
      <c r="B410" s="10" t="n">
        <v>409</v>
      </c>
      <c r="C410" s="18" t="s">
        <v>43</v>
      </c>
      <c r="D410" s="9" t="s">
        <v>911</v>
      </c>
      <c r="E410" s="9" t="s">
        <v>588</v>
      </c>
      <c r="F410" s="9" t="s">
        <v>589</v>
      </c>
      <c r="G410" s="10" t="n">
        <v>2025</v>
      </c>
      <c r="H410" s="10" t="n">
        <v>10</v>
      </c>
      <c r="I410" s="19" t="n">
        <v>25200</v>
      </c>
      <c r="J410" s="19" t="n">
        <v>28000</v>
      </c>
      <c r="K410" s="10" t="n">
        <v>0</v>
      </c>
      <c r="L410" s="10" t="n">
        <v>3294</v>
      </c>
      <c r="M410" s="10" t="n">
        <v>1</v>
      </c>
      <c r="N410" s="11" t="n">
        <v>10</v>
      </c>
      <c r="O410" s="18" t="s">
        <v>56</v>
      </c>
    </row>
    <row r="411" customFormat="false" ht="15" hidden="false" customHeight="false" outlineLevel="0" collapsed="false">
      <c r="A411" s="18" t="n">
        <v>161342252</v>
      </c>
      <c r="B411" s="10" t="n">
        <v>410</v>
      </c>
      <c r="C411" s="18" t="s">
        <v>43</v>
      </c>
      <c r="D411" s="15" t="s">
        <v>912</v>
      </c>
      <c r="E411" s="9" t="s">
        <v>913</v>
      </c>
      <c r="F411" s="9" t="s">
        <v>19</v>
      </c>
      <c r="G411" s="10" t="n">
        <v>2025</v>
      </c>
      <c r="H411" s="10" t="n">
        <v>10</v>
      </c>
      <c r="I411" s="19" t="n">
        <v>21600</v>
      </c>
      <c r="J411" s="19" t="n">
        <v>24000</v>
      </c>
      <c r="K411" s="10" t="n">
        <v>1200</v>
      </c>
      <c r="L411" s="10" t="n">
        <v>3666</v>
      </c>
      <c r="M411" s="10" t="n">
        <v>158</v>
      </c>
      <c r="N411" s="11" t="n">
        <v>10</v>
      </c>
      <c r="O411" s="18" t="s">
        <v>56</v>
      </c>
    </row>
    <row r="412" customFormat="false" ht="15" hidden="false" customHeight="false" outlineLevel="0" collapsed="false">
      <c r="A412" s="18" t="n">
        <v>160247537</v>
      </c>
      <c r="B412" s="10" t="n">
        <v>411</v>
      </c>
      <c r="C412" s="18" t="s">
        <v>43</v>
      </c>
      <c r="D412" s="15" t="s">
        <v>914</v>
      </c>
      <c r="E412" s="9" t="s">
        <v>915</v>
      </c>
      <c r="F412" s="9" t="s">
        <v>916</v>
      </c>
      <c r="G412" s="10" t="n">
        <v>2025</v>
      </c>
      <c r="H412" s="10" t="n">
        <v>10</v>
      </c>
      <c r="I412" s="19" t="n">
        <v>18000</v>
      </c>
      <c r="J412" s="19" t="n">
        <v>20000</v>
      </c>
      <c r="K412" s="10" t="n">
        <v>1000</v>
      </c>
      <c r="L412" s="10" t="n">
        <v>606</v>
      </c>
      <c r="M412" s="10" t="n">
        <v>16</v>
      </c>
      <c r="N412" s="11" t="n">
        <v>10</v>
      </c>
      <c r="O412" s="18" t="s">
        <v>56</v>
      </c>
    </row>
    <row r="413" customFormat="false" ht="15" hidden="false" customHeight="false" outlineLevel="0" collapsed="false">
      <c r="A413" s="18" t="n">
        <v>159168206</v>
      </c>
      <c r="B413" s="10" t="n">
        <v>412</v>
      </c>
      <c r="C413" s="18" t="s">
        <v>43</v>
      </c>
      <c r="D413" s="9" t="s">
        <v>917</v>
      </c>
      <c r="E413" s="9" t="s">
        <v>918</v>
      </c>
      <c r="F413" s="9" t="s">
        <v>12</v>
      </c>
      <c r="G413" s="10" t="n">
        <v>2025</v>
      </c>
      <c r="H413" s="10" t="n">
        <v>10</v>
      </c>
      <c r="I413" s="19" t="n">
        <v>15300</v>
      </c>
      <c r="J413" s="19" t="n">
        <v>17000</v>
      </c>
      <c r="K413" s="10" t="n">
        <v>850</v>
      </c>
      <c r="L413" s="10" t="n">
        <v>6708</v>
      </c>
      <c r="M413" s="10" t="n">
        <v>26</v>
      </c>
      <c r="N413" s="11" t="n">
        <v>9.8</v>
      </c>
      <c r="O413" s="18" t="s">
        <v>56</v>
      </c>
    </row>
    <row r="414" customFormat="false" ht="15" hidden="false" customHeight="false" outlineLevel="0" collapsed="false">
      <c r="A414" s="18" t="n">
        <v>155152306</v>
      </c>
      <c r="B414" s="10" t="n">
        <v>413</v>
      </c>
      <c r="C414" s="18" t="s">
        <v>43</v>
      </c>
      <c r="D414" s="9" t="s">
        <v>919</v>
      </c>
      <c r="E414" s="9" t="s">
        <v>920</v>
      </c>
      <c r="F414" s="9" t="s">
        <v>23</v>
      </c>
      <c r="G414" s="10" t="n">
        <v>2025</v>
      </c>
      <c r="H414" s="10" t="n">
        <v>10</v>
      </c>
      <c r="I414" s="19" t="n">
        <v>32400</v>
      </c>
      <c r="J414" s="19" t="n">
        <v>36000</v>
      </c>
      <c r="K414" s="10" t="n">
        <v>1800</v>
      </c>
      <c r="L414" s="10" t="n">
        <v>1932</v>
      </c>
      <c r="M414" s="10" t="n">
        <v>11</v>
      </c>
      <c r="N414" s="11" t="n">
        <v>10</v>
      </c>
      <c r="O414" s="18" t="s">
        <v>56</v>
      </c>
    </row>
    <row r="415" customFormat="false" ht="15" hidden="false" customHeight="false" outlineLevel="0" collapsed="false">
      <c r="A415" s="18" t="n">
        <v>154750336</v>
      </c>
      <c r="B415" s="10" t="n">
        <v>414</v>
      </c>
      <c r="C415" s="18" t="s">
        <v>43</v>
      </c>
      <c r="D415" s="9" t="s">
        <v>921</v>
      </c>
      <c r="E415" s="9" t="s">
        <v>326</v>
      </c>
      <c r="F415" s="9" t="s">
        <v>259</v>
      </c>
      <c r="G415" s="10" t="n">
        <v>2025</v>
      </c>
      <c r="H415" s="10" t="n">
        <v>10</v>
      </c>
      <c r="I415" s="19" t="n">
        <v>22500</v>
      </c>
      <c r="J415" s="19" t="n">
        <v>25000</v>
      </c>
      <c r="K415" s="10" t="n">
        <v>1250</v>
      </c>
      <c r="L415" s="10" t="n">
        <v>972</v>
      </c>
      <c r="M415" s="10" t="n">
        <v>0</v>
      </c>
      <c r="N415" s="11" t="n">
        <v>0</v>
      </c>
      <c r="O415" s="18" t="s">
        <v>56</v>
      </c>
    </row>
    <row r="416" customFormat="false" ht="15" hidden="false" customHeight="false" outlineLevel="0" collapsed="false">
      <c r="A416" s="18" t="n">
        <v>154159841</v>
      </c>
      <c r="B416" s="10" t="n">
        <v>415</v>
      </c>
      <c r="C416" s="18" t="s">
        <v>43</v>
      </c>
      <c r="D416" s="9" t="s">
        <v>922</v>
      </c>
      <c r="E416" s="9" t="s">
        <v>923</v>
      </c>
      <c r="F416" s="9" t="s">
        <v>14</v>
      </c>
      <c r="G416" s="10" t="n">
        <v>2025</v>
      </c>
      <c r="H416" s="10" t="n">
        <v>10</v>
      </c>
      <c r="I416" s="19" t="n">
        <v>31500</v>
      </c>
      <c r="J416" s="19" t="n">
        <v>35000</v>
      </c>
      <c r="K416" s="10" t="n">
        <v>1750</v>
      </c>
      <c r="L416" s="10" t="n">
        <v>6330</v>
      </c>
      <c r="M416" s="10" t="n">
        <v>19</v>
      </c>
      <c r="N416" s="11" t="n">
        <v>9.7</v>
      </c>
      <c r="O416" s="18" t="s">
        <v>56</v>
      </c>
    </row>
    <row r="417" customFormat="false" ht="15" hidden="false" customHeight="false" outlineLevel="0" collapsed="false">
      <c r="A417" s="18" t="n">
        <v>154076881</v>
      </c>
      <c r="B417" s="10" t="n">
        <v>416</v>
      </c>
      <c r="C417" s="18" t="s">
        <v>43</v>
      </c>
      <c r="D417" s="9" t="s">
        <v>924</v>
      </c>
      <c r="E417" s="9" t="s">
        <v>925</v>
      </c>
      <c r="F417" s="9" t="s">
        <v>12</v>
      </c>
      <c r="G417" s="10" t="n">
        <v>2025</v>
      </c>
      <c r="H417" s="10" t="n">
        <v>10</v>
      </c>
      <c r="I417" s="19" t="n">
        <v>54000</v>
      </c>
      <c r="J417" s="19" t="n">
        <v>60000</v>
      </c>
      <c r="K417" s="10" t="n">
        <v>3000</v>
      </c>
      <c r="L417" s="10" t="n">
        <v>2256</v>
      </c>
      <c r="M417" s="10" t="n">
        <v>31</v>
      </c>
      <c r="N417" s="11" t="n">
        <v>9.7</v>
      </c>
      <c r="O417" s="18" t="s">
        <v>56</v>
      </c>
    </row>
    <row r="418" customFormat="false" ht="15" hidden="false" customHeight="false" outlineLevel="0" collapsed="false">
      <c r="A418" s="18" t="n">
        <v>153663554</v>
      </c>
      <c r="B418" s="10" t="n">
        <v>417</v>
      </c>
      <c r="C418" s="18" t="s">
        <v>43</v>
      </c>
      <c r="D418" s="9" t="s">
        <v>926</v>
      </c>
      <c r="E418" s="9" t="s">
        <v>679</v>
      </c>
      <c r="F418" s="15" t="s">
        <v>680</v>
      </c>
      <c r="G418" s="10" t="n">
        <v>2025</v>
      </c>
      <c r="H418" s="10" t="n">
        <v>5</v>
      </c>
      <c r="I418" s="19" t="n">
        <v>37810</v>
      </c>
      <c r="J418" s="19" t="n">
        <v>39800</v>
      </c>
      <c r="K418" s="10" t="n">
        <v>1190</v>
      </c>
      <c r="L418" s="10" t="n">
        <v>786</v>
      </c>
      <c r="M418" s="10" t="n">
        <v>1</v>
      </c>
      <c r="N418" s="11" t="n">
        <v>10</v>
      </c>
      <c r="O418" s="18" t="s">
        <v>56</v>
      </c>
    </row>
    <row r="419" customFormat="false" ht="15" hidden="false" customHeight="false" outlineLevel="0" collapsed="false">
      <c r="A419" s="18" t="n">
        <v>153499985</v>
      </c>
      <c r="B419" s="10" t="n">
        <v>418</v>
      </c>
      <c r="C419" s="18" t="s">
        <v>43</v>
      </c>
      <c r="D419" s="9" t="s">
        <v>927</v>
      </c>
      <c r="E419" s="9" t="s">
        <v>928</v>
      </c>
      <c r="F419" s="9" t="s">
        <v>12</v>
      </c>
      <c r="G419" s="10" t="n">
        <v>2025</v>
      </c>
      <c r="H419" s="10" t="n">
        <v>10</v>
      </c>
      <c r="I419" s="19" t="n">
        <v>40500</v>
      </c>
      <c r="J419" s="19" t="n">
        <v>45000</v>
      </c>
      <c r="K419" s="10" t="n">
        <v>2250</v>
      </c>
      <c r="L419" s="10" t="n">
        <v>2250</v>
      </c>
      <c r="M419" s="10" t="n">
        <v>5</v>
      </c>
      <c r="N419" s="11" t="n">
        <v>10</v>
      </c>
      <c r="O419" s="18" t="s">
        <v>56</v>
      </c>
    </row>
    <row r="420" customFormat="false" ht="15" hidden="false" customHeight="false" outlineLevel="0" collapsed="false">
      <c r="A420" s="18" t="n">
        <v>153497959</v>
      </c>
      <c r="B420" s="10" t="n">
        <v>419</v>
      </c>
      <c r="C420" s="18" t="s">
        <v>43</v>
      </c>
      <c r="D420" s="9" t="s">
        <v>929</v>
      </c>
      <c r="E420" s="9" t="s">
        <v>930</v>
      </c>
      <c r="F420" s="9" t="s">
        <v>211</v>
      </c>
      <c r="G420" s="10" t="n">
        <v>2025</v>
      </c>
      <c r="H420" s="10" t="n">
        <v>10</v>
      </c>
      <c r="I420" s="19" t="n">
        <v>54000</v>
      </c>
      <c r="J420" s="19" t="n">
        <v>60000</v>
      </c>
      <c r="K420" s="10" t="n">
        <v>3000</v>
      </c>
      <c r="L420" s="10" t="n">
        <v>3546</v>
      </c>
      <c r="M420" s="10" t="n">
        <v>2</v>
      </c>
      <c r="N420" s="11" t="n">
        <v>10</v>
      </c>
      <c r="O420" s="18" t="s">
        <v>46</v>
      </c>
    </row>
    <row r="421" customFormat="false" ht="15" hidden="false" customHeight="false" outlineLevel="0" collapsed="false">
      <c r="A421" s="18" t="n">
        <v>152470295</v>
      </c>
      <c r="B421" s="10" t="n">
        <v>420</v>
      </c>
      <c r="C421" s="18" t="s">
        <v>43</v>
      </c>
      <c r="D421" s="15" t="s">
        <v>931</v>
      </c>
      <c r="E421" s="9" t="s">
        <v>932</v>
      </c>
      <c r="F421" s="9" t="s">
        <v>14</v>
      </c>
      <c r="G421" s="10" t="n">
        <v>2025</v>
      </c>
      <c r="H421" s="10" t="n">
        <v>10</v>
      </c>
      <c r="I421" s="19" t="n">
        <v>29700</v>
      </c>
      <c r="J421" s="19" t="n">
        <v>33000</v>
      </c>
      <c r="K421" s="10" t="n">
        <v>1650</v>
      </c>
      <c r="L421" s="10" t="n">
        <v>1752</v>
      </c>
      <c r="M421" s="10" t="n">
        <v>15</v>
      </c>
      <c r="N421" s="11" t="n">
        <v>9.9</v>
      </c>
      <c r="O421" s="18" t="s">
        <v>56</v>
      </c>
    </row>
    <row r="422" customFormat="false" ht="15" hidden="false" customHeight="false" outlineLevel="0" collapsed="false">
      <c r="A422" s="18" t="n">
        <v>152399336</v>
      </c>
      <c r="B422" s="10" t="n">
        <v>421</v>
      </c>
      <c r="C422" s="18" t="s">
        <v>43</v>
      </c>
      <c r="D422" s="9" t="s">
        <v>933</v>
      </c>
      <c r="E422" s="9" t="s">
        <v>934</v>
      </c>
      <c r="F422" s="9" t="s">
        <v>184</v>
      </c>
      <c r="G422" s="10" t="n">
        <v>2025</v>
      </c>
      <c r="H422" s="10" t="n">
        <v>0</v>
      </c>
      <c r="I422" s="19" t="n">
        <v>17000</v>
      </c>
      <c r="J422" s="19" t="n">
        <v>17000</v>
      </c>
      <c r="K422" s="10" t="n">
        <v>0</v>
      </c>
      <c r="L422" s="10" t="n">
        <v>2274</v>
      </c>
      <c r="M422" s="10" t="n">
        <v>11</v>
      </c>
      <c r="N422" s="11" t="n">
        <v>10</v>
      </c>
      <c r="O422" s="18" t="s">
        <v>56</v>
      </c>
    </row>
    <row r="423" customFormat="false" ht="15" hidden="false" customHeight="false" outlineLevel="0" collapsed="false">
      <c r="A423" s="18" t="n">
        <v>151679786</v>
      </c>
      <c r="B423" s="10" t="n">
        <v>422</v>
      </c>
      <c r="C423" s="18" t="s">
        <v>43</v>
      </c>
      <c r="D423" s="15" t="s">
        <v>935</v>
      </c>
      <c r="E423" s="9" t="s">
        <v>936</v>
      </c>
      <c r="F423" s="9" t="s">
        <v>937</v>
      </c>
      <c r="G423" s="10" t="n">
        <v>2025</v>
      </c>
      <c r="H423" s="10" t="n">
        <v>10</v>
      </c>
      <c r="I423" s="19" t="n">
        <v>18000</v>
      </c>
      <c r="J423" s="19" t="n">
        <v>20000</v>
      </c>
      <c r="K423" s="10" t="n">
        <v>1000</v>
      </c>
      <c r="L423" s="10" t="n">
        <v>2442</v>
      </c>
      <c r="M423" s="10" t="n">
        <v>19</v>
      </c>
      <c r="N423" s="11" t="n">
        <v>9.9</v>
      </c>
      <c r="O423" s="18" t="s">
        <v>56</v>
      </c>
    </row>
    <row r="424" customFormat="false" ht="15" hidden="false" customHeight="false" outlineLevel="0" collapsed="false">
      <c r="A424" s="18" t="n">
        <v>150701473</v>
      </c>
      <c r="B424" s="10" t="n">
        <v>423</v>
      </c>
      <c r="C424" s="18" t="s">
        <v>43</v>
      </c>
      <c r="D424" s="9" t="s">
        <v>938</v>
      </c>
      <c r="E424" s="9" t="s">
        <v>939</v>
      </c>
      <c r="F424" s="9" t="s">
        <v>19</v>
      </c>
      <c r="G424" s="10" t="n">
        <v>2025</v>
      </c>
      <c r="H424" s="10" t="n">
        <v>10</v>
      </c>
      <c r="I424" s="19" t="n">
        <v>28800</v>
      </c>
      <c r="J424" s="19" t="n">
        <v>32000</v>
      </c>
      <c r="K424" s="10" t="n">
        <v>1600</v>
      </c>
      <c r="L424" s="10" t="n">
        <v>8064</v>
      </c>
      <c r="M424" s="10" t="n">
        <v>0</v>
      </c>
      <c r="N424" s="11" t="n">
        <v>0</v>
      </c>
      <c r="O424" s="18" t="s">
        <v>56</v>
      </c>
    </row>
    <row r="425" customFormat="false" ht="15" hidden="false" customHeight="false" outlineLevel="0" collapsed="false">
      <c r="A425" s="18" t="n">
        <v>149421496</v>
      </c>
      <c r="B425" s="10" t="n">
        <v>424</v>
      </c>
      <c r="C425" s="18" t="s">
        <v>43</v>
      </c>
      <c r="D425" s="9" t="s">
        <v>940</v>
      </c>
      <c r="E425" s="9" t="s">
        <v>941</v>
      </c>
      <c r="F425" s="9" t="s">
        <v>514</v>
      </c>
      <c r="G425" s="10" t="n">
        <v>2025</v>
      </c>
      <c r="H425" s="10" t="n">
        <v>0</v>
      </c>
      <c r="I425" s="19" t="n">
        <v>33000</v>
      </c>
      <c r="J425" s="19" t="n">
        <v>33000</v>
      </c>
      <c r="K425" s="10" t="n">
        <v>0</v>
      </c>
      <c r="L425" s="10" t="n">
        <v>3351</v>
      </c>
      <c r="M425" s="10" t="n">
        <v>3</v>
      </c>
      <c r="N425" s="11" t="n">
        <v>10</v>
      </c>
      <c r="O425" s="18" t="s">
        <v>56</v>
      </c>
    </row>
    <row r="426" customFormat="false" ht="15" hidden="false" customHeight="false" outlineLevel="0" collapsed="false">
      <c r="A426" s="18" t="n">
        <v>149224228</v>
      </c>
      <c r="B426" s="10" t="n">
        <v>425</v>
      </c>
      <c r="C426" s="18" t="s">
        <v>43</v>
      </c>
      <c r="D426" s="9" t="s">
        <v>942</v>
      </c>
      <c r="E426" s="9" t="s">
        <v>943</v>
      </c>
      <c r="F426" s="9" t="s">
        <v>14</v>
      </c>
      <c r="G426" s="10" t="n">
        <v>2025</v>
      </c>
      <c r="H426" s="10" t="n">
        <v>10</v>
      </c>
      <c r="I426" s="19" t="n">
        <v>27000</v>
      </c>
      <c r="J426" s="19" t="n">
        <v>30000</v>
      </c>
      <c r="K426" s="10" t="n">
        <v>1500</v>
      </c>
      <c r="L426" s="10" t="n">
        <v>2640</v>
      </c>
      <c r="M426" s="10" t="n">
        <v>14</v>
      </c>
      <c r="N426" s="11" t="n">
        <v>10</v>
      </c>
      <c r="O426" s="18" t="s">
        <v>56</v>
      </c>
    </row>
    <row r="427" customFormat="false" ht="15" hidden="false" customHeight="false" outlineLevel="0" collapsed="false">
      <c r="A427" s="18" t="n">
        <v>149190058</v>
      </c>
      <c r="B427" s="10" t="n">
        <v>426</v>
      </c>
      <c r="C427" s="18" t="s">
        <v>43</v>
      </c>
      <c r="D427" s="9" t="s">
        <v>944</v>
      </c>
      <c r="E427" s="9" t="s">
        <v>694</v>
      </c>
      <c r="F427" s="9" t="s">
        <v>16</v>
      </c>
      <c r="G427" s="10" t="n">
        <v>2025</v>
      </c>
      <c r="H427" s="10" t="n">
        <v>10</v>
      </c>
      <c r="I427" s="19" t="n">
        <v>21600</v>
      </c>
      <c r="J427" s="19" t="n">
        <v>24000</v>
      </c>
      <c r="K427" s="10" t="n">
        <v>1200</v>
      </c>
      <c r="L427" s="10" t="n">
        <v>2874</v>
      </c>
      <c r="M427" s="10" t="n">
        <v>14</v>
      </c>
      <c r="N427" s="11" t="n">
        <v>9.9</v>
      </c>
      <c r="O427" s="18" t="s">
        <v>56</v>
      </c>
    </row>
    <row r="428" customFormat="false" ht="15" hidden="false" customHeight="false" outlineLevel="0" collapsed="false">
      <c r="A428" s="18" t="n">
        <v>148562901</v>
      </c>
      <c r="B428" s="10" t="n">
        <v>427</v>
      </c>
      <c r="C428" s="18" t="s">
        <v>43</v>
      </c>
      <c r="D428" s="9" t="s">
        <v>945</v>
      </c>
      <c r="E428" s="15" t="s">
        <v>946</v>
      </c>
      <c r="F428" s="9" t="s">
        <v>14</v>
      </c>
      <c r="G428" s="10" t="n">
        <v>2025</v>
      </c>
      <c r="H428" s="10" t="n">
        <v>10</v>
      </c>
      <c r="I428" s="19" t="n">
        <v>19800</v>
      </c>
      <c r="J428" s="19" t="n">
        <v>22000</v>
      </c>
      <c r="K428" s="10" t="n">
        <v>1100</v>
      </c>
      <c r="L428" s="10" t="n">
        <v>9372</v>
      </c>
      <c r="M428" s="10" t="n">
        <v>144</v>
      </c>
      <c r="N428" s="11" t="n">
        <v>9.8</v>
      </c>
      <c r="O428" s="18" t="s">
        <v>56</v>
      </c>
    </row>
    <row r="429" customFormat="false" ht="15" hidden="false" customHeight="false" outlineLevel="0" collapsed="false">
      <c r="A429" s="18" t="n">
        <v>148184558</v>
      </c>
      <c r="B429" s="10" t="n">
        <v>428</v>
      </c>
      <c r="C429" s="18" t="s">
        <v>43</v>
      </c>
      <c r="D429" s="9" t="s">
        <v>947</v>
      </c>
      <c r="E429" s="9" t="s">
        <v>948</v>
      </c>
      <c r="F429" s="9" t="s">
        <v>12</v>
      </c>
      <c r="G429" s="10" t="n">
        <v>2025</v>
      </c>
      <c r="H429" s="10" t="n">
        <v>10</v>
      </c>
      <c r="I429" s="19" t="n">
        <v>21600</v>
      </c>
      <c r="J429" s="19" t="n">
        <v>24000</v>
      </c>
      <c r="K429" s="10" t="n">
        <v>1200</v>
      </c>
      <c r="L429" s="10" t="n">
        <v>1128</v>
      </c>
      <c r="M429" s="10" t="n">
        <v>3</v>
      </c>
      <c r="N429" s="11" t="n">
        <v>9.3</v>
      </c>
      <c r="O429" s="18" t="s">
        <v>56</v>
      </c>
    </row>
    <row r="430" customFormat="false" ht="15" hidden="false" customHeight="false" outlineLevel="0" collapsed="false">
      <c r="A430" s="18" t="n">
        <v>148124010</v>
      </c>
      <c r="B430" s="10" t="n">
        <v>429</v>
      </c>
      <c r="C430" s="18" t="s">
        <v>43</v>
      </c>
      <c r="D430" s="9" t="s">
        <v>949</v>
      </c>
      <c r="E430" s="9" t="s">
        <v>950</v>
      </c>
      <c r="F430" s="9" t="s">
        <v>21</v>
      </c>
      <c r="G430" s="10" t="n">
        <v>2025</v>
      </c>
      <c r="H430" s="10" t="n">
        <v>10</v>
      </c>
      <c r="I430" s="19" t="n">
        <v>32400</v>
      </c>
      <c r="J430" s="19" t="n">
        <v>36000</v>
      </c>
      <c r="K430" s="10" t="n">
        <v>1800</v>
      </c>
      <c r="L430" s="10" t="n">
        <v>1788</v>
      </c>
      <c r="M430" s="10" t="n">
        <v>3</v>
      </c>
      <c r="N430" s="11" t="n">
        <v>10</v>
      </c>
      <c r="O430" s="18" t="s">
        <v>56</v>
      </c>
    </row>
    <row r="431" customFormat="false" ht="15" hidden="false" customHeight="false" outlineLevel="0" collapsed="false">
      <c r="A431" s="18" t="n">
        <v>147977536</v>
      </c>
      <c r="B431" s="10" t="n">
        <v>430</v>
      </c>
      <c r="C431" s="18" t="s">
        <v>43</v>
      </c>
      <c r="D431" s="15" t="s">
        <v>951</v>
      </c>
      <c r="E431" s="9" t="s">
        <v>952</v>
      </c>
      <c r="F431" s="9" t="s">
        <v>953</v>
      </c>
      <c r="G431" s="10" t="n">
        <v>2025</v>
      </c>
      <c r="H431" s="10" t="n">
        <v>5</v>
      </c>
      <c r="I431" s="19" t="n">
        <v>38000</v>
      </c>
      <c r="J431" s="19" t="n">
        <v>40000</v>
      </c>
      <c r="K431" s="10" t="n">
        <v>1200</v>
      </c>
      <c r="L431" s="10" t="n">
        <v>4170</v>
      </c>
      <c r="M431" s="10" t="n">
        <v>47</v>
      </c>
      <c r="N431" s="11" t="n">
        <v>10</v>
      </c>
      <c r="O431" s="18" t="s">
        <v>46</v>
      </c>
    </row>
    <row r="432" customFormat="false" ht="15" hidden="false" customHeight="false" outlineLevel="0" collapsed="false">
      <c r="A432" s="18" t="n">
        <v>147977458</v>
      </c>
      <c r="B432" s="10" t="n">
        <v>431</v>
      </c>
      <c r="C432" s="18" t="s">
        <v>43</v>
      </c>
      <c r="D432" s="9" t="s">
        <v>954</v>
      </c>
      <c r="E432" s="9" t="s">
        <v>955</v>
      </c>
      <c r="F432" s="9" t="s">
        <v>14</v>
      </c>
      <c r="G432" s="10" t="n">
        <v>2025</v>
      </c>
      <c r="H432" s="10" t="n">
        <v>10</v>
      </c>
      <c r="I432" s="19" t="n">
        <v>20700</v>
      </c>
      <c r="J432" s="19" t="n">
        <v>23000</v>
      </c>
      <c r="K432" s="10" t="n">
        <v>1150</v>
      </c>
      <c r="L432" s="10" t="n">
        <v>3690</v>
      </c>
      <c r="M432" s="10" t="n">
        <v>35</v>
      </c>
      <c r="N432" s="11" t="n">
        <v>9.9</v>
      </c>
      <c r="O432" s="18" t="s">
        <v>56</v>
      </c>
    </row>
    <row r="433" customFormat="false" ht="15" hidden="false" customHeight="false" outlineLevel="0" collapsed="false">
      <c r="A433" s="18" t="n">
        <v>147871988</v>
      </c>
      <c r="B433" s="10" t="n">
        <v>432</v>
      </c>
      <c r="C433" s="18" t="s">
        <v>43</v>
      </c>
      <c r="D433" s="15" t="s">
        <v>956</v>
      </c>
      <c r="E433" s="9" t="s">
        <v>217</v>
      </c>
      <c r="F433" s="9" t="s">
        <v>17</v>
      </c>
      <c r="G433" s="10" t="n">
        <v>2025</v>
      </c>
      <c r="H433" s="10" t="n">
        <v>10</v>
      </c>
      <c r="I433" s="19" t="n">
        <v>32400</v>
      </c>
      <c r="J433" s="19" t="n">
        <v>36000</v>
      </c>
      <c r="K433" s="10" t="n">
        <v>1800</v>
      </c>
      <c r="L433" s="10" t="n">
        <v>2730</v>
      </c>
      <c r="M433" s="10" t="n">
        <v>7</v>
      </c>
      <c r="N433" s="11" t="n">
        <v>10</v>
      </c>
      <c r="O433" s="18" t="s">
        <v>56</v>
      </c>
    </row>
    <row r="434" customFormat="false" ht="15" hidden="false" customHeight="false" outlineLevel="0" collapsed="false">
      <c r="A434" s="18" t="n">
        <v>147648741</v>
      </c>
      <c r="B434" s="10" t="n">
        <v>433</v>
      </c>
      <c r="C434" s="18" t="s">
        <v>43</v>
      </c>
      <c r="D434" s="9" t="s">
        <v>957</v>
      </c>
      <c r="E434" s="9" t="s">
        <v>958</v>
      </c>
      <c r="F434" s="9" t="s">
        <v>12</v>
      </c>
      <c r="G434" s="10" t="n">
        <v>2025</v>
      </c>
      <c r="H434" s="10" t="n">
        <v>10</v>
      </c>
      <c r="I434" s="19" t="n">
        <v>32400</v>
      </c>
      <c r="J434" s="19" t="n">
        <v>36000</v>
      </c>
      <c r="K434" s="10" t="n">
        <v>1800</v>
      </c>
      <c r="L434" s="10" t="n">
        <v>2418</v>
      </c>
      <c r="M434" s="10" t="n">
        <v>29</v>
      </c>
      <c r="N434" s="11" t="n">
        <v>9.9</v>
      </c>
      <c r="O434" s="18" t="s">
        <v>56</v>
      </c>
    </row>
    <row r="435" customFormat="false" ht="15" hidden="false" customHeight="false" outlineLevel="0" collapsed="false">
      <c r="A435" s="18" t="n">
        <v>147626022</v>
      </c>
      <c r="B435" s="10" t="n">
        <v>434</v>
      </c>
      <c r="C435" s="18" t="s">
        <v>43</v>
      </c>
      <c r="D435" s="9" t="s">
        <v>959</v>
      </c>
      <c r="E435" s="9" t="s">
        <v>960</v>
      </c>
      <c r="F435" s="9" t="s">
        <v>14</v>
      </c>
      <c r="G435" s="10" t="n">
        <v>2025</v>
      </c>
      <c r="H435" s="10" t="n">
        <v>10</v>
      </c>
      <c r="I435" s="19" t="n">
        <v>21600</v>
      </c>
      <c r="J435" s="19" t="n">
        <v>24000</v>
      </c>
      <c r="K435" s="10" t="n">
        <v>1200</v>
      </c>
      <c r="L435" s="10" t="n">
        <v>5124</v>
      </c>
      <c r="M435" s="10" t="n">
        <v>49</v>
      </c>
      <c r="N435" s="11" t="n">
        <v>9.7</v>
      </c>
      <c r="O435" s="18" t="s">
        <v>56</v>
      </c>
    </row>
    <row r="436" customFormat="false" ht="15" hidden="false" customHeight="false" outlineLevel="0" collapsed="false">
      <c r="A436" s="18" t="n">
        <v>147057325</v>
      </c>
      <c r="B436" s="10" t="n">
        <v>435</v>
      </c>
      <c r="C436" s="18" t="s">
        <v>43</v>
      </c>
      <c r="D436" s="9" t="s">
        <v>961</v>
      </c>
      <c r="E436" s="15" t="s">
        <v>962</v>
      </c>
      <c r="F436" s="15" t="s">
        <v>680</v>
      </c>
      <c r="G436" s="10" t="n">
        <v>2025</v>
      </c>
      <c r="H436" s="10" t="n">
        <v>5</v>
      </c>
      <c r="I436" s="19" t="n">
        <v>24220</v>
      </c>
      <c r="J436" s="19" t="n">
        <v>25500</v>
      </c>
      <c r="K436" s="10" t="n">
        <v>760</v>
      </c>
      <c r="L436" s="10" t="n">
        <v>1524</v>
      </c>
      <c r="M436" s="10" t="n">
        <v>2</v>
      </c>
      <c r="N436" s="11" t="n">
        <v>8</v>
      </c>
      <c r="O436" s="18" t="s">
        <v>56</v>
      </c>
    </row>
    <row r="437" customFormat="false" ht="15" hidden="false" customHeight="false" outlineLevel="0" collapsed="false">
      <c r="A437" s="18" t="n">
        <v>146929026</v>
      </c>
      <c r="B437" s="10" t="n">
        <v>436</v>
      </c>
      <c r="C437" s="18" t="s">
        <v>43</v>
      </c>
      <c r="D437" s="9" t="s">
        <v>963</v>
      </c>
      <c r="E437" s="9" t="s">
        <v>964</v>
      </c>
      <c r="F437" s="9" t="s">
        <v>64</v>
      </c>
      <c r="G437" s="10" t="n">
        <v>2025</v>
      </c>
      <c r="H437" s="10" t="n">
        <v>10</v>
      </c>
      <c r="I437" s="19" t="n">
        <v>20250</v>
      </c>
      <c r="J437" s="19" t="n">
        <v>22500</v>
      </c>
      <c r="K437" s="10" t="n">
        <v>1120</v>
      </c>
      <c r="L437" s="10" t="n">
        <v>2094</v>
      </c>
      <c r="M437" s="10" t="n">
        <v>10</v>
      </c>
      <c r="N437" s="11" t="n">
        <v>10</v>
      </c>
      <c r="O437" s="18" t="s">
        <v>56</v>
      </c>
    </row>
    <row r="438" customFormat="false" ht="15" hidden="false" customHeight="false" outlineLevel="0" collapsed="false">
      <c r="A438" s="18" t="n">
        <v>146704289</v>
      </c>
      <c r="B438" s="10" t="n">
        <v>437</v>
      </c>
      <c r="C438" s="18" t="s">
        <v>43</v>
      </c>
      <c r="D438" s="15" t="s">
        <v>965</v>
      </c>
      <c r="E438" s="9" t="s">
        <v>966</v>
      </c>
      <c r="F438" s="9" t="s">
        <v>967</v>
      </c>
      <c r="G438" s="10" t="n">
        <v>2025</v>
      </c>
      <c r="H438" s="10" t="n">
        <v>10</v>
      </c>
      <c r="I438" s="19" t="n">
        <v>22500</v>
      </c>
      <c r="J438" s="19" t="n">
        <v>25000</v>
      </c>
      <c r="K438" s="10" t="n">
        <v>1250</v>
      </c>
      <c r="L438" s="10" t="n">
        <v>3354</v>
      </c>
      <c r="M438" s="10" t="n">
        <v>4</v>
      </c>
      <c r="N438" s="11" t="n">
        <v>9</v>
      </c>
      <c r="O438" s="18" t="s">
        <v>56</v>
      </c>
    </row>
    <row r="439" customFormat="false" ht="15" hidden="false" customHeight="false" outlineLevel="0" collapsed="false">
      <c r="A439" s="18" t="n">
        <v>146051138</v>
      </c>
      <c r="B439" s="10" t="n">
        <v>438</v>
      </c>
      <c r="C439" s="18" t="s">
        <v>43</v>
      </c>
      <c r="D439" s="9" t="s">
        <v>968</v>
      </c>
      <c r="E439" s="9" t="s">
        <v>969</v>
      </c>
      <c r="F439" s="9" t="s">
        <v>14</v>
      </c>
      <c r="G439" s="10" t="n">
        <v>2025</v>
      </c>
      <c r="H439" s="10" t="n">
        <v>10</v>
      </c>
      <c r="I439" s="19" t="n">
        <v>23400</v>
      </c>
      <c r="J439" s="19" t="n">
        <v>26000</v>
      </c>
      <c r="K439" s="10" t="n">
        <v>1300</v>
      </c>
      <c r="L439" s="10" t="n">
        <v>936</v>
      </c>
      <c r="M439" s="10" t="n">
        <v>20</v>
      </c>
      <c r="N439" s="11" t="n">
        <v>10</v>
      </c>
      <c r="O439" s="18" t="s">
        <v>56</v>
      </c>
    </row>
    <row r="440" customFormat="false" ht="15" hidden="false" customHeight="false" outlineLevel="0" collapsed="false">
      <c r="A440" s="18" t="n">
        <v>145632328</v>
      </c>
      <c r="B440" s="10" t="n">
        <v>439</v>
      </c>
      <c r="C440" s="18" t="s">
        <v>43</v>
      </c>
      <c r="D440" s="9" t="s">
        <v>970</v>
      </c>
      <c r="E440" s="9" t="s">
        <v>53</v>
      </c>
      <c r="F440" s="9" t="s">
        <v>12</v>
      </c>
      <c r="G440" s="10" t="n">
        <v>2025</v>
      </c>
      <c r="H440" s="10" t="n">
        <v>10</v>
      </c>
      <c r="I440" s="19" t="n">
        <v>26100</v>
      </c>
      <c r="J440" s="19" t="n">
        <v>29000</v>
      </c>
      <c r="K440" s="10" t="n">
        <v>1450</v>
      </c>
      <c r="L440" s="10" t="n">
        <v>2220</v>
      </c>
      <c r="M440" s="10" t="n">
        <v>10</v>
      </c>
      <c r="N440" s="11" t="n">
        <v>8.6</v>
      </c>
      <c r="O440" s="18" t="s">
        <v>56</v>
      </c>
    </row>
    <row r="441" customFormat="false" ht="15" hidden="false" customHeight="false" outlineLevel="0" collapsed="false">
      <c r="A441" s="18" t="n">
        <v>145343581</v>
      </c>
      <c r="B441" s="10" t="n">
        <v>440</v>
      </c>
      <c r="C441" s="18" t="s">
        <v>43</v>
      </c>
      <c r="D441" s="9" t="s">
        <v>971</v>
      </c>
      <c r="E441" s="9" t="s">
        <v>450</v>
      </c>
      <c r="F441" s="9" t="s">
        <v>100</v>
      </c>
      <c r="G441" s="10" t="n">
        <v>2025</v>
      </c>
      <c r="H441" s="10" t="n">
        <v>10</v>
      </c>
      <c r="I441" s="19" t="n">
        <v>18000</v>
      </c>
      <c r="J441" s="19" t="n">
        <v>20000</v>
      </c>
      <c r="K441" s="10" t="n">
        <v>1000</v>
      </c>
      <c r="L441" s="10" t="n">
        <v>4032</v>
      </c>
      <c r="M441" s="10" t="n">
        <v>12</v>
      </c>
      <c r="N441" s="11" t="n">
        <v>9.5</v>
      </c>
      <c r="O441" s="18" t="s">
        <v>56</v>
      </c>
    </row>
    <row r="442" customFormat="false" ht="15" hidden="false" customHeight="false" outlineLevel="0" collapsed="false">
      <c r="A442" s="18" t="n">
        <v>144980037</v>
      </c>
      <c r="B442" s="10" t="n">
        <v>441</v>
      </c>
      <c r="C442" s="18" t="s">
        <v>43</v>
      </c>
      <c r="D442" s="9" t="s">
        <v>972</v>
      </c>
      <c r="E442" s="9" t="s">
        <v>973</v>
      </c>
      <c r="F442" s="9" t="s">
        <v>23</v>
      </c>
      <c r="G442" s="10" t="n">
        <v>2025</v>
      </c>
      <c r="H442" s="10" t="n">
        <v>10</v>
      </c>
      <c r="I442" s="19" t="n">
        <v>29700</v>
      </c>
      <c r="J442" s="19" t="n">
        <v>33000</v>
      </c>
      <c r="K442" s="10" t="n">
        <v>1650</v>
      </c>
      <c r="L442" s="10" t="n">
        <v>606</v>
      </c>
      <c r="M442" s="10" t="n">
        <v>11</v>
      </c>
      <c r="N442" s="11" t="n">
        <v>9.5</v>
      </c>
      <c r="O442" s="18" t="s">
        <v>56</v>
      </c>
    </row>
    <row r="443" customFormat="false" ht="15" hidden="false" customHeight="false" outlineLevel="0" collapsed="false">
      <c r="A443" s="18" t="n">
        <v>144690322</v>
      </c>
      <c r="B443" s="10" t="n">
        <v>442</v>
      </c>
      <c r="C443" s="18" t="s">
        <v>43</v>
      </c>
      <c r="D443" s="9" t="s">
        <v>974</v>
      </c>
      <c r="E443" s="9" t="s">
        <v>903</v>
      </c>
      <c r="F443" s="9" t="s">
        <v>544</v>
      </c>
      <c r="G443" s="10" t="n">
        <v>2025</v>
      </c>
      <c r="H443" s="10" t="n">
        <v>10</v>
      </c>
      <c r="I443" s="19" t="n">
        <v>10800</v>
      </c>
      <c r="J443" s="19" t="n">
        <v>12000</v>
      </c>
      <c r="K443" s="10" t="n">
        <v>600</v>
      </c>
      <c r="L443" s="10" t="n">
        <v>1038</v>
      </c>
      <c r="M443" s="10" t="n">
        <v>11</v>
      </c>
      <c r="N443" s="11" t="n">
        <v>10</v>
      </c>
      <c r="O443" s="18" t="s">
        <v>56</v>
      </c>
    </row>
    <row r="444" customFormat="false" ht="15" hidden="false" customHeight="false" outlineLevel="0" collapsed="false">
      <c r="A444" s="18" t="n">
        <v>144132428</v>
      </c>
      <c r="B444" s="10" t="n">
        <v>443</v>
      </c>
      <c r="C444" s="18" t="s">
        <v>43</v>
      </c>
      <c r="D444" s="9" t="s">
        <v>975</v>
      </c>
      <c r="E444" s="9" t="s">
        <v>976</v>
      </c>
      <c r="F444" s="9" t="s">
        <v>977</v>
      </c>
      <c r="G444" s="10" t="n">
        <v>2025</v>
      </c>
      <c r="H444" s="10" t="n">
        <v>10</v>
      </c>
      <c r="I444" s="19" t="n">
        <v>21150</v>
      </c>
      <c r="J444" s="19" t="n">
        <v>23500</v>
      </c>
      <c r="K444" s="10" t="n">
        <v>1170</v>
      </c>
      <c r="L444" s="10" t="n">
        <v>330</v>
      </c>
      <c r="M444" s="10" t="n">
        <v>6</v>
      </c>
      <c r="N444" s="11" t="n">
        <v>8</v>
      </c>
      <c r="O444" s="18" t="s">
        <v>56</v>
      </c>
    </row>
    <row r="445" customFormat="false" ht="15" hidden="false" customHeight="false" outlineLevel="0" collapsed="false">
      <c r="A445" s="18" t="n">
        <v>144129260</v>
      </c>
      <c r="B445" s="10" t="n">
        <v>444</v>
      </c>
      <c r="C445" s="18" t="s">
        <v>43</v>
      </c>
      <c r="D445" s="9" t="s">
        <v>978</v>
      </c>
      <c r="E445" s="9" t="s">
        <v>979</v>
      </c>
      <c r="F445" s="9" t="s">
        <v>259</v>
      </c>
      <c r="G445" s="10" t="n">
        <v>2025</v>
      </c>
      <c r="H445" s="10" t="n">
        <v>10</v>
      </c>
      <c r="I445" s="19" t="n">
        <v>14400</v>
      </c>
      <c r="J445" s="19" t="n">
        <v>16000</v>
      </c>
      <c r="K445" s="10" t="n">
        <v>800</v>
      </c>
      <c r="L445" s="10" t="n">
        <v>1824</v>
      </c>
      <c r="M445" s="10" t="n">
        <v>15</v>
      </c>
      <c r="N445" s="11" t="n">
        <v>9.6</v>
      </c>
      <c r="O445" s="18" t="s">
        <v>56</v>
      </c>
    </row>
    <row r="446" customFormat="false" ht="15" hidden="false" customHeight="false" outlineLevel="0" collapsed="false">
      <c r="A446" s="18" t="n">
        <v>144043886</v>
      </c>
      <c r="B446" s="10" t="n">
        <v>445</v>
      </c>
      <c r="C446" s="18" t="s">
        <v>43</v>
      </c>
      <c r="D446" s="9" t="s">
        <v>980</v>
      </c>
      <c r="E446" s="9" t="s">
        <v>981</v>
      </c>
      <c r="F446" s="9" t="s">
        <v>982</v>
      </c>
      <c r="G446" s="10" t="n">
        <v>2025</v>
      </c>
      <c r="H446" s="10" t="n">
        <v>10</v>
      </c>
      <c r="I446" s="19" t="n">
        <v>19800</v>
      </c>
      <c r="J446" s="19" t="n">
        <v>22000</v>
      </c>
      <c r="K446" s="10" t="n">
        <v>1100</v>
      </c>
      <c r="L446" s="10" t="n">
        <v>1998</v>
      </c>
      <c r="M446" s="10" t="n">
        <v>9</v>
      </c>
      <c r="N446" s="11" t="n">
        <v>9.8</v>
      </c>
      <c r="O446" s="18" t="s">
        <v>56</v>
      </c>
    </row>
    <row r="447" customFormat="false" ht="15" hidden="false" customHeight="false" outlineLevel="0" collapsed="false">
      <c r="A447" s="18" t="n">
        <v>144043578</v>
      </c>
      <c r="B447" s="10" t="n">
        <v>446</v>
      </c>
      <c r="C447" s="18" t="s">
        <v>43</v>
      </c>
      <c r="D447" s="15" t="s">
        <v>983</v>
      </c>
      <c r="E447" s="9" t="s">
        <v>563</v>
      </c>
      <c r="F447" s="9" t="s">
        <v>564</v>
      </c>
      <c r="G447" s="10" t="n">
        <v>2025</v>
      </c>
      <c r="H447" s="10" t="n">
        <v>10</v>
      </c>
      <c r="I447" s="19" t="n">
        <v>19800</v>
      </c>
      <c r="J447" s="19" t="n">
        <v>22000</v>
      </c>
      <c r="K447" s="10" t="n">
        <v>1100</v>
      </c>
      <c r="L447" s="10" t="n">
        <v>1026</v>
      </c>
      <c r="M447" s="10" t="n">
        <v>12</v>
      </c>
      <c r="N447" s="11" t="n">
        <v>10</v>
      </c>
      <c r="O447" s="18" t="s">
        <v>56</v>
      </c>
    </row>
    <row r="448" customFormat="false" ht="15" hidden="false" customHeight="false" outlineLevel="0" collapsed="false">
      <c r="A448" s="18" t="n">
        <v>143539772</v>
      </c>
      <c r="B448" s="10" t="n">
        <v>447</v>
      </c>
      <c r="C448" s="18" t="s">
        <v>43</v>
      </c>
      <c r="D448" s="9" t="s">
        <v>984</v>
      </c>
      <c r="E448" s="9" t="s">
        <v>985</v>
      </c>
      <c r="F448" s="9" t="s">
        <v>64</v>
      </c>
      <c r="G448" s="10" t="n">
        <v>2025</v>
      </c>
      <c r="H448" s="10" t="n">
        <v>10</v>
      </c>
      <c r="I448" s="19" t="n">
        <v>19800</v>
      </c>
      <c r="J448" s="19" t="n">
        <v>22000</v>
      </c>
      <c r="K448" s="10" t="n">
        <v>1100</v>
      </c>
      <c r="L448" s="10" t="n">
        <v>2598</v>
      </c>
      <c r="M448" s="10" t="n">
        <v>1</v>
      </c>
      <c r="N448" s="11" t="n">
        <v>10</v>
      </c>
      <c r="O448" s="18" t="s">
        <v>56</v>
      </c>
    </row>
    <row r="449" customFormat="false" ht="15" hidden="false" customHeight="false" outlineLevel="0" collapsed="false">
      <c r="A449" s="18" t="n">
        <v>143533211</v>
      </c>
      <c r="B449" s="10" t="n">
        <v>448</v>
      </c>
      <c r="C449" s="18" t="s">
        <v>43</v>
      </c>
      <c r="D449" s="9" t="s">
        <v>986</v>
      </c>
      <c r="E449" s="9" t="s">
        <v>987</v>
      </c>
      <c r="F449" s="9" t="s">
        <v>19</v>
      </c>
      <c r="G449" s="10" t="n">
        <v>2025</v>
      </c>
      <c r="H449" s="10" t="n">
        <v>10</v>
      </c>
      <c r="I449" s="19" t="n">
        <v>25200</v>
      </c>
      <c r="J449" s="19" t="n">
        <v>28000</v>
      </c>
      <c r="K449" s="10" t="n">
        <v>1400</v>
      </c>
      <c r="L449" s="10" t="n">
        <v>3885</v>
      </c>
      <c r="M449" s="10" t="n">
        <v>6</v>
      </c>
      <c r="N449" s="11" t="n">
        <v>10</v>
      </c>
      <c r="O449" s="18" t="s">
        <v>56</v>
      </c>
    </row>
    <row r="450" customFormat="false" ht="15" hidden="false" customHeight="false" outlineLevel="0" collapsed="false">
      <c r="A450" s="18" t="n">
        <v>143492268</v>
      </c>
      <c r="B450" s="10" t="n">
        <v>449</v>
      </c>
      <c r="C450" s="18" t="s">
        <v>43</v>
      </c>
      <c r="D450" s="9" t="s">
        <v>988</v>
      </c>
      <c r="E450" s="9" t="s">
        <v>989</v>
      </c>
      <c r="F450" s="9" t="s">
        <v>831</v>
      </c>
      <c r="G450" s="10" t="n">
        <v>2025</v>
      </c>
      <c r="H450" s="10" t="n">
        <v>10</v>
      </c>
      <c r="I450" s="19" t="n">
        <v>12600</v>
      </c>
      <c r="J450" s="19" t="n">
        <v>14000</v>
      </c>
      <c r="K450" s="10" t="n">
        <v>700</v>
      </c>
      <c r="L450" s="10" t="n">
        <v>1230</v>
      </c>
      <c r="M450" s="10" t="n">
        <v>0</v>
      </c>
      <c r="N450" s="11" t="n">
        <v>0</v>
      </c>
      <c r="O450" s="18" t="s">
        <v>56</v>
      </c>
    </row>
    <row r="451" customFormat="false" ht="15" hidden="false" customHeight="false" outlineLevel="0" collapsed="false">
      <c r="A451" s="18" t="n">
        <v>143372817</v>
      </c>
      <c r="B451" s="10" t="n">
        <v>450</v>
      </c>
      <c r="C451" s="18" t="s">
        <v>43</v>
      </c>
      <c r="D451" s="9" t="s">
        <v>990</v>
      </c>
      <c r="E451" s="9" t="s">
        <v>991</v>
      </c>
      <c r="F451" s="9" t="s">
        <v>992</v>
      </c>
      <c r="G451" s="10" t="n">
        <v>2025</v>
      </c>
      <c r="H451" s="10" t="n">
        <v>10</v>
      </c>
      <c r="I451" s="19" t="n">
        <v>23400</v>
      </c>
      <c r="J451" s="19" t="n">
        <v>26000</v>
      </c>
      <c r="K451" s="10" t="n">
        <v>1300</v>
      </c>
      <c r="L451" s="10" t="n">
        <v>672</v>
      </c>
      <c r="M451" s="10" t="n">
        <v>6</v>
      </c>
      <c r="N451" s="11" t="n">
        <v>8.7</v>
      </c>
      <c r="O451" s="18" t="s">
        <v>56</v>
      </c>
    </row>
    <row r="452" customFormat="false" ht="15" hidden="false" customHeight="false" outlineLevel="0" collapsed="false">
      <c r="A452" s="18" t="n">
        <v>143251916</v>
      </c>
      <c r="B452" s="10" t="n">
        <v>451</v>
      </c>
      <c r="C452" s="18" t="s">
        <v>43</v>
      </c>
      <c r="D452" s="9" t="s">
        <v>993</v>
      </c>
      <c r="E452" s="9" t="s">
        <v>994</v>
      </c>
      <c r="F452" s="9" t="s">
        <v>19</v>
      </c>
      <c r="G452" s="10" t="n">
        <v>2025</v>
      </c>
      <c r="H452" s="10" t="n">
        <v>10</v>
      </c>
      <c r="I452" s="19" t="n">
        <v>19800</v>
      </c>
      <c r="J452" s="19" t="n">
        <v>22000</v>
      </c>
      <c r="K452" s="10" t="n">
        <v>1100</v>
      </c>
      <c r="L452" s="10" t="n">
        <v>888</v>
      </c>
      <c r="M452" s="10" t="n">
        <v>0</v>
      </c>
      <c r="N452" s="11" t="n">
        <v>0</v>
      </c>
      <c r="O452" s="18" t="s">
        <v>56</v>
      </c>
    </row>
    <row r="453" customFormat="false" ht="15" hidden="false" customHeight="false" outlineLevel="0" collapsed="false">
      <c r="A453" s="18" t="n">
        <v>142814138</v>
      </c>
      <c r="B453" s="10" t="n">
        <v>452</v>
      </c>
      <c r="C453" s="18" t="s">
        <v>43</v>
      </c>
      <c r="D453" s="9" t="s">
        <v>995</v>
      </c>
      <c r="E453" s="9" t="s">
        <v>296</v>
      </c>
      <c r="F453" s="9" t="s">
        <v>17</v>
      </c>
      <c r="G453" s="10" t="n">
        <v>2025</v>
      </c>
      <c r="H453" s="10" t="n">
        <v>10</v>
      </c>
      <c r="I453" s="19" t="n">
        <v>17820</v>
      </c>
      <c r="J453" s="19" t="n">
        <v>19800</v>
      </c>
      <c r="K453" s="10" t="n">
        <v>990</v>
      </c>
      <c r="L453" s="10" t="n">
        <v>16920</v>
      </c>
      <c r="M453" s="10" t="n">
        <v>39</v>
      </c>
      <c r="N453" s="11" t="n">
        <v>10</v>
      </c>
      <c r="O453" s="18" t="s">
        <v>56</v>
      </c>
    </row>
    <row r="454" customFormat="false" ht="15" hidden="false" customHeight="false" outlineLevel="0" collapsed="false">
      <c r="A454" s="18" t="n">
        <v>142572387</v>
      </c>
      <c r="B454" s="10" t="n">
        <v>453</v>
      </c>
      <c r="C454" s="18" t="s">
        <v>43</v>
      </c>
      <c r="D454" s="9" t="s">
        <v>996</v>
      </c>
      <c r="E454" s="9" t="s">
        <v>997</v>
      </c>
      <c r="F454" s="9" t="s">
        <v>544</v>
      </c>
      <c r="G454" s="10" t="n">
        <v>2025</v>
      </c>
      <c r="H454" s="10" t="n">
        <v>10</v>
      </c>
      <c r="I454" s="19" t="n">
        <v>17100</v>
      </c>
      <c r="J454" s="19" t="n">
        <v>19000</v>
      </c>
      <c r="K454" s="10" t="n">
        <v>950</v>
      </c>
      <c r="L454" s="10" t="n">
        <v>2847</v>
      </c>
      <c r="M454" s="10" t="n">
        <v>13</v>
      </c>
      <c r="N454" s="11" t="n">
        <v>9.8</v>
      </c>
      <c r="O454" s="18" t="s">
        <v>56</v>
      </c>
    </row>
    <row r="455" customFormat="false" ht="15" hidden="false" customHeight="false" outlineLevel="0" collapsed="false">
      <c r="A455" s="18" t="n">
        <v>142557036</v>
      </c>
      <c r="B455" s="10" t="n">
        <v>454</v>
      </c>
      <c r="C455" s="18" t="s">
        <v>43</v>
      </c>
      <c r="D455" s="9" t="s">
        <v>998</v>
      </c>
      <c r="E455" s="9" t="s">
        <v>999</v>
      </c>
      <c r="F455" s="9" t="s">
        <v>422</v>
      </c>
      <c r="G455" s="10" t="n">
        <v>2025</v>
      </c>
      <c r="H455" s="10" t="n">
        <v>10</v>
      </c>
      <c r="I455" s="19" t="n">
        <v>40500</v>
      </c>
      <c r="J455" s="19" t="n">
        <v>45000</v>
      </c>
      <c r="K455" s="10" t="n">
        <v>2250</v>
      </c>
      <c r="L455" s="10" t="n">
        <v>642</v>
      </c>
      <c r="M455" s="10" t="n">
        <v>3</v>
      </c>
      <c r="N455" s="11" t="n">
        <v>8</v>
      </c>
      <c r="O455" s="18" t="s">
        <v>56</v>
      </c>
    </row>
    <row r="456" customFormat="false" ht="15" hidden="false" customHeight="false" outlineLevel="0" collapsed="false">
      <c r="A456" s="18" t="n">
        <v>141892324</v>
      </c>
      <c r="B456" s="10" t="n">
        <v>455</v>
      </c>
      <c r="C456" s="18" t="s">
        <v>43</v>
      </c>
      <c r="D456" s="9" t="s">
        <v>1000</v>
      </c>
      <c r="E456" s="9" t="s">
        <v>1001</v>
      </c>
      <c r="F456" s="9" t="s">
        <v>1002</v>
      </c>
      <c r="G456" s="10" t="n">
        <v>2025</v>
      </c>
      <c r="H456" s="10" t="n">
        <v>10</v>
      </c>
      <c r="I456" s="19" t="n">
        <v>28800</v>
      </c>
      <c r="J456" s="19" t="n">
        <v>32000</v>
      </c>
      <c r="K456" s="10" t="n">
        <v>1600</v>
      </c>
      <c r="L456" s="10" t="n">
        <v>1056</v>
      </c>
      <c r="M456" s="10" t="n">
        <v>0</v>
      </c>
      <c r="N456" s="11" t="n">
        <v>0</v>
      </c>
      <c r="O456" s="18" t="s">
        <v>56</v>
      </c>
    </row>
    <row r="457" customFormat="false" ht="15" hidden="false" customHeight="false" outlineLevel="0" collapsed="false">
      <c r="A457" s="18" t="n">
        <v>140977612</v>
      </c>
      <c r="B457" s="10" t="n">
        <v>456</v>
      </c>
      <c r="C457" s="18" t="s">
        <v>43</v>
      </c>
      <c r="D457" s="9" t="s">
        <v>1003</v>
      </c>
      <c r="E457" s="9" t="s">
        <v>1004</v>
      </c>
      <c r="F457" s="9" t="s">
        <v>552</v>
      </c>
      <c r="G457" s="10" t="n">
        <v>2025</v>
      </c>
      <c r="H457" s="10" t="n">
        <v>10</v>
      </c>
      <c r="I457" s="19" t="n">
        <v>24750</v>
      </c>
      <c r="J457" s="19" t="n">
        <v>27500</v>
      </c>
      <c r="K457" s="10" t="n">
        <v>1370</v>
      </c>
      <c r="L457" s="10" t="n">
        <v>618</v>
      </c>
      <c r="M457" s="10" t="n">
        <v>30</v>
      </c>
      <c r="N457" s="11" t="n">
        <v>9.9</v>
      </c>
      <c r="O457" s="18" t="s">
        <v>56</v>
      </c>
    </row>
    <row r="458" customFormat="false" ht="15" hidden="false" customHeight="false" outlineLevel="0" collapsed="false">
      <c r="A458" s="18" t="n">
        <v>140456813</v>
      </c>
      <c r="B458" s="10" t="n">
        <v>457</v>
      </c>
      <c r="C458" s="18" t="s">
        <v>43</v>
      </c>
      <c r="D458" s="9" t="s">
        <v>1005</v>
      </c>
      <c r="E458" s="9" t="s">
        <v>1006</v>
      </c>
      <c r="F458" s="9" t="s">
        <v>12</v>
      </c>
      <c r="G458" s="10" t="n">
        <v>2025</v>
      </c>
      <c r="H458" s="10" t="n">
        <v>10</v>
      </c>
      <c r="I458" s="19" t="n">
        <v>23400</v>
      </c>
      <c r="J458" s="19" t="n">
        <v>26000</v>
      </c>
      <c r="K458" s="10" t="n">
        <v>1300</v>
      </c>
      <c r="L458" s="10" t="n">
        <v>846</v>
      </c>
      <c r="M458" s="10" t="n">
        <v>18</v>
      </c>
      <c r="N458" s="11" t="n">
        <v>10</v>
      </c>
      <c r="O458" s="18" t="s">
        <v>56</v>
      </c>
    </row>
    <row r="459" customFormat="false" ht="15" hidden="false" customHeight="false" outlineLevel="0" collapsed="false">
      <c r="A459" s="18" t="n">
        <v>140256885</v>
      </c>
      <c r="B459" s="10" t="n">
        <v>458</v>
      </c>
      <c r="C459" s="18" t="s">
        <v>43</v>
      </c>
      <c r="D459" s="9" t="s">
        <v>1007</v>
      </c>
      <c r="E459" s="9" t="s">
        <v>1008</v>
      </c>
      <c r="F459" s="9" t="s">
        <v>19</v>
      </c>
      <c r="G459" s="10" t="n">
        <v>2025</v>
      </c>
      <c r="H459" s="10" t="n">
        <v>10</v>
      </c>
      <c r="I459" s="19" t="n">
        <v>32400</v>
      </c>
      <c r="J459" s="19" t="n">
        <v>36000</v>
      </c>
      <c r="K459" s="10" t="n">
        <v>1800</v>
      </c>
      <c r="L459" s="10" t="n">
        <v>1140</v>
      </c>
      <c r="M459" s="10" t="n">
        <v>4</v>
      </c>
      <c r="N459" s="11" t="n">
        <v>10</v>
      </c>
      <c r="O459" s="18" t="s">
        <v>56</v>
      </c>
    </row>
    <row r="460" customFormat="false" ht="15" hidden="false" customHeight="false" outlineLevel="0" collapsed="false">
      <c r="A460" s="18" t="n">
        <v>140186472</v>
      </c>
      <c r="B460" s="10" t="n">
        <v>459</v>
      </c>
      <c r="C460" s="18" t="s">
        <v>43</v>
      </c>
      <c r="D460" s="9" t="s">
        <v>1009</v>
      </c>
      <c r="E460" s="9" t="s">
        <v>1010</v>
      </c>
      <c r="F460" s="9" t="s">
        <v>308</v>
      </c>
      <c r="G460" s="10" t="n">
        <v>2024</v>
      </c>
      <c r="H460" s="10" t="n">
        <v>10</v>
      </c>
      <c r="I460" s="19" t="n">
        <v>27000</v>
      </c>
      <c r="J460" s="19" t="n">
        <v>30000</v>
      </c>
      <c r="K460" s="10" t="n">
        <v>1500</v>
      </c>
      <c r="L460" s="10" t="n">
        <v>156</v>
      </c>
      <c r="M460" s="10" t="n">
        <v>7</v>
      </c>
      <c r="N460" s="11" t="n">
        <v>10</v>
      </c>
      <c r="O460" s="18" t="s">
        <v>56</v>
      </c>
    </row>
    <row r="461" customFormat="false" ht="15" hidden="false" customHeight="false" outlineLevel="0" collapsed="false">
      <c r="A461" s="18" t="n">
        <v>140042388</v>
      </c>
      <c r="B461" s="10" t="n">
        <v>460</v>
      </c>
      <c r="C461" s="18" t="s">
        <v>43</v>
      </c>
      <c r="D461" s="9" t="s">
        <v>1011</v>
      </c>
      <c r="E461" s="9" t="s">
        <v>1012</v>
      </c>
      <c r="F461" s="9" t="s">
        <v>311</v>
      </c>
      <c r="G461" s="10" t="n">
        <v>2024</v>
      </c>
      <c r="H461" s="10" t="n">
        <v>0</v>
      </c>
      <c r="I461" s="19" t="n">
        <v>42000</v>
      </c>
      <c r="J461" s="19" t="n">
        <v>42000</v>
      </c>
      <c r="K461" s="10" t="n">
        <v>0</v>
      </c>
      <c r="L461" s="10" t="n">
        <v>1056</v>
      </c>
      <c r="M461" s="10" t="n">
        <v>1</v>
      </c>
      <c r="N461" s="11" t="n">
        <v>10</v>
      </c>
      <c r="O461" s="18" t="s">
        <v>56</v>
      </c>
    </row>
    <row r="462" customFormat="false" ht="15" hidden="false" customHeight="false" outlineLevel="0" collapsed="false">
      <c r="A462" s="18" t="n">
        <v>139859964</v>
      </c>
      <c r="B462" s="10" t="n">
        <v>461</v>
      </c>
      <c r="C462" s="18" t="s">
        <v>43</v>
      </c>
      <c r="D462" s="9" t="s">
        <v>1013</v>
      </c>
      <c r="E462" s="15" t="s">
        <v>696</v>
      </c>
      <c r="F462" s="9" t="s">
        <v>23</v>
      </c>
      <c r="G462" s="10" t="n">
        <v>2024</v>
      </c>
      <c r="H462" s="10" t="n">
        <v>10</v>
      </c>
      <c r="I462" s="19" t="n">
        <v>10800</v>
      </c>
      <c r="J462" s="19" t="n">
        <v>12000</v>
      </c>
      <c r="K462" s="10" t="n">
        <v>600</v>
      </c>
      <c r="L462" s="10" t="n">
        <v>1230</v>
      </c>
      <c r="M462" s="10" t="n">
        <v>5</v>
      </c>
      <c r="N462" s="11" t="n">
        <v>10</v>
      </c>
      <c r="O462" s="18" t="s">
        <v>56</v>
      </c>
    </row>
    <row r="463" customFormat="false" ht="15" hidden="false" customHeight="false" outlineLevel="0" collapsed="false">
      <c r="A463" s="18" t="n">
        <v>139563085</v>
      </c>
      <c r="B463" s="10" t="n">
        <v>462</v>
      </c>
      <c r="C463" s="18" t="s">
        <v>43</v>
      </c>
      <c r="D463" s="15" t="s">
        <v>1014</v>
      </c>
      <c r="E463" s="9" t="s">
        <v>595</v>
      </c>
      <c r="F463" s="9" t="s">
        <v>596</v>
      </c>
      <c r="G463" s="10" t="n">
        <v>2024</v>
      </c>
      <c r="H463" s="10" t="n">
        <v>10</v>
      </c>
      <c r="I463" s="19" t="n">
        <v>16200</v>
      </c>
      <c r="J463" s="19" t="n">
        <v>18000</v>
      </c>
      <c r="K463" s="10" t="n">
        <v>900</v>
      </c>
      <c r="L463" s="10" t="n">
        <v>1128</v>
      </c>
      <c r="M463" s="10" t="n">
        <v>14</v>
      </c>
      <c r="N463" s="11" t="n">
        <v>9.6</v>
      </c>
      <c r="O463" s="18" t="s">
        <v>56</v>
      </c>
    </row>
    <row r="464" customFormat="false" ht="15" hidden="false" customHeight="false" outlineLevel="0" collapsed="false">
      <c r="A464" s="18" t="n">
        <v>138798290</v>
      </c>
      <c r="B464" s="10" t="n">
        <v>463</v>
      </c>
      <c r="C464" s="18" t="s">
        <v>43</v>
      </c>
      <c r="D464" s="15" t="s">
        <v>1015</v>
      </c>
      <c r="E464" s="9" t="s">
        <v>1016</v>
      </c>
      <c r="F464" s="9" t="s">
        <v>422</v>
      </c>
      <c r="G464" s="10" t="n">
        <v>2024</v>
      </c>
      <c r="H464" s="10" t="n">
        <v>10</v>
      </c>
      <c r="I464" s="19" t="n">
        <v>34200</v>
      </c>
      <c r="J464" s="19" t="n">
        <v>38000</v>
      </c>
      <c r="K464" s="10" t="n">
        <v>1900</v>
      </c>
      <c r="L464" s="10" t="n">
        <v>948</v>
      </c>
      <c r="M464" s="10" t="n">
        <v>8</v>
      </c>
      <c r="N464" s="11" t="n">
        <v>7.5</v>
      </c>
      <c r="O464" s="18" t="s">
        <v>56</v>
      </c>
    </row>
    <row r="465" customFormat="false" ht="15" hidden="false" customHeight="false" outlineLevel="0" collapsed="false">
      <c r="A465" s="18" t="n">
        <v>138725294</v>
      </c>
      <c r="B465" s="10" t="n">
        <v>464</v>
      </c>
      <c r="C465" s="18" t="s">
        <v>43</v>
      </c>
      <c r="D465" s="9" t="s">
        <v>1017</v>
      </c>
      <c r="E465" s="9" t="s">
        <v>1018</v>
      </c>
      <c r="F465" s="9" t="s">
        <v>14</v>
      </c>
      <c r="G465" s="10" t="n">
        <v>2024</v>
      </c>
      <c r="H465" s="10" t="n">
        <v>10</v>
      </c>
      <c r="I465" s="19" t="n">
        <v>18000</v>
      </c>
      <c r="J465" s="19" t="n">
        <v>20000</v>
      </c>
      <c r="K465" s="10" t="n">
        <v>1000</v>
      </c>
      <c r="L465" s="10" t="n">
        <v>594</v>
      </c>
      <c r="M465" s="10" t="n">
        <v>12</v>
      </c>
      <c r="N465" s="11" t="n">
        <v>8.7</v>
      </c>
      <c r="O465" s="18" t="s">
        <v>56</v>
      </c>
    </row>
    <row r="466" customFormat="false" ht="15" hidden="false" customHeight="false" outlineLevel="0" collapsed="false">
      <c r="A466" s="18" t="n">
        <v>136548871</v>
      </c>
      <c r="B466" s="10" t="n">
        <v>465</v>
      </c>
      <c r="C466" s="18" t="s">
        <v>43</v>
      </c>
      <c r="D466" s="9" t="s">
        <v>1019</v>
      </c>
      <c r="E466" s="9" t="s">
        <v>1020</v>
      </c>
      <c r="F466" s="9" t="s">
        <v>982</v>
      </c>
      <c r="G466" s="10" t="n">
        <v>2024</v>
      </c>
      <c r="H466" s="10" t="n">
        <v>10</v>
      </c>
      <c r="I466" s="19" t="n">
        <v>23400</v>
      </c>
      <c r="J466" s="19" t="n">
        <v>26000</v>
      </c>
      <c r="K466" s="10" t="n">
        <v>1300</v>
      </c>
      <c r="L466" s="10" t="n">
        <v>1614</v>
      </c>
      <c r="M466" s="10" t="n">
        <v>22</v>
      </c>
      <c r="N466" s="11" t="n">
        <v>9.9</v>
      </c>
      <c r="O466" s="18" t="s">
        <v>56</v>
      </c>
    </row>
    <row r="467" customFormat="false" ht="15" hidden="false" customHeight="false" outlineLevel="0" collapsed="false">
      <c r="A467" s="18" t="n">
        <v>136371686</v>
      </c>
      <c r="B467" s="10" t="n">
        <v>466</v>
      </c>
      <c r="C467" s="18" t="s">
        <v>43</v>
      </c>
      <c r="D467" s="9" t="s">
        <v>1021</v>
      </c>
      <c r="E467" s="9" t="s">
        <v>1022</v>
      </c>
      <c r="F467" s="9" t="s">
        <v>1023</v>
      </c>
      <c r="G467" s="10" t="n">
        <v>2024</v>
      </c>
      <c r="H467" s="10" t="n">
        <v>10</v>
      </c>
      <c r="I467" s="19" t="n">
        <v>19620</v>
      </c>
      <c r="J467" s="19" t="n">
        <v>21800</v>
      </c>
      <c r="K467" s="10" t="n">
        <v>1090</v>
      </c>
      <c r="L467" s="10" t="n">
        <v>1512</v>
      </c>
      <c r="M467" s="10" t="n">
        <v>58</v>
      </c>
      <c r="N467" s="11" t="n">
        <v>9.9</v>
      </c>
      <c r="O467" s="18" t="s">
        <v>56</v>
      </c>
    </row>
    <row r="468" customFormat="false" ht="15" hidden="false" customHeight="false" outlineLevel="0" collapsed="false">
      <c r="A468" s="18" t="n">
        <v>135854770</v>
      </c>
      <c r="B468" s="10" t="n">
        <v>467</v>
      </c>
      <c r="C468" s="18" t="s">
        <v>43</v>
      </c>
      <c r="D468" s="9" t="s">
        <v>1024</v>
      </c>
      <c r="E468" s="9" t="s">
        <v>1025</v>
      </c>
      <c r="F468" s="9" t="s">
        <v>12</v>
      </c>
      <c r="G468" s="10" t="n">
        <v>2024</v>
      </c>
      <c r="H468" s="10" t="n">
        <v>10</v>
      </c>
      <c r="I468" s="19" t="n">
        <v>25200</v>
      </c>
      <c r="J468" s="19" t="n">
        <v>28000</v>
      </c>
      <c r="K468" s="10" t="n">
        <v>1400</v>
      </c>
      <c r="L468" s="10" t="n">
        <v>1392</v>
      </c>
      <c r="M468" s="10" t="n">
        <v>12</v>
      </c>
      <c r="N468" s="11" t="n">
        <v>9.7</v>
      </c>
      <c r="O468" s="18" t="s">
        <v>56</v>
      </c>
    </row>
    <row r="469" customFormat="false" ht="15" hidden="false" customHeight="false" outlineLevel="0" collapsed="false">
      <c r="A469" s="18" t="n">
        <v>135800272</v>
      </c>
      <c r="B469" s="10" t="n">
        <v>468</v>
      </c>
      <c r="C469" s="18" t="s">
        <v>43</v>
      </c>
      <c r="D469" s="9" t="s">
        <v>1026</v>
      </c>
      <c r="E469" s="9" t="s">
        <v>1027</v>
      </c>
      <c r="F469" s="9" t="s">
        <v>12</v>
      </c>
      <c r="G469" s="10" t="n">
        <v>2024</v>
      </c>
      <c r="H469" s="10" t="n">
        <v>10</v>
      </c>
      <c r="I469" s="19" t="n">
        <v>32400</v>
      </c>
      <c r="J469" s="19" t="n">
        <v>36000</v>
      </c>
      <c r="K469" s="10" t="n">
        <v>1800</v>
      </c>
      <c r="L469" s="10" t="n">
        <v>2466</v>
      </c>
      <c r="M469" s="10" t="n">
        <v>25</v>
      </c>
      <c r="N469" s="11" t="n">
        <v>9.7</v>
      </c>
      <c r="O469" s="18" t="s">
        <v>46</v>
      </c>
    </row>
    <row r="470" customFormat="false" ht="15" hidden="false" customHeight="false" outlineLevel="0" collapsed="false">
      <c r="A470" s="18" t="n">
        <v>135796323</v>
      </c>
      <c r="B470" s="10" t="n">
        <v>469</v>
      </c>
      <c r="C470" s="18" t="s">
        <v>43</v>
      </c>
      <c r="D470" s="9" t="s">
        <v>1028</v>
      </c>
      <c r="E470" s="9" t="s">
        <v>1029</v>
      </c>
      <c r="F470" s="9" t="s">
        <v>12</v>
      </c>
      <c r="G470" s="10" t="n">
        <v>2024</v>
      </c>
      <c r="H470" s="10" t="n">
        <v>10</v>
      </c>
      <c r="I470" s="19" t="n">
        <v>19800</v>
      </c>
      <c r="J470" s="19" t="n">
        <v>22000</v>
      </c>
      <c r="K470" s="10" t="n">
        <v>1100</v>
      </c>
      <c r="L470" s="10" t="n">
        <v>1308</v>
      </c>
      <c r="M470" s="10" t="n">
        <v>32</v>
      </c>
      <c r="N470" s="11" t="n">
        <v>9.5</v>
      </c>
      <c r="O470" s="18" t="s">
        <v>56</v>
      </c>
    </row>
    <row r="471" customFormat="false" ht="15" hidden="false" customHeight="false" outlineLevel="0" collapsed="false">
      <c r="A471" s="18" t="n">
        <v>135760031</v>
      </c>
      <c r="B471" s="10" t="n">
        <v>470</v>
      </c>
      <c r="C471" s="18" t="s">
        <v>43</v>
      </c>
      <c r="D471" s="9" t="s">
        <v>1030</v>
      </c>
      <c r="E471" s="9" t="s">
        <v>1031</v>
      </c>
      <c r="F471" s="9" t="s">
        <v>12</v>
      </c>
      <c r="G471" s="10" t="n">
        <v>2024</v>
      </c>
      <c r="H471" s="10" t="n">
        <v>10</v>
      </c>
      <c r="I471" s="19" t="n">
        <v>20700</v>
      </c>
      <c r="J471" s="19" t="n">
        <v>23000</v>
      </c>
      <c r="K471" s="10" t="n">
        <v>1150</v>
      </c>
      <c r="L471" s="10" t="n">
        <v>16704</v>
      </c>
      <c r="M471" s="10" t="n">
        <v>59</v>
      </c>
      <c r="N471" s="11" t="n">
        <v>9.7</v>
      </c>
      <c r="O471" s="18" t="s">
        <v>46</v>
      </c>
    </row>
    <row r="472" customFormat="false" ht="15" hidden="false" customHeight="false" outlineLevel="0" collapsed="false">
      <c r="A472" s="18" t="n">
        <v>135733019</v>
      </c>
      <c r="B472" s="10" t="n">
        <v>471</v>
      </c>
      <c r="C472" s="18" t="s">
        <v>43</v>
      </c>
      <c r="D472" s="9" t="s">
        <v>1032</v>
      </c>
      <c r="E472" s="9" t="s">
        <v>1033</v>
      </c>
      <c r="F472" s="9" t="s">
        <v>1034</v>
      </c>
      <c r="G472" s="10" t="n">
        <v>2024</v>
      </c>
      <c r="H472" s="10" t="n">
        <v>10</v>
      </c>
      <c r="I472" s="19" t="n">
        <v>27000</v>
      </c>
      <c r="J472" s="19" t="n">
        <v>30000</v>
      </c>
      <c r="K472" s="10" t="n">
        <v>1500</v>
      </c>
      <c r="L472" s="10" t="n">
        <v>2130</v>
      </c>
      <c r="M472" s="10" t="n">
        <v>0</v>
      </c>
      <c r="N472" s="11" t="n">
        <v>0</v>
      </c>
      <c r="O472" s="18" t="s">
        <v>56</v>
      </c>
    </row>
    <row r="473" customFormat="false" ht="15" hidden="false" customHeight="false" outlineLevel="0" collapsed="false">
      <c r="A473" s="18" t="n">
        <v>133873594</v>
      </c>
      <c r="B473" s="10" t="n">
        <v>472</v>
      </c>
      <c r="C473" s="18" t="s">
        <v>43</v>
      </c>
      <c r="D473" s="9" t="s">
        <v>1035</v>
      </c>
      <c r="E473" s="9" t="s">
        <v>1036</v>
      </c>
      <c r="F473" s="9" t="s">
        <v>23</v>
      </c>
      <c r="G473" s="10" t="n">
        <v>2024</v>
      </c>
      <c r="H473" s="10" t="n">
        <v>10</v>
      </c>
      <c r="I473" s="19" t="n">
        <v>19800</v>
      </c>
      <c r="J473" s="19" t="n">
        <v>22000</v>
      </c>
      <c r="K473" s="10" t="n">
        <v>1100</v>
      </c>
      <c r="L473" s="10" t="n">
        <v>1308</v>
      </c>
      <c r="M473" s="10" t="n">
        <v>21</v>
      </c>
      <c r="N473" s="11" t="n">
        <v>10</v>
      </c>
      <c r="O473" s="18" t="s">
        <v>56</v>
      </c>
    </row>
    <row r="474" customFormat="false" ht="15" hidden="false" customHeight="false" outlineLevel="0" collapsed="false">
      <c r="A474" s="18" t="n">
        <v>133846138</v>
      </c>
      <c r="B474" s="10" t="n">
        <v>473</v>
      </c>
      <c r="C474" s="18" t="s">
        <v>43</v>
      </c>
      <c r="D474" s="9" t="s">
        <v>1037</v>
      </c>
      <c r="E474" s="9" t="s">
        <v>48</v>
      </c>
      <c r="F474" s="9" t="s">
        <v>19</v>
      </c>
      <c r="G474" s="10" t="n">
        <v>2024</v>
      </c>
      <c r="H474" s="10" t="n">
        <v>10</v>
      </c>
      <c r="I474" s="19" t="n">
        <v>19800</v>
      </c>
      <c r="J474" s="19" t="n">
        <v>22000</v>
      </c>
      <c r="K474" s="10" t="n">
        <v>1100</v>
      </c>
      <c r="L474" s="10" t="n">
        <v>2526</v>
      </c>
      <c r="M474" s="10" t="n">
        <v>149</v>
      </c>
      <c r="N474" s="11" t="n">
        <v>9.6</v>
      </c>
      <c r="O474" s="18" t="s">
        <v>46</v>
      </c>
    </row>
    <row r="475" customFormat="false" ht="15" hidden="false" customHeight="false" outlineLevel="0" collapsed="false">
      <c r="A475" s="18" t="n">
        <v>130156178</v>
      </c>
      <c r="B475" s="10" t="n">
        <v>474</v>
      </c>
      <c r="C475" s="18" t="s">
        <v>43</v>
      </c>
      <c r="D475" s="15" t="s">
        <v>1038</v>
      </c>
      <c r="E475" s="9" t="s">
        <v>1039</v>
      </c>
      <c r="F475" s="9" t="s">
        <v>64</v>
      </c>
      <c r="G475" s="10" t="n">
        <v>2024</v>
      </c>
      <c r="H475" s="10" t="n">
        <v>10</v>
      </c>
      <c r="I475" s="19" t="n">
        <v>18900</v>
      </c>
      <c r="J475" s="19" t="n">
        <v>21000</v>
      </c>
      <c r="K475" s="10" t="n">
        <v>1050</v>
      </c>
      <c r="L475" s="10" t="n">
        <v>10584</v>
      </c>
      <c r="M475" s="10" t="n">
        <v>19</v>
      </c>
      <c r="N475" s="11" t="n">
        <v>9.9</v>
      </c>
      <c r="O475" s="18" t="s">
        <v>56</v>
      </c>
    </row>
    <row r="476" customFormat="false" ht="15" hidden="false" customHeight="false" outlineLevel="0" collapsed="false">
      <c r="A476" s="18" t="n">
        <v>129133723</v>
      </c>
      <c r="B476" s="10" t="n">
        <v>475</v>
      </c>
      <c r="C476" s="18" t="s">
        <v>43</v>
      </c>
      <c r="D476" s="15" t="s">
        <v>1040</v>
      </c>
      <c r="E476" s="9" t="s">
        <v>1041</v>
      </c>
      <c r="F476" s="9" t="s">
        <v>17</v>
      </c>
      <c r="G476" s="10" t="n">
        <v>2024</v>
      </c>
      <c r="H476" s="10" t="n">
        <v>10</v>
      </c>
      <c r="I476" s="19" t="n">
        <v>28800</v>
      </c>
      <c r="J476" s="19" t="n">
        <v>32000</v>
      </c>
      <c r="K476" s="10" t="n">
        <v>1600</v>
      </c>
      <c r="L476" s="10" t="n">
        <v>4056</v>
      </c>
      <c r="M476" s="10" t="n">
        <v>86</v>
      </c>
      <c r="N476" s="11" t="n">
        <v>9.6</v>
      </c>
      <c r="O476" s="18" t="s">
        <v>56</v>
      </c>
    </row>
    <row r="477" customFormat="false" ht="15" hidden="false" customHeight="false" outlineLevel="0" collapsed="false">
      <c r="A477" s="18" t="n">
        <v>129111891</v>
      </c>
      <c r="B477" s="10" t="n">
        <v>476</v>
      </c>
      <c r="C477" s="18" t="s">
        <v>43</v>
      </c>
      <c r="D477" s="15" t="s">
        <v>1042</v>
      </c>
      <c r="E477" s="9" t="s">
        <v>1043</v>
      </c>
      <c r="F477" s="9" t="s">
        <v>982</v>
      </c>
      <c r="G477" s="10" t="n">
        <v>2024</v>
      </c>
      <c r="H477" s="10" t="n">
        <v>10</v>
      </c>
      <c r="I477" s="19" t="n">
        <v>25200</v>
      </c>
      <c r="J477" s="19" t="n">
        <v>28000</v>
      </c>
      <c r="K477" s="10" t="n">
        <v>1400</v>
      </c>
      <c r="L477" s="10" t="n">
        <v>480</v>
      </c>
      <c r="M477" s="10" t="n">
        <v>9</v>
      </c>
      <c r="N477" s="11" t="n">
        <v>9.1</v>
      </c>
      <c r="O477" s="18" t="s">
        <v>56</v>
      </c>
    </row>
    <row r="478" customFormat="false" ht="15" hidden="false" customHeight="false" outlineLevel="0" collapsed="false">
      <c r="A478" s="18" t="n">
        <v>129081594</v>
      </c>
      <c r="B478" s="10" t="n">
        <v>477</v>
      </c>
      <c r="C478" s="18" t="s">
        <v>43</v>
      </c>
      <c r="D478" s="15" t="s">
        <v>1044</v>
      </c>
      <c r="E478" s="9" t="s">
        <v>1045</v>
      </c>
      <c r="F478" s="9" t="s">
        <v>88</v>
      </c>
      <c r="G478" s="10" t="n">
        <v>2024</v>
      </c>
      <c r="H478" s="10" t="n">
        <v>10</v>
      </c>
      <c r="I478" s="19" t="n">
        <v>28800</v>
      </c>
      <c r="J478" s="19" t="n">
        <v>32000</v>
      </c>
      <c r="K478" s="10" t="n">
        <v>1600</v>
      </c>
      <c r="L478" s="10" t="n">
        <v>4794</v>
      </c>
      <c r="M478" s="10" t="n">
        <v>31</v>
      </c>
      <c r="N478" s="11" t="n">
        <v>9.3</v>
      </c>
      <c r="O478" s="18" t="s">
        <v>46</v>
      </c>
    </row>
    <row r="479" customFormat="false" ht="15" hidden="false" customHeight="false" outlineLevel="0" collapsed="false">
      <c r="A479" s="18" t="n">
        <v>128725552</v>
      </c>
      <c r="B479" s="10" t="n">
        <v>478</v>
      </c>
      <c r="C479" s="18" t="s">
        <v>43</v>
      </c>
      <c r="D479" s="9" t="s">
        <v>1046</v>
      </c>
      <c r="E479" s="9" t="s">
        <v>1047</v>
      </c>
      <c r="F479" s="9" t="s">
        <v>17</v>
      </c>
      <c r="G479" s="10" t="n">
        <v>2024</v>
      </c>
      <c r="H479" s="10" t="n">
        <v>10</v>
      </c>
      <c r="I479" s="19" t="n">
        <v>16200</v>
      </c>
      <c r="J479" s="19" t="n">
        <v>18000</v>
      </c>
      <c r="K479" s="10" t="n">
        <v>900</v>
      </c>
      <c r="L479" s="10" t="n">
        <v>2400</v>
      </c>
      <c r="M479" s="10" t="n">
        <v>30</v>
      </c>
      <c r="N479" s="11" t="n">
        <v>9.9</v>
      </c>
      <c r="O479" s="18" t="s">
        <v>56</v>
      </c>
    </row>
    <row r="480" customFormat="false" ht="15" hidden="false" customHeight="false" outlineLevel="0" collapsed="false">
      <c r="A480" s="18" t="n">
        <v>128592953</v>
      </c>
      <c r="B480" s="10" t="n">
        <v>479</v>
      </c>
      <c r="C480" s="18" t="s">
        <v>43</v>
      </c>
      <c r="D480" s="15" t="s">
        <v>1048</v>
      </c>
      <c r="E480" s="9" t="s">
        <v>1049</v>
      </c>
      <c r="F480" s="9" t="s">
        <v>1050</v>
      </c>
      <c r="G480" s="10" t="n">
        <v>2024</v>
      </c>
      <c r="H480" s="10" t="n">
        <v>10</v>
      </c>
      <c r="I480" s="19" t="n">
        <v>24300</v>
      </c>
      <c r="J480" s="19" t="n">
        <v>27000</v>
      </c>
      <c r="K480" s="10" t="n">
        <v>1350</v>
      </c>
      <c r="L480" s="10" t="n">
        <v>1278</v>
      </c>
      <c r="M480" s="10" t="n">
        <v>9</v>
      </c>
      <c r="N480" s="11" t="n">
        <v>9.8</v>
      </c>
      <c r="O480" s="18" t="s">
        <v>56</v>
      </c>
    </row>
    <row r="481" customFormat="false" ht="15" hidden="false" customHeight="false" outlineLevel="0" collapsed="false">
      <c r="A481" s="18" t="n">
        <v>128218982</v>
      </c>
      <c r="B481" s="10" t="n">
        <v>480</v>
      </c>
      <c r="C481" s="18" t="s">
        <v>43</v>
      </c>
      <c r="D481" s="9" t="s">
        <v>1051</v>
      </c>
      <c r="E481" s="9" t="s">
        <v>1052</v>
      </c>
      <c r="F481" s="9" t="s">
        <v>100</v>
      </c>
      <c r="G481" s="10" t="n">
        <v>2024</v>
      </c>
      <c r="H481" s="10" t="n">
        <v>10</v>
      </c>
      <c r="I481" s="19" t="n">
        <v>25200</v>
      </c>
      <c r="J481" s="19" t="n">
        <v>28000</v>
      </c>
      <c r="K481" s="10" t="n">
        <v>1400</v>
      </c>
      <c r="L481" s="10" t="n">
        <v>216</v>
      </c>
      <c r="M481" s="10" t="n">
        <v>2</v>
      </c>
      <c r="N481" s="11" t="n">
        <v>10</v>
      </c>
      <c r="O481" s="18" t="s">
        <v>56</v>
      </c>
    </row>
    <row r="482" customFormat="false" ht="15" hidden="false" customHeight="false" outlineLevel="0" collapsed="false">
      <c r="A482" s="18" t="n">
        <v>128086010</v>
      </c>
      <c r="B482" s="10" t="n">
        <v>481</v>
      </c>
      <c r="C482" s="18" t="s">
        <v>43</v>
      </c>
      <c r="D482" s="9" t="s">
        <v>1053</v>
      </c>
      <c r="E482" s="9" t="s">
        <v>1054</v>
      </c>
      <c r="F482" s="9" t="s">
        <v>64</v>
      </c>
      <c r="G482" s="10" t="n">
        <v>2024</v>
      </c>
      <c r="H482" s="10" t="n">
        <v>10</v>
      </c>
      <c r="I482" s="19" t="n">
        <v>15030</v>
      </c>
      <c r="J482" s="19" t="n">
        <v>16700</v>
      </c>
      <c r="K482" s="10" t="n">
        <v>830</v>
      </c>
      <c r="L482" s="10" t="n">
        <v>420</v>
      </c>
      <c r="M482" s="10" t="n">
        <v>7</v>
      </c>
      <c r="N482" s="11" t="n">
        <v>9.4</v>
      </c>
      <c r="O482" s="18" t="s">
        <v>56</v>
      </c>
    </row>
    <row r="483" customFormat="false" ht="15" hidden="false" customHeight="false" outlineLevel="0" collapsed="false">
      <c r="A483" s="18" t="n">
        <v>126970158</v>
      </c>
      <c r="B483" s="10" t="n">
        <v>482</v>
      </c>
      <c r="C483" s="18" t="s">
        <v>43</v>
      </c>
      <c r="D483" s="9" t="s">
        <v>1055</v>
      </c>
      <c r="E483" s="9" t="s">
        <v>1056</v>
      </c>
      <c r="F483" s="9" t="s">
        <v>12</v>
      </c>
      <c r="G483" s="10" t="n">
        <v>2024</v>
      </c>
      <c r="H483" s="10" t="n">
        <v>10</v>
      </c>
      <c r="I483" s="19" t="n">
        <v>16200</v>
      </c>
      <c r="J483" s="19" t="n">
        <v>18000</v>
      </c>
      <c r="K483" s="10" t="n">
        <v>900</v>
      </c>
      <c r="L483" s="10" t="n">
        <v>1278</v>
      </c>
      <c r="M483" s="10" t="n">
        <v>36</v>
      </c>
      <c r="N483" s="11" t="n">
        <v>9.7</v>
      </c>
      <c r="O483" s="18" t="s">
        <v>56</v>
      </c>
    </row>
    <row r="484" customFormat="false" ht="15" hidden="false" customHeight="false" outlineLevel="0" collapsed="false">
      <c r="A484" s="18" t="n">
        <v>126871758</v>
      </c>
      <c r="B484" s="10" t="n">
        <v>483</v>
      </c>
      <c r="C484" s="18" t="s">
        <v>43</v>
      </c>
      <c r="D484" s="15" t="s">
        <v>1057</v>
      </c>
      <c r="E484" s="9" t="s">
        <v>1058</v>
      </c>
      <c r="F484" s="9" t="s">
        <v>17</v>
      </c>
      <c r="G484" s="10" t="n">
        <v>2024</v>
      </c>
      <c r="H484" s="10" t="n">
        <v>10</v>
      </c>
      <c r="I484" s="19" t="n">
        <v>20700</v>
      </c>
      <c r="J484" s="19" t="n">
        <v>23000</v>
      </c>
      <c r="K484" s="10" t="n">
        <v>1150</v>
      </c>
      <c r="L484" s="10" t="n">
        <v>3048</v>
      </c>
      <c r="M484" s="10" t="n">
        <v>17</v>
      </c>
      <c r="N484" s="11" t="n">
        <v>10</v>
      </c>
      <c r="O484" s="18" t="s">
        <v>56</v>
      </c>
    </row>
    <row r="485" customFormat="false" ht="15" hidden="false" customHeight="false" outlineLevel="0" collapsed="false">
      <c r="A485" s="18" t="n">
        <v>126805136</v>
      </c>
      <c r="B485" s="10" t="n">
        <v>484</v>
      </c>
      <c r="C485" s="18" t="s">
        <v>43</v>
      </c>
      <c r="D485" s="9" t="s">
        <v>1059</v>
      </c>
      <c r="E485" s="9" t="s">
        <v>1060</v>
      </c>
      <c r="F485" s="9" t="s">
        <v>12</v>
      </c>
      <c r="G485" s="10" t="n">
        <v>2024</v>
      </c>
      <c r="H485" s="10" t="n">
        <v>10</v>
      </c>
      <c r="I485" s="19" t="n">
        <v>17820</v>
      </c>
      <c r="J485" s="19" t="n">
        <v>19800</v>
      </c>
      <c r="K485" s="10" t="n">
        <v>990</v>
      </c>
      <c r="L485" s="10" t="n">
        <v>1542</v>
      </c>
      <c r="M485" s="10" t="n">
        <v>202</v>
      </c>
      <c r="N485" s="11" t="n">
        <v>9.8</v>
      </c>
      <c r="O485" s="18" t="s">
        <v>46</v>
      </c>
    </row>
    <row r="486" customFormat="false" ht="15" hidden="false" customHeight="false" outlineLevel="0" collapsed="false">
      <c r="A486" s="18" t="n">
        <v>126804246</v>
      </c>
      <c r="B486" s="10" t="n">
        <v>485</v>
      </c>
      <c r="C486" s="18" t="s">
        <v>43</v>
      </c>
      <c r="D486" s="9" t="s">
        <v>1061</v>
      </c>
      <c r="E486" s="9" t="s">
        <v>1062</v>
      </c>
      <c r="F486" s="9" t="s">
        <v>12</v>
      </c>
      <c r="G486" s="10" t="n">
        <v>2024</v>
      </c>
      <c r="H486" s="10" t="n">
        <v>10</v>
      </c>
      <c r="I486" s="19" t="n">
        <v>27000</v>
      </c>
      <c r="J486" s="19" t="n">
        <v>30000</v>
      </c>
      <c r="K486" s="10" t="n">
        <v>1500</v>
      </c>
      <c r="L486" s="10" t="n">
        <v>4062</v>
      </c>
      <c r="M486" s="10" t="n">
        <v>37</v>
      </c>
      <c r="N486" s="11" t="n">
        <v>9.7</v>
      </c>
      <c r="O486" s="18" t="s">
        <v>46</v>
      </c>
    </row>
    <row r="487" customFormat="false" ht="15" hidden="false" customHeight="false" outlineLevel="0" collapsed="false">
      <c r="A487" s="18" t="n">
        <v>126690830</v>
      </c>
      <c r="B487" s="10" t="n">
        <v>486</v>
      </c>
      <c r="C487" s="18" t="s">
        <v>43</v>
      </c>
      <c r="D487" s="9" t="s">
        <v>1063</v>
      </c>
      <c r="E487" s="9" t="s">
        <v>1064</v>
      </c>
      <c r="F487" s="9" t="s">
        <v>116</v>
      </c>
      <c r="G487" s="10" t="n">
        <v>2024</v>
      </c>
      <c r="H487" s="10" t="n">
        <v>10</v>
      </c>
      <c r="I487" s="19" t="n">
        <v>21600</v>
      </c>
      <c r="J487" s="19" t="n">
        <v>24000</v>
      </c>
      <c r="K487" s="10" t="n">
        <v>1200</v>
      </c>
      <c r="L487" s="10" t="n">
        <v>2076</v>
      </c>
      <c r="M487" s="10" t="n">
        <v>18</v>
      </c>
      <c r="N487" s="11" t="n">
        <v>7.7</v>
      </c>
      <c r="O487" s="18" t="s">
        <v>46</v>
      </c>
    </row>
    <row r="488" customFormat="false" ht="15" hidden="false" customHeight="false" outlineLevel="0" collapsed="false">
      <c r="A488" s="18" t="n">
        <v>126354999</v>
      </c>
      <c r="B488" s="10" t="n">
        <v>487</v>
      </c>
      <c r="C488" s="18" t="s">
        <v>43</v>
      </c>
      <c r="D488" s="9" t="s">
        <v>1065</v>
      </c>
      <c r="E488" s="9" t="s">
        <v>1066</v>
      </c>
      <c r="F488" s="9" t="s">
        <v>1067</v>
      </c>
      <c r="G488" s="10" t="n">
        <v>2024</v>
      </c>
      <c r="H488" s="10" t="n">
        <v>10</v>
      </c>
      <c r="I488" s="19" t="n">
        <v>25200</v>
      </c>
      <c r="J488" s="19" t="n">
        <v>28000</v>
      </c>
      <c r="K488" s="10" t="n">
        <v>0</v>
      </c>
      <c r="L488" s="10" t="n">
        <v>390</v>
      </c>
      <c r="M488" s="10" t="n">
        <v>2</v>
      </c>
      <c r="N488" s="11" t="n">
        <v>10</v>
      </c>
      <c r="O488" s="18" t="s">
        <v>56</v>
      </c>
    </row>
    <row r="489" customFormat="false" ht="15" hidden="false" customHeight="false" outlineLevel="0" collapsed="false">
      <c r="A489" s="18" t="n">
        <v>126285008</v>
      </c>
      <c r="B489" s="10" t="n">
        <v>488</v>
      </c>
      <c r="C489" s="18" t="s">
        <v>43</v>
      </c>
      <c r="D489" s="9" t="s">
        <v>1068</v>
      </c>
      <c r="E489" s="9" t="s">
        <v>1069</v>
      </c>
      <c r="F489" s="9" t="s">
        <v>23</v>
      </c>
      <c r="G489" s="10" t="n">
        <v>2024</v>
      </c>
      <c r="H489" s="10" t="n">
        <v>10</v>
      </c>
      <c r="I489" s="19" t="n">
        <v>19800</v>
      </c>
      <c r="J489" s="19" t="n">
        <v>22000</v>
      </c>
      <c r="K489" s="10" t="n">
        <v>1100</v>
      </c>
      <c r="L489" s="10" t="n">
        <v>1038</v>
      </c>
      <c r="M489" s="10" t="n">
        <v>18</v>
      </c>
      <c r="N489" s="11" t="n">
        <v>10</v>
      </c>
      <c r="O489" s="18" t="s">
        <v>56</v>
      </c>
    </row>
    <row r="490" customFormat="false" ht="15" hidden="false" customHeight="false" outlineLevel="0" collapsed="false">
      <c r="A490" s="18" t="n">
        <v>126181417</v>
      </c>
      <c r="B490" s="10" t="n">
        <v>489</v>
      </c>
      <c r="C490" s="18" t="s">
        <v>43</v>
      </c>
      <c r="D490" s="9" t="s">
        <v>1070</v>
      </c>
      <c r="E490" s="15" t="s">
        <v>1071</v>
      </c>
      <c r="F490" s="9" t="s">
        <v>751</v>
      </c>
      <c r="G490" s="10" t="n">
        <v>2024</v>
      </c>
      <c r="H490" s="10" t="n">
        <v>10</v>
      </c>
      <c r="I490" s="19" t="n">
        <v>13500</v>
      </c>
      <c r="J490" s="19" t="n">
        <v>15000</v>
      </c>
      <c r="K490" s="10" t="n">
        <v>750</v>
      </c>
      <c r="L490" s="10" t="n">
        <v>3003</v>
      </c>
      <c r="M490" s="10" t="n">
        <v>41</v>
      </c>
      <c r="N490" s="11" t="n">
        <v>9.3</v>
      </c>
      <c r="O490" s="18" t="s">
        <v>56</v>
      </c>
    </row>
    <row r="491" customFormat="false" ht="15" hidden="false" customHeight="false" outlineLevel="0" collapsed="false">
      <c r="A491" s="18" t="n">
        <v>126167769</v>
      </c>
      <c r="B491" s="10" t="n">
        <v>490</v>
      </c>
      <c r="C491" s="18" t="s">
        <v>43</v>
      </c>
      <c r="D491" s="9" t="s">
        <v>1072</v>
      </c>
      <c r="E491" s="9" t="s">
        <v>1073</v>
      </c>
      <c r="F491" s="9" t="s">
        <v>88</v>
      </c>
      <c r="G491" s="10" t="n">
        <v>2024</v>
      </c>
      <c r="H491" s="10" t="n">
        <v>10</v>
      </c>
      <c r="I491" s="19" t="n">
        <v>18000</v>
      </c>
      <c r="J491" s="19" t="n">
        <v>20000</v>
      </c>
      <c r="K491" s="10" t="n">
        <v>1000</v>
      </c>
      <c r="L491" s="10" t="n">
        <v>786</v>
      </c>
      <c r="M491" s="10" t="n">
        <v>22</v>
      </c>
      <c r="N491" s="11" t="n">
        <v>9.5</v>
      </c>
      <c r="O491" s="18" t="s">
        <v>56</v>
      </c>
    </row>
    <row r="492" customFormat="false" ht="15" hidden="false" customHeight="false" outlineLevel="0" collapsed="false">
      <c r="A492" s="18" t="n">
        <v>126158349</v>
      </c>
      <c r="B492" s="10" t="n">
        <v>491</v>
      </c>
      <c r="C492" s="18" t="s">
        <v>43</v>
      </c>
      <c r="D492" s="9" t="s">
        <v>1074</v>
      </c>
      <c r="E492" s="9" t="s">
        <v>1075</v>
      </c>
      <c r="F492" s="9" t="s">
        <v>14</v>
      </c>
      <c r="G492" s="10" t="n">
        <v>2024</v>
      </c>
      <c r="H492" s="10" t="n">
        <v>10</v>
      </c>
      <c r="I492" s="19" t="n">
        <v>39600</v>
      </c>
      <c r="J492" s="19" t="n">
        <v>44000</v>
      </c>
      <c r="K492" s="10" t="n">
        <v>2200</v>
      </c>
      <c r="L492" s="10" t="n">
        <v>654</v>
      </c>
      <c r="M492" s="10" t="n">
        <v>15</v>
      </c>
      <c r="N492" s="11" t="n">
        <v>9.5</v>
      </c>
      <c r="O492" s="18" t="s">
        <v>56</v>
      </c>
    </row>
    <row r="493" customFormat="false" ht="15" hidden="false" customHeight="false" outlineLevel="0" collapsed="false">
      <c r="A493" s="18" t="n">
        <v>126037720</v>
      </c>
      <c r="B493" s="10" t="n">
        <v>492</v>
      </c>
      <c r="C493" s="18" t="s">
        <v>43</v>
      </c>
      <c r="D493" s="9" t="s">
        <v>1076</v>
      </c>
      <c r="E493" s="15" t="s">
        <v>696</v>
      </c>
      <c r="F493" s="9" t="s">
        <v>23</v>
      </c>
      <c r="G493" s="10" t="n">
        <v>2024</v>
      </c>
      <c r="H493" s="10" t="n">
        <v>10</v>
      </c>
      <c r="I493" s="19" t="n">
        <v>16200</v>
      </c>
      <c r="J493" s="19" t="n">
        <v>18000</v>
      </c>
      <c r="K493" s="10" t="n">
        <v>900</v>
      </c>
      <c r="L493" s="10" t="n">
        <v>4056</v>
      </c>
      <c r="M493" s="10" t="n">
        <v>23</v>
      </c>
      <c r="N493" s="11" t="n">
        <v>9.6</v>
      </c>
      <c r="O493" s="18" t="s">
        <v>56</v>
      </c>
    </row>
    <row r="494" customFormat="false" ht="15" hidden="false" customHeight="false" outlineLevel="0" collapsed="false">
      <c r="A494" s="18" t="n">
        <v>125709726</v>
      </c>
      <c r="B494" s="10" t="n">
        <v>493</v>
      </c>
      <c r="C494" s="18" t="s">
        <v>43</v>
      </c>
      <c r="D494" s="9" t="s">
        <v>1077</v>
      </c>
      <c r="E494" s="9" t="s">
        <v>667</v>
      </c>
      <c r="F494" s="9" t="s">
        <v>12</v>
      </c>
      <c r="G494" s="10" t="n">
        <v>2024</v>
      </c>
      <c r="H494" s="10" t="n">
        <v>10</v>
      </c>
      <c r="I494" s="19" t="n">
        <v>18900</v>
      </c>
      <c r="J494" s="19" t="n">
        <v>21000</v>
      </c>
      <c r="K494" s="10" t="n">
        <v>1050</v>
      </c>
      <c r="L494" s="10" t="n">
        <v>876</v>
      </c>
      <c r="M494" s="10" t="n">
        <v>29</v>
      </c>
      <c r="N494" s="11" t="n">
        <v>9.9</v>
      </c>
      <c r="O494" s="18" t="s">
        <v>46</v>
      </c>
    </row>
    <row r="495" customFormat="false" ht="15" hidden="false" customHeight="false" outlineLevel="0" collapsed="false">
      <c r="A495" s="18" t="n">
        <v>125580588</v>
      </c>
      <c r="B495" s="10" t="n">
        <v>494</v>
      </c>
      <c r="C495" s="18" t="s">
        <v>43</v>
      </c>
      <c r="D495" s="9" t="s">
        <v>1078</v>
      </c>
      <c r="E495" s="9" t="s">
        <v>1079</v>
      </c>
      <c r="F495" s="9" t="s">
        <v>459</v>
      </c>
      <c r="G495" s="10" t="n">
        <v>2024</v>
      </c>
      <c r="H495" s="10" t="n">
        <v>10</v>
      </c>
      <c r="I495" s="19" t="n">
        <v>17820</v>
      </c>
      <c r="J495" s="19" t="n">
        <v>19800</v>
      </c>
      <c r="K495" s="10" t="n">
        <v>990</v>
      </c>
      <c r="L495" s="10" t="n">
        <v>1482</v>
      </c>
      <c r="M495" s="10" t="n">
        <v>25</v>
      </c>
      <c r="N495" s="11" t="n">
        <v>9.9</v>
      </c>
      <c r="O495" s="18" t="s">
        <v>56</v>
      </c>
    </row>
    <row r="496" customFormat="false" ht="15" hidden="false" customHeight="false" outlineLevel="0" collapsed="false">
      <c r="A496" s="18" t="n">
        <v>125484001</v>
      </c>
      <c r="B496" s="10" t="n">
        <v>495</v>
      </c>
      <c r="C496" s="18" t="s">
        <v>43</v>
      </c>
      <c r="D496" s="9" t="s">
        <v>1080</v>
      </c>
      <c r="E496" s="9" t="s">
        <v>1081</v>
      </c>
      <c r="F496" s="9" t="s">
        <v>21</v>
      </c>
      <c r="G496" s="10" t="n">
        <v>2024</v>
      </c>
      <c r="H496" s="10" t="n">
        <v>10</v>
      </c>
      <c r="I496" s="19" t="n">
        <v>21600</v>
      </c>
      <c r="J496" s="19" t="n">
        <v>24000</v>
      </c>
      <c r="K496" s="10" t="n">
        <v>1200</v>
      </c>
      <c r="L496" s="10" t="n">
        <v>702</v>
      </c>
      <c r="M496" s="10" t="n">
        <v>5</v>
      </c>
      <c r="N496" s="11" t="n">
        <v>10</v>
      </c>
      <c r="O496" s="18" t="s">
        <v>56</v>
      </c>
    </row>
    <row r="497" customFormat="false" ht="15" hidden="false" customHeight="false" outlineLevel="0" collapsed="false">
      <c r="A497" s="18" t="n">
        <v>125131637</v>
      </c>
      <c r="B497" s="10" t="n">
        <v>496</v>
      </c>
      <c r="C497" s="18" t="s">
        <v>43</v>
      </c>
      <c r="D497" s="9" t="s">
        <v>1082</v>
      </c>
      <c r="E497" s="9" t="s">
        <v>1083</v>
      </c>
      <c r="F497" s="9" t="s">
        <v>12</v>
      </c>
      <c r="G497" s="10" t="n">
        <v>2024</v>
      </c>
      <c r="H497" s="10" t="n">
        <v>10</v>
      </c>
      <c r="I497" s="19" t="n">
        <v>26100</v>
      </c>
      <c r="J497" s="19" t="n">
        <v>29000</v>
      </c>
      <c r="K497" s="10" t="n">
        <v>1450</v>
      </c>
      <c r="L497" s="10" t="n">
        <v>3204</v>
      </c>
      <c r="M497" s="10" t="n">
        <v>30</v>
      </c>
      <c r="N497" s="11" t="n">
        <v>9.7</v>
      </c>
      <c r="O497" s="18" t="s">
        <v>56</v>
      </c>
    </row>
    <row r="498" customFormat="false" ht="15" hidden="false" customHeight="false" outlineLevel="0" collapsed="false">
      <c r="A498" s="18" t="n">
        <v>124613921</v>
      </c>
      <c r="B498" s="10" t="n">
        <v>497</v>
      </c>
      <c r="C498" s="18" t="s">
        <v>43</v>
      </c>
      <c r="D498" s="9" t="s">
        <v>1084</v>
      </c>
      <c r="E498" s="9" t="s">
        <v>1085</v>
      </c>
      <c r="F498" s="9" t="s">
        <v>1086</v>
      </c>
      <c r="G498" s="10" t="n">
        <v>2023</v>
      </c>
      <c r="H498" s="10" t="n">
        <v>0</v>
      </c>
      <c r="I498" s="19" t="n">
        <v>22000</v>
      </c>
      <c r="J498" s="19" t="n">
        <v>22000</v>
      </c>
      <c r="K498" s="10" t="n">
        <v>0</v>
      </c>
      <c r="L498" s="10" t="n">
        <v>300</v>
      </c>
      <c r="M498" s="10" t="n">
        <v>2</v>
      </c>
      <c r="N498" s="11" t="n">
        <v>10</v>
      </c>
      <c r="O498" s="18" t="s">
        <v>56</v>
      </c>
    </row>
    <row r="499" customFormat="false" ht="15" hidden="false" customHeight="false" outlineLevel="0" collapsed="false">
      <c r="A499" s="18" t="n">
        <v>124009226</v>
      </c>
      <c r="B499" s="10" t="n">
        <v>498</v>
      </c>
      <c r="C499" s="18" t="s">
        <v>43</v>
      </c>
      <c r="D499" s="9" t="s">
        <v>1087</v>
      </c>
      <c r="E499" s="9" t="s">
        <v>1088</v>
      </c>
      <c r="F499" s="9" t="s">
        <v>322</v>
      </c>
      <c r="G499" s="10" t="n">
        <v>2023</v>
      </c>
      <c r="H499" s="10" t="n">
        <v>0</v>
      </c>
      <c r="I499" s="19" t="n">
        <v>27000</v>
      </c>
      <c r="J499" s="19" t="n">
        <v>27000</v>
      </c>
      <c r="K499" s="10" t="n">
        <v>810</v>
      </c>
      <c r="L499" s="10" t="n">
        <v>2052</v>
      </c>
      <c r="M499" s="10" t="n">
        <v>0</v>
      </c>
      <c r="N499" s="11" t="n">
        <v>0</v>
      </c>
      <c r="O499" s="18" t="s">
        <v>56</v>
      </c>
    </row>
    <row r="500" customFormat="false" ht="15" hidden="false" customHeight="false" outlineLevel="0" collapsed="false">
      <c r="A500" s="18" t="n">
        <v>122886212</v>
      </c>
      <c r="B500" s="10" t="n">
        <v>499</v>
      </c>
      <c r="C500" s="18" t="s">
        <v>43</v>
      </c>
      <c r="D500" s="9" t="s">
        <v>1089</v>
      </c>
      <c r="E500" s="9" t="s">
        <v>1090</v>
      </c>
      <c r="F500" s="9" t="s">
        <v>231</v>
      </c>
      <c r="G500" s="10" t="n">
        <v>2023</v>
      </c>
      <c r="H500" s="10" t="n">
        <v>10</v>
      </c>
      <c r="I500" s="19" t="n">
        <v>27000</v>
      </c>
      <c r="J500" s="19" t="n">
        <v>30000</v>
      </c>
      <c r="K500" s="10" t="n">
        <v>1500</v>
      </c>
      <c r="L500" s="10" t="n">
        <v>744</v>
      </c>
      <c r="M500" s="10" t="n">
        <v>6</v>
      </c>
      <c r="N500" s="11" t="n">
        <v>8.7</v>
      </c>
      <c r="O500" s="18" t="s">
        <v>46</v>
      </c>
    </row>
    <row r="501" customFormat="false" ht="15" hidden="false" customHeight="false" outlineLevel="0" collapsed="false">
      <c r="A501" s="18" t="n">
        <v>122560579</v>
      </c>
      <c r="B501" s="10" t="n">
        <v>500</v>
      </c>
      <c r="C501" s="18" t="s">
        <v>43</v>
      </c>
      <c r="D501" s="9" t="s">
        <v>1091</v>
      </c>
      <c r="E501" s="9" t="s">
        <v>1092</v>
      </c>
      <c r="F501" s="9" t="s">
        <v>17</v>
      </c>
      <c r="G501" s="10" t="n">
        <v>2023</v>
      </c>
      <c r="H501" s="10" t="n">
        <v>10</v>
      </c>
      <c r="I501" s="19" t="n">
        <v>19800</v>
      </c>
      <c r="J501" s="19" t="n">
        <v>22000</v>
      </c>
      <c r="K501" s="10" t="n">
        <v>1100</v>
      </c>
      <c r="L501" s="10" t="n">
        <v>1614</v>
      </c>
      <c r="M501" s="10" t="n">
        <v>14</v>
      </c>
      <c r="N501" s="11" t="n">
        <v>9.9</v>
      </c>
      <c r="O501" s="18" t="s">
        <v>46</v>
      </c>
    </row>
    <row r="502" customFormat="false" ht="15" hidden="false" customHeight="false" outlineLevel="0" collapsed="false">
      <c r="A502" s="18" t="n">
        <v>122544981</v>
      </c>
      <c r="B502" s="10" t="n">
        <v>501</v>
      </c>
      <c r="C502" s="18" t="s">
        <v>43</v>
      </c>
      <c r="D502" s="9" t="s">
        <v>1093</v>
      </c>
      <c r="E502" s="9" t="s">
        <v>1094</v>
      </c>
      <c r="F502" s="9" t="s">
        <v>21</v>
      </c>
      <c r="G502" s="10" t="n">
        <v>2023</v>
      </c>
      <c r="H502" s="10" t="n">
        <v>10</v>
      </c>
      <c r="I502" s="19" t="n">
        <v>37800</v>
      </c>
      <c r="J502" s="19" t="n">
        <v>42000</v>
      </c>
      <c r="K502" s="10" t="n">
        <v>2100</v>
      </c>
      <c r="L502" s="10" t="n">
        <v>498</v>
      </c>
      <c r="M502" s="10" t="n">
        <v>4</v>
      </c>
      <c r="N502" s="11" t="n">
        <v>10</v>
      </c>
      <c r="O502" s="18" t="s">
        <v>56</v>
      </c>
    </row>
    <row r="503" customFormat="false" ht="15" hidden="false" customHeight="false" outlineLevel="0" collapsed="false">
      <c r="A503" s="18" t="n">
        <v>122168734</v>
      </c>
      <c r="B503" s="10" t="n">
        <v>502</v>
      </c>
      <c r="C503" s="18" t="s">
        <v>43</v>
      </c>
      <c r="D503" s="15" t="s">
        <v>1095</v>
      </c>
      <c r="E503" s="9" t="s">
        <v>1096</v>
      </c>
      <c r="F503" s="9" t="s">
        <v>64</v>
      </c>
      <c r="G503" s="10" t="n">
        <v>2023</v>
      </c>
      <c r="H503" s="10" t="n">
        <v>10</v>
      </c>
      <c r="I503" s="19" t="n">
        <v>15930</v>
      </c>
      <c r="J503" s="19" t="n">
        <v>17700</v>
      </c>
      <c r="K503" s="10" t="n">
        <v>880</v>
      </c>
      <c r="L503" s="10" t="n">
        <v>1194</v>
      </c>
      <c r="M503" s="10" t="n">
        <v>15</v>
      </c>
      <c r="N503" s="11" t="n">
        <v>9.5</v>
      </c>
      <c r="O503" s="18" t="s">
        <v>56</v>
      </c>
    </row>
    <row r="504" customFormat="false" ht="15" hidden="false" customHeight="false" outlineLevel="0" collapsed="false">
      <c r="A504" s="18" t="n">
        <v>122141598</v>
      </c>
      <c r="B504" s="10" t="n">
        <v>503</v>
      </c>
      <c r="C504" s="18" t="s">
        <v>43</v>
      </c>
      <c r="D504" s="9" t="s">
        <v>1097</v>
      </c>
      <c r="E504" s="9" t="s">
        <v>1098</v>
      </c>
      <c r="F504" s="9" t="s">
        <v>751</v>
      </c>
      <c r="G504" s="10" t="n">
        <v>2023</v>
      </c>
      <c r="H504" s="10" t="n">
        <v>10</v>
      </c>
      <c r="I504" s="19" t="n">
        <v>19800</v>
      </c>
      <c r="J504" s="19" t="n">
        <v>22000</v>
      </c>
      <c r="K504" s="10" t="n">
        <v>1100</v>
      </c>
      <c r="L504" s="10" t="n">
        <v>360</v>
      </c>
      <c r="M504" s="10" t="n">
        <v>51</v>
      </c>
      <c r="N504" s="11" t="n">
        <v>9.9</v>
      </c>
      <c r="O504" s="18" t="s">
        <v>56</v>
      </c>
    </row>
    <row r="505" customFormat="false" ht="15" hidden="false" customHeight="false" outlineLevel="0" collapsed="false">
      <c r="A505" s="18" t="n">
        <v>122109062</v>
      </c>
      <c r="B505" s="10" t="n">
        <v>504</v>
      </c>
      <c r="C505" s="18" t="s">
        <v>43</v>
      </c>
      <c r="D505" s="9" t="s">
        <v>1099</v>
      </c>
      <c r="E505" s="9" t="s">
        <v>1100</v>
      </c>
      <c r="F505" s="9" t="s">
        <v>12</v>
      </c>
      <c r="G505" s="10" t="n">
        <v>2023</v>
      </c>
      <c r="H505" s="10" t="n">
        <v>10</v>
      </c>
      <c r="I505" s="19" t="n">
        <v>26100</v>
      </c>
      <c r="J505" s="19" t="n">
        <v>29000</v>
      </c>
      <c r="K505" s="10" t="n">
        <v>1450</v>
      </c>
      <c r="L505" s="10" t="n">
        <v>882</v>
      </c>
      <c r="M505" s="10" t="n">
        <v>25</v>
      </c>
      <c r="N505" s="11" t="n">
        <v>9.8</v>
      </c>
      <c r="O505" s="18" t="s">
        <v>46</v>
      </c>
    </row>
    <row r="506" customFormat="false" ht="15" hidden="false" customHeight="false" outlineLevel="0" collapsed="false">
      <c r="A506" s="18" t="n">
        <v>121769526</v>
      </c>
      <c r="B506" s="10" t="n">
        <v>505</v>
      </c>
      <c r="C506" s="18" t="s">
        <v>43</v>
      </c>
      <c r="D506" s="9" t="s">
        <v>1101</v>
      </c>
      <c r="E506" s="9" t="s">
        <v>1102</v>
      </c>
      <c r="F506" s="9" t="s">
        <v>14</v>
      </c>
      <c r="G506" s="10" t="n">
        <v>2023</v>
      </c>
      <c r="H506" s="10" t="n">
        <v>10</v>
      </c>
      <c r="I506" s="19" t="n">
        <v>21600</v>
      </c>
      <c r="J506" s="19" t="n">
        <v>24000</v>
      </c>
      <c r="K506" s="10" t="n">
        <v>1200</v>
      </c>
      <c r="L506" s="10" t="n">
        <v>534</v>
      </c>
      <c r="M506" s="10" t="n">
        <v>21</v>
      </c>
      <c r="N506" s="11" t="n">
        <v>9.7</v>
      </c>
      <c r="O506" s="18" t="s">
        <v>56</v>
      </c>
    </row>
    <row r="507" customFormat="false" ht="15" hidden="false" customHeight="false" outlineLevel="0" collapsed="false">
      <c r="A507" s="18" t="n">
        <v>121534396</v>
      </c>
      <c r="B507" s="10" t="n">
        <v>506</v>
      </c>
      <c r="C507" s="18" t="s">
        <v>43</v>
      </c>
      <c r="D507" s="9" t="s">
        <v>1103</v>
      </c>
      <c r="E507" s="9" t="s">
        <v>1104</v>
      </c>
      <c r="F507" s="9" t="s">
        <v>937</v>
      </c>
      <c r="G507" s="10" t="n">
        <v>2023</v>
      </c>
      <c r="H507" s="10" t="n">
        <v>10</v>
      </c>
      <c r="I507" s="19" t="n">
        <v>15300</v>
      </c>
      <c r="J507" s="19" t="n">
        <v>17000</v>
      </c>
      <c r="K507" s="10" t="n">
        <v>850</v>
      </c>
      <c r="L507" s="10" t="n">
        <v>222</v>
      </c>
      <c r="M507" s="10" t="n">
        <v>15</v>
      </c>
      <c r="N507" s="11" t="n">
        <v>9.5</v>
      </c>
      <c r="O507" s="18" t="s">
        <v>56</v>
      </c>
    </row>
    <row r="508" customFormat="false" ht="15" hidden="false" customHeight="false" outlineLevel="0" collapsed="false">
      <c r="A508" s="18" t="n">
        <v>121209050</v>
      </c>
      <c r="B508" s="10" t="n">
        <v>507</v>
      </c>
      <c r="C508" s="18" t="s">
        <v>43</v>
      </c>
      <c r="D508" s="9" t="s">
        <v>1105</v>
      </c>
      <c r="E508" s="9" t="s">
        <v>1106</v>
      </c>
      <c r="F508" s="9" t="s">
        <v>17</v>
      </c>
      <c r="G508" s="10" t="n">
        <v>2023</v>
      </c>
      <c r="H508" s="10" t="n">
        <v>10</v>
      </c>
      <c r="I508" s="19" t="n">
        <v>15120</v>
      </c>
      <c r="J508" s="19" t="n">
        <v>16800</v>
      </c>
      <c r="K508" s="10" t="n">
        <v>840</v>
      </c>
      <c r="L508" s="10" t="n">
        <v>606</v>
      </c>
      <c r="M508" s="10" t="n">
        <v>31</v>
      </c>
      <c r="N508" s="11" t="n">
        <v>9.7</v>
      </c>
      <c r="O508" s="18" t="s">
        <v>56</v>
      </c>
    </row>
    <row r="509" customFormat="false" ht="15" hidden="false" customHeight="false" outlineLevel="0" collapsed="false">
      <c r="A509" s="18" t="n">
        <v>120241473</v>
      </c>
      <c r="B509" s="10" t="n">
        <v>508</v>
      </c>
      <c r="C509" s="18" t="s">
        <v>43</v>
      </c>
      <c r="D509" s="9" t="s">
        <v>1107</v>
      </c>
      <c r="E509" s="9" t="s">
        <v>1108</v>
      </c>
      <c r="F509" s="9" t="s">
        <v>14</v>
      </c>
      <c r="G509" s="10" t="n">
        <v>2023</v>
      </c>
      <c r="H509" s="10" t="n">
        <v>10</v>
      </c>
      <c r="I509" s="19" t="n">
        <v>19800</v>
      </c>
      <c r="J509" s="19" t="n">
        <v>22000</v>
      </c>
      <c r="K509" s="10" t="n">
        <v>1100</v>
      </c>
      <c r="L509" s="10" t="n">
        <v>2298</v>
      </c>
      <c r="M509" s="10" t="n">
        <v>17</v>
      </c>
      <c r="N509" s="11" t="n">
        <v>9.6</v>
      </c>
      <c r="O509" s="18" t="s">
        <v>46</v>
      </c>
    </row>
    <row r="510" customFormat="false" ht="15" hidden="false" customHeight="false" outlineLevel="0" collapsed="false">
      <c r="A510" s="18" t="n">
        <v>120164381</v>
      </c>
      <c r="B510" s="10" t="n">
        <v>509</v>
      </c>
      <c r="C510" s="18" t="s">
        <v>43</v>
      </c>
      <c r="D510" s="9" t="s">
        <v>1109</v>
      </c>
      <c r="E510" s="9" t="s">
        <v>1110</v>
      </c>
      <c r="F510" s="9" t="s">
        <v>511</v>
      </c>
      <c r="G510" s="10" t="n">
        <v>2023</v>
      </c>
      <c r="H510" s="10" t="n">
        <v>10</v>
      </c>
      <c r="I510" s="19" t="n">
        <v>20700</v>
      </c>
      <c r="J510" s="19" t="n">
        <v>23000</v>
      </c>
      <c r="K510" s="10" t="n">
        <v>1150</v>
      </c>
      <c r="L510" s="10" t="n">
        <v>648</v>
      </c>
      <c r="M510" s="10" t="n">
        <v>22</v>
      </c>
      <c r="N510" s="11" t="n">
        <v>9.6</v>
      </c>
      <c r="O510" s="18" t="s">
        <v>56</v>
      </c>
    </row>
    <row r="511" customFormat="false" ht="15" hidden="false" customHeight="false" outlineLevel="0" collapsed="false">
      <c r="A511" s="18" t="n">
        <v>119423307</v>
      </c>
      <c r="B511" s="10" t="n">
        <v>510</v>
      </c>
      <c r="C511" s="18" t="s">
        <v>43</v>
      </c>
      <c r="D511" s="9" t="s">
        <v>1111</v>
      </c>
      <c r="E511" s="9" t="s">
        <v>1112</v>
      </c>
      <c r="F511" s="9" t="s">
        <v>14</v>
      </c>
      <c r="G511" s="10" t="n">
        <v>2023</v>
      </c>
      <c r="H511" s="10" t="n">
        <v>10</v>
      </c>
      <c r="I511" s="19" t="n">
        <v>27000</v>
      </c>
      <c r="J511" s="19" t="n">
        <v>30000</v>
      </c>
      <c r="K511" s="10" t="n">
        <v>1500</v>
      </c>
      <c r="L511" s="10" t="n">
        <v>1158</v>
      </c>
      <c r="M511" s="10" t="n">
        <v>14</v>
      </c>
      <c r="N511" s="11" t="n">
        <v>9.6</v>
      </c>
      <c r="O511" s="18" t="s">
        <v>56</v>
      </c>
    </row>
    <row r="512" customFormat="false" ht="15" hidden="false" customHeight="false" outlineLevel="0" collapsed="false">
      <c r="A512" s="18" t="n">
        <v>119184693</v>
      </c>
      <c r="B512" s="10" t="n">
        <v>511</v>
      </c>
      <c r="C512" s="18" t="s">
        <v>43</v>
      </c>
      <c r="D512" s="9" t="s">
        <v>1113</v>
      </c>
      <c r="E512" s="9" t="s">
        <v>1114</v>
      </c>
      <c r="F512" s="9" t="s">
        <v>1115</v>
      </c>
      <c r="G512" s="10" t="n">
        <v>2023</v>
      </c>
      <c r="H512" s="10" t="n">
        <v>10</v>
      </c>
      <c r="I512" s="19" t="n">
        <v>12600</v>
      </c>
      <c r="J512" s="19" t="n">
        <v>14000</v>
      </c>
      <c r="K512" s="10" t="n">
        <v>700</v>
      </c>
      <c r="L512" s="10" t="n">
        <v>2016</v>
      </c>
      <c r="M512" s="10" t="n">
        <v>1</v>
      </c>
      <c r="N512" s="11" t="n">
        <v>10</v>
      </c>
      <c r="O512" s="18" t="s">
        <v>56</v>
      </c>
    </row>
    <row r="513" customFormat="false" ht="15" hidden="false" customHeight="false" outlineLevel="0" collapsed="false">
      <c r="A513" s="18" t="n">
        <v>119149301</v>
      </c>
      <c r="B513" s="10" t="n">
        <v>512</v>
      </c>
      <c r="C513" s="18" t="s">
        <v>43</v>
      </c>
      <c r="D513" s="9" t="s">
        <v>1116</v>
      </c>
      <c r="E513" s="9" t="s">
        <v>1117</v>
      </c>
      <c r="F513" s="9" t="s">
        <v>12</v>
      </c>
      <c r="G513" s="10" t="n">
        <v>2023</v>
      </c>
      <c r="H513" s="10" t="n">
        <v>10</v>
      </c>
      <c r="I513" s="19" t="n">
        <v>42300</v>
      </c>
      <c r="J513" s="19" t="n">
        <v>47000</v>
      </c>
      <c r="K513" s="10" t="n">
        <v>2350</v>
      </c>
      <c r="L513" s="10" t="n">
        <v>2220</v>
      </c>
      <c r="M513" s="10" t="n">
        <v>20</v>
      </c>
      <c r="N513" s="11" t="n">
        <v>10</v>
      </c>
      <c r="O513" s="18" t="s">
        <v>46</v>
      </c>
    </row>
    <row r="514" customFormat="false" ht="15" hidden="false" customHeight="false" outlineLevel="0" collapsed="false">
      <c r="A514" s="18" t="n">
        <v>118523424</v>
      </c>
      <c r="B514" s="10" t="n">
        <v>513</v>
      </c>
      <c r="C514" s="18" t="s">
        <v>43</v>
      </c>
      <c r="D514" s="9" t="s">
        <v>1118</v>
      </c>
      <c r="E514" s="9" t="s">
        <v>1119</v>
      </c>
      <c r="F514" s="9" t="s">
        <v>12</v>
      </c>
      <c r="G514" s="10" t="n">
        <v>2023</v>
      </c>
      <c r="H514" s="10" t="n">
        <v>10</v>
      </c>
      <c r="I514" s="19" t="n">
        <v>35100</v>
      </c>
      <c r="J514" s="19" t="n">
        <v>39000</v>
      </c>
      <c r="K514" s="10" t="n">
        <v>1950</v>
      </c>
      <c r="L514" s="10" t="n">
        <v>2148</v>
      </c>
      <c r="M514" s="10" t="n">
        <v>31</v>
      </c>
      <c r="N514" s="11" t="n">
        <v>8.7</v>
      </c>
      <c r="O514" s="18" t="s">
        <v>56</v>
      </c>
    </row>
    <row r="515" customFormat="false" ht="15" hidden="false" customHeight="false" outlineLevel="0" collapsed="false">
      <c r="A515" s="18" t="n">
        <v>118396923</v>
      </c>
      <c r="B515" s="10" t="n">
        <v>514</v>
      </c>
      <c r="C515" s="18" t="s">
        <v>43</v>
      </c>
      <c r="D515" s="15" t="s">
        <v>1120</v>
      </c>
      <c r="E515" s="9" t="s">
        <v>1121</v>
      </c>
      <c r="F515" s="9" t="s">
        <v>100</v>
      </c>
      <c r="G515" s="10" t="n">
        <v>2023</v>
      </c>
      <c r="H515" s="10" t="n">
        <v>10</v>
      </c>
      <c r="I515" s="19" t="n">
        <v>23400</v>
      </c>
      <c r="J515" s="19" t="n">
        <v>26000</v>
      </c>
      <c r="K515" s="10" t="n">
        <v>1300</v>
      </c>
      <c r="L515" s="10" t="n">
        <v>516</v>
      </c>
      <c r="M515" s="10" t="n">
        <v>13</v>
      </c>
      <c r="N515" s="11" t="n">
        <v>9.8</v>
      </c>
      <c r="O515" s="18" t="s">
        <v>56</v>
      </c>
    </row>
    <row r="516" customFormat="false" ht="15" hidden="false" customHeight="false" outlineLevel="0" collapsed="false">
      <c r="A516" s="18" t="n">
        <v>118335008</v>
      </c>
      <c r="B516" s="10" t="n">
        <v>515</v>
      </c>
      <c r="C516" s="18" t="s">
        <v>43</v>
      </c>
      <c r="D516" s="9" t="s">
        <v>1122</v>
      </c>
      <c r="E516" s="9" t="s">
        <v>1123</v>
      </c>
      <c r="F516" s="9" t="s">
        <v>1124</v>
      </c>
      <c r="G516" s="10" t="n">
        <v>2023</v>
      </c>
      <c r="H516" s="10" t="n">
        <v>10</v>
      </c>
      <c r="I516" s="19" t="n">
        <v>25200</v>
      </c>
      <c r="J516" s="19" t="n">
        <v>28000</v>
      </c>
      <c r="K516" s="10" t="n">
        <v>1400</v>
      </c>
      <c r="L516" s="10" t="n">
        <v>618</v>
      </c>
      <c r="M516" s="10" t="n">
        <v>23</v>
      </c>
      <c r="N516" s="11" t="n">
        <v>8.7</v>
      </c>
      <c r="O516" s="18" t="s">
        <v>56</v>
      </c>
    </row>
    <row r="517" customFormat="false" ht="15" hidden="false" customHeight="false" outlineLevel="0" collapsed="false">
      <c r="A517" s="18" t="n">
        <v>117501834</v>
      </c>
      <c r="B517" s="10" t="n">
        <v>516</v>
      </c>
      <c r="C517" s="18" t="s">
        <v>43</v>
      </c>
      <c r="D517" s="15" t="s">
        <v>1125</v>
      </c>
      <c r="E517" s="9" t="s">
        <v>1126</v>
      </c>
      <c r="F517" s="9" t="s">
        <v>308</v>
      </c>
      <c r="G517" s="10" t="n">
        <v>2023</v>
      </c>
      <c r="H517" s="10" t="n">
        <v>10</v>
      </c>
      <c r="I517" s="19" t="n">
        <v>28800</v>
      </c>
      <c r="J517" s="19" t="n">
        <v>32000</v>
      </c>
      <c r="K517" s="10" t="n">
        <v>1600</v>
      </c>
      <c r="L517" s="10" t="n">
        <v>396</v>
      </c>
      <c r="M517" s="10" t="n">
        <v>31</v>
      </c>
      <c r="N517" s="11" t="n">
        <v>9.6</v>
      </c>
      <c r="O517" s="18" t="s">
        <v>56</v>
      </c>
    </row>
    <row r="518" customFormat="false" ht="15" hidden="false" customHeight="false" outlineLevel="0" collapsed="false">
      <c r="A518" s="18" t="n">
        <v>117390624</v>
      </c>
      <c r="B518" s="10" t="n">
        <v>517</v>
      </c>
      <c r="C518" s="18" t="s">
        <v>43</v>
      </c>
      <c r="D518" s="9" t="s">
        <v>1127</v>
      </c>
      <c r="E518" s="9" t="s">
        <v>1128</v>
      </c>
      <c r="F518" s="9" t="s">
        <v>552</v>
      </c>
      <c r="G518" s="10" t="n">
        <v>2023</v>
      </c>
      <c r="H518" s="10" t="n">
        <v>10</v>
      </c>
      <c r="I518" s="19" t="n">
        <v>24750</v>
      </c>
      <c r="J518" s="19" t="n">
        <v>27500</v>
      </c>
      <c r="K518" s="10" t="n">
        <v>1370</v>
      </c>
      <c r="L518" s="10" t="n">
        <v>606</v>
      </c>
      <c r="M518" s="10" t="n">
        <v>11</v>
      </c>
      <c r="N518" s="11" t="n">
        <v>10</v>
      </c>
      <c r="O518" s="18" t="s">
        <v>56</v>
      </c>
    </row>
    <row r="519" customFormat="false" ht="15" hidden="false" customHeight="false" outlineLevel="0" collapsed="false">
      <c r="A519" s="18" t="n">
        <v>116967878</v>
      </c>
      <c r="B519" s="10" t="n">
        <v>518</v>
      </c>
      <c r="C519" s="18" t="s">
        <v>43</v>
      </c>
      <c r="D519" s="9" t="s">
        <v>1129</v>
      </c>
      <c r="E519" s="9" t="s">
        <v>333</v>
      </c>
      <c r="F519" s="9" t="s">
        <v>12</v>
      </c>
      <c r="G519" s="10" t="n">
        <v>2023</v>
      </c>
      <c r="H519" s="10" t="n">
        <v>10</v>
      </c>
      <c r="I519" s="19" t="n">
        <v>38700</v>
      </c>
      <c r="J519" s="19" t="n">
        <v>43000</v>
      </c>
      <c r="K519" s="10" t="n">
        <v>2150</v>
      </c>
      <c r="L519" s="10" t="n">
        <v>978</v>
      </c>
      <c r="M519" s="10" t="n">
        <v>18</v>
      </c>
      <c r="N519" s="11" t="n">
        <v>9.8</v>
      </c>
      <c r="O519" s="18" t="s">
        <v>46</v>
      </c>
    </row>
    <row r="520" customFormat="false" ht="15" hidden="false" customHeight="false" outlineLevel="0" collapsed="false">
      <c r="A520" s="18" t="n">
        <v>116746081</v>
      </c>
      <c r="B520" s="10" t="n">
        <v>519</v>
      </c>
      <c r="C520" s="18" t="s">
        <v>43</v>
      </c>
      <c r="D520" s="9" t="s">
        <v>1130</v>
      </c>
      <c r="E520" s="9" t="s">
        <v>1131</v>
      </c>
      <c r="F520" s="9" t="s">
        <v>12</v>
      </c>
      <c r="G520" s="10" t="n">
        <v>2023</v>
      </c>
      <c r="H520" s="10" t="n">
        <v>10</v>
      </c>
      <c r="I520" s="19" t="n">
        <v>20700</v>
      </c>
      <c r="J520" s="19" t="n">
        <v>23000</v>
      </c>
      <c r="K520" s="10" t="n">
        <v>1150</v>
      </c>
      <c r="L520" s="10" t="n">
        <v>1476</v>
      </c>
      <c r="M520" s="10" t="n">
        <v>33</v>
      </c>
      <c r="N520" s="11" t="n">
        <v>10</v>
      </c>
      <c r="O520" s="18" t="s">
        <v>46</v>
      </c>
    </row>
    <row r="521" customFormat="false" ht="15" hidden="false" customHeight="false" outlineLevel="0" collapsed="false">
      <c r="A521" s="18" t="n">
        <v>116613668</v>
      </c>
      <c r="B521" s="10" t="n">
        <v>520</v>
      </c>
      <c r="C521" s="18" t="s">
        <v>43</v>
      </c>
      <c r="D521" s="9" t="s">
        <v>1132</v>
      </c>
      <c r="E521" s="9" t="s">
        <v>1133</v>
      </c>
      <c r="F521" s="9" t="s">
        <v>14</v>
      </c>
      <c r="G521" s="10" t="n">
        <v>2022</v>
      </c>
      <c r="H521" s="10" t="n">
        <v>10</v>
      </c>
      <c r="I521" s="19" t="n">
        <v>16200</v>
      </c>
      <c r="J521" s="19" t="n">
        <v>18000</v>
      </c>
      <c r="K521" s="10" t="n">
        <v>900</v>
      </c>
      <c r="L521" s="10" t="n">
        <v>2148</v>
      </c>
      <c r="M521" s="10" t="n">
        <v>2</v>
      </c>
      <c r="N521" s="11" t="n">
        <v>8</v>
      </c>
      <c r="O521" s="18" t="s">
        <v>56</v>
      </c>
    </row>
    <row r="522" customFormat="false" ht="15" hidden="false" customHeight="false" outlineLevel="0" collapsed="false">
      <c r="A522" s="18" t="n">
        <v>116578525</v>
      </c>
      <c r="B522" s="10" t="n">
        <v>521</v>
      </c>
      <c r="C522" s="18" t="s">
        <v>43</v>
      </c>
      <c r="D522" s="9" t="s">
        <v>1134</v>
      </c>
      <c r="E522" s="9" t="s">
        <v>1135</v>
      </c>
      <c r="F522" s="9" t="s">
        <v>511</v>
      </c>
      <c r="G522" s="10" t="n">
        <v>2023</v>
      </c>
      <c r="H522" s="10" t="n">
        <v>10</v>
      </c>
      <c r="I522" s="19" t="n">
        <v>49500</v>
      </c>
      <c r="J522" s="19" t="n">
        <v>55000</v>
      </c>
      <c r="K522" s="10" t="n">
        <v>2750</v>
      </c>
      <c r="L522" s="10" t="n">
        <v>720</v>
      </c>
      <c r="M522" s="10" t="n">
        <v>4</v>
      </c>
      <c r="N522" s="11" t="n">
        <v>7</v>
      </c>
      <c r="O522" s="18" t="s">
        <v>46</v>
      </c>
    </row>
    <row r="523" customFormat="false" ht="15" hidden="false" customHeight="false" outlineLevel="0" collapsed="false">
      <c r="A523" s="18" t="n">
        <v>116431437</v>
      </c>
      <c r="B523" s="10" t="n">
        <v>522</v>
      </c>
      <c r="C523" s="18" t="s">
        <v>43</v>
      </c>
      <c r="D523" s="9" t="s">
        <v>1136</v>
      </c>
      <c r="E523" s="9" t="s">
        <v>1137</v>
      </c>
      <c r="F523" s="9" t="s">
        <v>1138</v>
      </c>
      <c r="G523" s="10" t="n">
        <v>2022</v>
      </c>
      <c r="H523" s="10" t="n">
        <v>10</v>
      </c>
      <c r="I523" s="19" t="n">
        <v>10800</v>
      </c>
      <c r="J523" s="19" t="n">
        <v>12000</v>
      </c>
      <c r="K523" s="10" t="n">
        <v>600</v>
      </c>
      <c r="L523" s="10" t="n">
        <v>402</v>
      </c>
      <c r="M523" s="10" t="n">
        <v>3</v>
      </c>
      <c r="N523" s="11" t="n">
        <v>10</v>
      </c>
      <c r="O523" s="18" t="s">
        <v>56</v>
      </c>
    </row>
    <row r="524" customFormat="false" ht="15" hidden="false" customHeight="false" outlineLevel="0" collapsed="false">
      <c r="A524" s="18" t="n">
        <v>116204239</v>
      </c>
      <c r="B524" s="10" t="n">
        <v>523</v>
      </c>
      <c r="C524" s="18" t="s">
        <v>43</v>
      </c>
      <c r="D524" s="9" t="s">
        <v>1139</v>
      </c>
      <c r="E524" s="9" t="s">
        <v>1140</v>
      </c>
      <c r="F524" s="9" t="s">
        <v>161</v>
      </c>
      <c r="G524" s="10" t="n">
        <v>2022</v>
      </c>
      <c r="H524" s="10" t="n">
        <v>10</v>
      </c>
      <c r="I524" s="19" t="n">
        <v>12600</v>
      </c>
      <c r="J524" s="19" t="n">
        <v>14000</v>
      </c>
      <c r="K524" s="10" t="n">
        <v>700</v>
      </c>
      <c r="L524" s="10" t="n">
        <v>3192</v>
      </c>
      <c r="M524" s="10" t="n">
        <v>0</v>
      </c>
      <c r="N524" s="11" t="n">
        <v>0</v>
      </c>
      <c r="O524" s="18" t="s">
        <v>56</v>
      </c>
    </row>
    <row r="525" customFormat="false" ht="15" hidden="false" customHeight="false" outlineLevel="0" collapsed="false">
      <c r="A525" s="18" t="n">
        <v>116038106</v>
      </c>
      <c r="B525" s="10" t="n">
        <v>524</v>
      </c>
      <c r="C525" s="18" t="s">
        <v>43</v>
      </c>
      <c r="D525" s="15" t="s">
        <v>1141</v>
      </c>
      <c r="E525" s="9" t="s">
        <v>1142</v>
      </c>
      <c r="F525" s="9" t="s">
        <v>17</v>
      </c>
      <c r="G525" s="10" t="n">
        <v>2022</v>
      </c>
      <c r="H525" s="10" t="n">
        <v>10</v>
      </c>
      <c r="I525" s="19" t="n">
        <v>19800</v>
      </c>
      <c r="J525" s="19" t="n">
        <v>22000</v>
      </c>
      <c r="K525" s="10" t="n">
        <v>1100</v>
      </c>
      <c r="L525" s="10" t="n">
        <v>2109</v>
      </c>
      <c r="M525" s="10" t="n">
        <v>19</v>
      </c>
      <c r="N525" s="11" t="n">
        <v>10</v>
      </c>
      <c r="O525" s="18" t="s">
        <v>56</v>
      </c>
    </row>
    <row r="526" customFormat="false" ht="15" hidden="false" customHeight="false" outlineLevel="0" collapsed="false">
      <c r="A526" s="18" t="n">
        <v>114627783</v>
      </c>
      <c r="B526" s="10" t="n">
        <v>525</v>
      </c>
      <c r="C526" s="18" t="s">
        <v>43</v>
      </c>
      <c r="D526" s="15" t="s">
        <v>1143</v>
      </c>
      <c r="E526" s="9" t="s">
        <v>1144</v>
      </c>
      <c r="F526" s="9" t="s">
        <v>1050</v>
      </c>
      <c r="G526" s="10" t="n">
        <v>2022</v>
      </c>
      <c r="H526" s="10" t="n">
        <v>10</v>
      </c>
      <c r="I526" s="19" t="n">
        <v>23850</v>
      </c>
      <c r="J526" s="19" t="n">
        <v>26500</v>
      </c>
      <c r="K526" s="10" t="n">
        <v>1320</v>
      </c>
      <c r="L526" s="10" t="n">
        <v>708</v>
      </c>
      <c r="M526" s="10" t="n">
        <v>14</v>
      </c>
      <c r="N526" s="11" t="n">
        <v>10</v>
      </c>
      <c r="O526" s="18" t="s">
        <v>56</v>
      </c>
    </row>
    <row r="527" customFormat="false" ht="15" hidden="false" customHeight="false" outlineLevel="0" collapsed="false">
      <c r="A527" s="18" t="n">
        <v>114627204</v>
      </c>
      <c r="B527" s="10" t="n">
        <v>526</v>
      </c>
      <c r="C527" s="18" t="s">
        <v>43</v>
      </c>
      <c r="D527" s="9" t="s">
        <v>1145</v>
      </c>
      <c r="E527" s="9" t="s">
        <v>1146</v>
      </c>
      <c r="F527" s="9" t="s">
        <v>17</v>
      </c>
      <c r="G527" s="10" t="n">
        <v>2022</v>
      </c>
      <c r="H527" s="10" t="n">
        <v>10</v>
      </c>
      <c r="I527" s="19" t="n">
        <v>27000</v>
      </c>
      <c r="J527" s="19" t="n">
        <v>30000</v>
      </c>
      <c r="K527" s="10" t="n">
        <v>1500</v>
      </c>
      <c r="L527" s="10" t="n">
        <v>1860</v>
      </c>
      <c r="M527" s="10" t="n">
        <v>66</v>
      </c>
      <c r="N527" s="11" t="n">
        <v>9.7</v>
      </c>
      <c r="O527" s="18" t="s">
        <v>46</v>
      </c>
    </row>
    <row r="528" customFormat="false" ht="15" hidden="false" customHeight="false" outlineLevel="0" collapsed="false">
      <c r="A528" s="18" t="n">
        <v>112941439</v>
      </c>
      <c r="B528" s="10" t="n">
        <v>527</v>
      </c>
      <c r="C528" s="18" t="s">
        <v>43</v>
      </c>
      <c r="D528" s="9" t="s">
        <v>1147</v>
      </c>
      <c r="E528" s="15" t="s">
        <v>1148</v>
      </c>
      <c r="F528" s="9" t="s">
        <v>16</v>
      </c>
      <c r="G528" s="10" t="n">
        <v>2022</v>
      </c>
      <c r="H528" s="10" t="n">
        <v>10</v>
      </c>
      <c r="I528" s="19" t="n">
        <v>26100</v>
      </c>
      <c r="J528" s="19" t="n">
        <v>29000</v>
      </c>
      <c r="K528" s="10" t="n">
        <v>1450</v>
      </c>
      <c r="L528" s="10" t="n">
        <v>1293</v>
      </c>
      <c r="M528" s="10" t="n">
        <v>2</v>
      </c>
      <c r="N528" s="11" t="n">
        <v>9</v>
      </c>
      <c r="O528" s="18" t="s">
        <v>56</v>
      </c>
    </row>
    <row r="529" customFormat="false" ht="15" hidden="false" customHeight="false" outlineLevel="0" collapsed="false">
      <c r="A529" s="18" t="n">
        <v>112630905</v>
      </c>
      <c r="B529" s="10" t="n">
        <v>528</v>
      </c>
      <c r="C529" s="18" t="s">
        <v>43</v>
      </c>
      <c r="D529" s="15" t="s">
        <v>1149</v>
      </c>
      <c r="E529" s="9" t="s">
        <v>1150</v>
      </c>
      <c r="F529" s="9" t="s">
        <v>1151</v>
      </c>
      <c r="G529" s="10" t="n">
        <v>2022</v>
      </c>
      <c r="H529" s="10" t="n">
        <v>5</v>
      </c>
      <c r="I529" s="19" t="n">
        <v>37050</v>
      </c>
      <c r="J529" s="19" t="n">
        <v>39000</v>
      </c>
      <c r="K529" s="10" t="n">
        <v>1170</v>
      </c>
      <c r="L529" s="10" t="n">
        <v>1164</v>
      </c>
      <c r="M529" s="10" t="n">
        <v>0</v>
      </c>
      <c r="N529" s="11" t="n">
        <v>0</v>
      </c>
      <c r="O529" s="18" t="s">
        <v>56</v>
      </c>
    </row>
    <row r="530" customFormat="false" ht="15" hidden="false" customHeight="false" outlineLevel="0" collapsed="false">
      <c r="A530" s="18" t="n">
        <v>111362116</v>
      </c>
      <c r="B530" s="10" t="n">
        <v>529</v>
      </c>
      <c r="C530" s="18" t="s">
        <v>43</v>
      </c>
      <c r="D530" s="9" t="s">
        <v>1152</v>
      </c>
      <c r="E530" s="9" t="s">
        <v>713</v>
      </c>
      <c r="F530" s="9" t="s">
        <v>12</v>
      </c>
      <c r="G530" s="10" t="n">
        <v>2022</v>
      </c>
      <c r="H530" s="10" t="n">
        <v>10</v>
      </c>
      <c r="I530" s="19" t="n">
        <v>30600</v>
      </c>
      <c r="J530" s="19" t="n">
        <v>34000</v>
      </c>
      <c r="K530" s="10" t="n">
        <v>1700</v>
      </c>
      <c r="L530" s="10" t="n">
        <v>2922</v>
      </c>
      <c r="M530" s="10" t="n">
        <v>41</v>
      </c>
      <c r="N530" s="11" t="n">
        <v>9.8</v>
      </c>
      <c r="O530" s="18" t="s">
        <v>46</v>
      </c>
    </row>
    <row r="531" customFormat="false" ht="15" hidden="false" customHeight="false" outlineLevel="0" collapsed="false">
      <c r="A531" s="18" t="n">
        <v>111097039</v>
      </c>
      <c r="B531" s="10" t="n">
        <v>530</v>
      </c>
      <c r="C531" s="18" t="s">
        <v>43</v>
      </c>
      <c r="D531" s="9" t="s">
        <v>1153</v>
      </c>
      <c r="E531" s="9" t="s">
        <v>1154</v>
      </c>
      <c r="F531" s="9" t="s">
        <v>1155</v>
      </c>
      <c r="G531" s="10" t="n">
        <v>2022</v>
      </c>
      <c r="H531" s="10" t="n">
        <v>10</v>
      </c>
      <c r="I531" s="19" t="n">
        <v>12600</v>
      </c>
      <c r="J531" s="19" t="n">
        <v>14000</v>
      </c>
      <c r="K531" s="10" t="n">
        <v>700</v>
      </c>
      <c r="L531" s="10" t="n">
        <v>336</v>
      </c>
      <c r="M531" s="10" t="n">
        <v>0</v>
      </c>
      <c r="N531" s="11" t="n">
        <v>0</v>
      </c>
      <c r="O531" s="18" t="s">
        <v>56</v>
      </c>
    </row>
    <row r="532" customFormat="false" ht="15" hidden="false" customHeight="false" outlineLevel="0" collapsed="false">
      <c r="A532" s="18" t="n">
        <v>109619095</v>
      </c>
      <c r="B532" s="10" t="n">
        <v>531</v>
      </c>
      <c r="C532" s="18" t="s">
        <v>43</v>
      </c>
      <c r="D532" s="9" t="s">
        <v>1156</v>
      </c>
      <c r="E532" s="9" t="s">
        <v>1157</v>
      </c>
      <c r="F532" s="9" t="s">
        <v>1158</v>
      </c>
      <c r="G532" s="10" t="n">
        <v>2022</v>
      </c>
      <c r="H532" s="10" t="n">
        <v>10</v>
      </c>
      <c r="I532" s="19" t="n">
        <v>4500</v>
      </c>
      <c r="J532" s="19" t="n">
        <v>5000</v>
      </c>
      <c r="K532" s="10" t="n">
        <v>250</v>
      </c>
      <c r="L532" s="10" t="n">
        <v>46662</v>
      </c>
      <c r="M532" s="10" t="n">
        <v>0</v>
      </c>
      <c r="N532" s="11" t="n">
        <v>0</v>
      </c>
      <c r="O532" s="18" t="s">
        <v>56</v>
      </c>
    </row>
    <row r="533" customFormat="false" ht="15" hidden="false" customHeight="false" outlineLevel="0" collapsed="false">
      <c r="A533" s="18" t="n">
        <v>109209932</v>
      </c>
      <c r="B533" s="10" t="n">
        <v>532</v>
      </c>
      <c r="C533" s="18" t="s">
        <v>43</v>
      </c>
      <c r="D533" s="15" t="s">
        <v>1159</v>
      </c>
      <c r="E533" s="9" t="s">
        <v>90</v>
      </c>
      <c r="F533" s="9" t="s">
        <v>17</v>
      </c>
      <c r="G533" s="10" t="n">
        <v>2022</v>
      </c>
      <c r="H533" s="10" t="n">
        <v>10</v>
      </c>
      <c r="I533" s="19" t="n">
        <v>23400</v>
      </c>
      <c r="J533" s="19" t="n">
        <v>26000</v>
      </c>
      <c r="K533" s="10" t="n">
        <v>1300</v>
      </c>
      <c r="L533" s="10" t="n">
        <v>1872</v>
      </c>
      <c r="M533" s="10" t="n">
        <v>8</v>
      </c>
      <c r="N533" s="11" t="n">
        <v>8.5</v>
      </c>
      <c r="O533" s="18" t="s">
        <v>56</v>
      </c>
    </row>
    <row r="534" customFormat="false" ht="15" hidden="false" customHeight="false" outlineLevel="0" collapsed="false">
      <c r="A534" s="18" t="n">
        <v>109182479</v>
      </c>
      <c r="B534" s="10" t="n">
        <v>533</v>
      </c>
      <c r="C534" s="18" t="s">
        <v>43</v>
      </c>
      <c r="D534" s="9" t="s">
        <v>1160</v>
      </c>
      <c r="E534" s="9" t="s">
        <v>1161</v>
      </c>
      <c r="F534" s="9" t="s">
        <v>12</v>
      </c>
      <c r="G534" s="10" t="n">
        <v>2022</v>
      </c>
      <c r="H534" s="10" t="n">
        <v>10</v>
      </c>
      <c r="I534" s="19" t="n">
        <v>40500</v>
      </c>
      <c r="J534" s="19" t="n">
        <v>45000</v>
      </c>
      <c r="K534" s="10" t="n">
        <v>2250</v>
      </c>
      <c r="L534" s="10" t="n">
        <v>1314</v>
      </c>
      <c r="M534" s="10" t="n">
        <v>40</v>
      </c>
      <c r="N534" s="11" t="n">
        <v>9.3</v>
      </c>
      <c r="O534" s="18" t="s">
        <v>46</v>
      </c>
    </row>
    <row r="535" customFormat="false" ht="15" hidden="false" customHeight="false" outlineLevel="0" collapsed="false">
      <c r="A535" s="18" t="n">
        <v>108824557</v>
      </c>
      <c r="B535" s="10" t="n">
        <v>534</v>
      </c>
      <c r="C535" s="18" t="s">
        <v>43</v>
      </c>
      <c r="D535" s="9" t="s">
        <v>1162</v>
      </c>
      <c r="E535" s="9" t="s">
        <v>1163</v>
      </c>
      <c r="F535" s="9" t="s">
        <v>21</v>
      </c>
      <c r="G535" s="10" t="n">
        <v>2022</v>
      </c>
      <c r="H535" s="10" t="n">
        <v>10</v>
      </c>
      <c r="I535" s="19" t="n">
        <v>36000</v>
      </c>
      <c r="J535" s="19" t="n">
        <v>40000</v>
      </c>
      <c r="K535" s="10" t="n">
        <v>2000</v>
      </c>
      <c r="L535" s="10" t="n">
        <v>3234</v>
      </c>
      <c r="M535" s="10" t="n">
        <v>17</v>
      </c>
      <c r="N535" s="11" t="n">
        <v>9.2</v>
      </c>
      <c r="O535" s="18" t="s">
        <v>56</v>
      </c>
    </row>
    <row r="536" customFormat="false" ht="15" hidden="false" customHeight="false" outlineLevel="0" collapsed="false">
      <c r="A536" s="18" t="n">
        <v>108192370</v>
      </c>
      <c r="B536" s="10" t="n">
        <v>535</v>
      </c>
      <c r="C536" s="18" t="s">
        <v>43</v>
      </c>
      <c r="D536" s="9" t="s">
        <v>1164</v>
      </c>
      <c r="E536" s="9" t="s">
        <v>1165</v>
      </c>
      <c r="F536" s="9" t="s">
        <v>12</v>
      </c>
      <c r="G536" s="10" t="n">
        <v>2022</v>
      </c>
      <c r="H536" s="10" t="n">
        <v>10</v>
      </c>
      <c r="I536" s="19" t="n">
        <v>32400</v>
      </c>
      <c r="J536" s="19" t="n">
        <v>36000</v>
      </c>
      <c r="K536" s="10" t="n">
        <v>1800</v>
      </c>
      <c r="L536" s="10" t="n">
        <v>1830</v>
      </c>
      <c r="M536" s="10" t="n">
        <v>62</v>
      </c>
      <c r="N536" s="11" t="n">
        <v>9.5</v>
      </c>
      <c r="O536" s="18" t="s">
        <v>46</v>
      </c>
    </row>
    <row r="537" customFormat="false" ht="15" hidden="false" customHeight="false" outlineLevel="0" collapsed="false">
      <c r="A537" s="18" t="n">
        <v>107653466</v>
      </c>
      <c r="B537" s="10" t="n">
        <v>536</v>
      </c>
      <c r="C537" s="18" t="s">
        <v>43</v>
      </c>
      <c r="D537" s="15" t="s">
        <v>1166</v>
      </c>
      <c r="E537" s="9" t="s">
        <v>1167</v>
      </c>
      <c r="F537" s="9" t="s">
        <v>663</v>
      </c>
      <c r="G537" s="10" t="n">
        <v>2022</v>
      </c>
      <c r="H537" s="10" t="n">
        <v>10</v>
      </c>
      <c r="I537" s="19" t="n">
        <v>15300</v>
      </c>
      <c r="J537" s="19" t="n">
        <v>17000</v>
      </c>
      <c r="K537" s="10" t="n">
        <v>850</v>
      </c>
      <c r="L537" s="10" t="n">
        <v>1266</v>
      </c>
      <c r="M537" s="10" t="n">
        <v>7</v>
      </c>
      <c r="N537" s="11" t="n">
        <v>9.7</v>
      </c>
      <c r="O537" s="18" t="s">
        <v>56</v>
      </c>
    </row>
    <row r="538" customFormat="false" ht="15" hidden="false" customHeight="false" outlineLevel="0" collapsed="false">
      <c r="A538" s="18" t="n">
        <v>107005872</v>
      </c>
      <c r="B538" s="10" t="n">
        <v>537</v>
      </c>
      <c r="C538" s="18" t="s">
        <v>43</v>
      </c>
      <c r="D538" s="9" t="s">
        <v>1168</v>
      </c>
      <c r="E538" s="9" t="s">
        <v>1169</v>
      </c>
      <c r="F538" s="9" t="s">
        <v>511</v>
      </c>
      <c r="G538" s="10" t="n">
        <v>2022</v>
      </c>
      <c r="H538" s="10" t="n">
        <v>10</v>
      </c>
      <c r="I538" s="19" t="n">
        <v>26100</v>
      </c>
      <c r="J538" s="19" t="n">
        <v>29000</v>
      </c>
      <c r="K538" s="10" t="n">
        <v>1450</v>
      </c>
      <c r="L538" s="10" t="n">
        <v>702</v>
      </c>
      <c r="M538" s="10" t="n">
        <v>6</v>
      </c>
      <c r="N538" s="11" t="n">
        <v>9.7</v>
      </c>
      <c r="O538" s="18" t="s">
        <v>56</v>
      </c>
    </row>
    <row r="539" customFormat="false" ht="15" hidden="false" customHeight="false" outlineLevel="0" collapsed="false">
      <c r="A539" s="18" t="n">
        <v>106404609</v>
      </c>
      <c r="B539" s="10" t="n">
        <v>538</v>
      </c>
      <c r="C539" s="18" t="s">
        <v>43</v>
      </c>
      <c r="D539" s="9" t="s">
        <v>1170</v>
      </c>
      <c r="E539" s="9" t="s">
        <v>1171</v>
      </c>
      <c r="F539" s="9" t="s">
        <v>514</v>
      </c>
      <c r="G539" s="10" t="n">
        <v>2022</v>
      </c>
      <c r="H539" s="10" t="n">
        <v>0</v>
      </c>
      <c r="I539" s="19" t="n">
        <v>29000</v>
      </c>
      <c r="J539" s="19" t="n">
        <v>29000</v>
      </c>
      <c r="K539" s="10" t="n">
        <v>870</v>
      </c>
      <c r="L539" s="10" t="n">
        <v>3366</v>
      </c>
      <c r="M539" s="10" t="n">
        <v>11</v>
      </c>
      <c r="N539" s="11" t="n">
        <v>9.1</v>
      </c>
      <c r="O539" s="18" t="s">
        <v>46</v>
      </c>
    </row>
    <row r="540" customFormat="false" ht="15" hidden="false" customHeight="false" outlineLevel="0" collapsed="false">
      <c r="A540" s="18" t="n">
        <v>106175772</v>
      </c>
      <c r="B540" s="10" t="n">
        <v>539</v>
      </c>
      <c r="C540" s="18" t="s">
        <v>43</v>
      </c>
      <c r="D540" s="9" t="s">
        <v>1172</v>
      </c>
      <c r="E540" s="9" t="s">
        <v>263</v>
      </c>
      <c r="F540" s="9" t="s">
        <v>311</v>
      </c>
      <c r="G540" s="10" t="n">
        <v>2022</v>
      </c>
      <c r="H540" s="10" t="n">
        <v>10</v>
      </c>
      <c r="I540" s="19" t="n">
        <v>18000</v>
      </c>
      <c r="J540" s="19" t="n">
        <v>20000</v>
      </c>
      <c r="K540" s="10" t="n">
        <v>1000</v>
      </c>
      <c r="L540" s="10" t="n">
        <v>834</v>
      </c>
      <c r="M540" s="10" t="n">
        <v>1</v>
      </c>
      <c r="N540" s="11" t="n">
        <v>10</v>
      </c>
      <c r="O540" s="18" t="s">
        <v>56</v>
      </c>
    </row>
    <row r="541" customFormat="false" ht="15" hidden="false" customHeight="false" outlineLevel="0" collapsed="false">
      <c r="A541" s="18" t="n">
        <v>105911017</v>
      </c>
      <c r="B541" s="10" t="n">
        <v>540</v>
      </c>
      <c r="C541" s="18" t="s">
        <v>43</v>
      </c>
      <c r="D541" s="9" t="s">
        <v>1173</v>
      </c>
      <c r="E541" s="9" t="s">
        <v>1174</v>
      </c>
      <c r="F541" s="9" t="s">
        <v>16</v>
      </c>
      <c r="G541" s="10" t="n">
        <v>2022</v>
      </c>
      <c r="H541" s="10" t="n">
        <v>10</v>
      </c>
      <c r="I541" s="19" t="n">
        <v>21600</v>
      </c>
      <c r="J541" s="19" t="n">
        <v>24000</v>
      </c>
      <c r="K541" s="10" t="n">
        <v>1200</v>
      </c>
      <c r="L541" s="10" t="n">
        <v>828</v>
      </c>
      <c r="M541" s="10" t="n">
        <v>54</v>
      </c>
      <c r="N541" s="11" t="n">
        <v>9.6</v>
      </c>
      <c r="O541" s="18" t="s">
        <v>56</v>
      </c>
    </row>
    <row r="542" customFormat="false" ht="15" hidden="false" customHeight="false" outlineLevel="0" collapsed="false">
      <c r="A542" s="18" t="n">
        <v>105880625</v>
      </c>
      <c r="B542" s="10" t="n">
        <v>541</v>
      </c>
      <c r="C542" s="18" t="s">
        <v>43</v>
      </c>
      <c r="D542" s="15" t="s">
        <v>1175</v>
      </c>
      <c r="E542" s="9" t="s">
        <v>1167</v>
      </c>
      <c r="F542" s="9" t="s">
        <v>663</v>
      </c>
      <c r="G542" s="10" t="n">
        <v>2022</v>
      </c>
      <c r="H542" s="10" t="n">
        <v>10</v>
      </c>
      <c r="I542" s="19" t="n">
        <v>15300</v>
      </c>
      <c r="J542" s="19" t="n">
        <v>17000</v>
      </c>
      <c r="K542" s="10" t="n">
        <v>850</v>
      </c>
      <c r="L542" s="10" t="n">
        <v>642</v>
      </c>
      <c r="M542" s="10" t="n">
        <v>3</v>
      </c>
      <c r="N542" s="11" t="n">
        <v>10</v>
      </c>
      <c r="O542" s="18" t="s">
        <v>56</v>
      </c>
    </row>
    <row r="543" customFormat="false" ht="15" hidden="false" customHeight="false" outlineLevel="0" collapsed="false">
      <c r="A543" s="18" t="n">
        <v>105776648</v>
      </c>
      <c r="B543" s="10" t="n">
        <v>542</v>
      </c>
      <c r="C543" s="18" t="s">
        <v>43</v>
      </c>
      <c r="D543" s="15" t="s">
        <v>1176</v>
      </c>
      <c r="E543" s="9" t="s">
        <v>1167</v>
      </c>
      <c r="F543" s="9" t="s">
        <v>663</v>
      </c>
      <c r="G543" s="10" t="n">
        <v>2022</v>
      </c>
      <c r="H543" s="10" t="n">
        <v>10</v>
      </c>
      <c r="I543" s="19" t="n">
        <v>14400</v>
      </c>
      <c r="J543" s="19" t="n">
        <v>16000</v>
      </c>
      <c r="K543" s="10" t="n">
        <v>800</v>
      </c>
      <c r="L543" s="10" t="n">
        <v>1932</v>
      </c>
      <c r="M543" s="10" t="n">
        <v>5</v>
      </c>
      <c r="N543" s="11" t="n">
        <v>8</v>
      </c>
      <c r="O543" s="18" t="s">
        <v>56</v>
      </c>
    </row>
    <row r="544" customFormat="false" ht="15" hidden="false" customHeight="false" outlineLevel="0" collapsed="false">
      <c r="A544" s="18" t="n">
        <v>105281193</v>
      </c>
      <c r="B544" s="10" t="n">
        <v>543</v>
      </c>
      <c r="C544" s="18" t="s">
        <v>43</v>
      </c>
      <c r="D544" s="9" t="s">
        <v>1177</v>
      </c>
      <c r="E544" s="15" t="s">
        <v>696</v>
      </c>
      <c r="F544" s="9" t="s">
        <v>23</v>
      </c>
      <c r="G544" s="10" t="n">
        <v>2021</v>
      </c>
      <c r="H544" s="10" t="n">
        <v>10</v>
      </c>
      <c r="I544" s="19" t="n">
        <v>10800</v>
      </c>
      <c r="J544" s="19" t="n">
        <v>12000</v>
      </c>
      <c r="K544" s="10" t="n">
        <v>600</v>
      </c>
      <c r="L544" s="10" t="n">
        <v>1230</v>
      </c>
      <c r="M544" s="10" t="n">
        <v>23</v>
      </c>
      <c r="N544" s="11" t="n">
        <v>9.7</v>
      </c>
      <c r="O544" s="18" t="s">
        <v>56</v>
      </c>
    </row>
    <row r="545" customFormat="false" ht="15" hidden="false" customHeight="false" outlineLevel="0" collapsed="false">
      <c r="A545" s="18" t="n">
        <v>104739807</v>
      </c>
      <c r="B545" s="10" t="n">
        <v>544</v>
      </c>
      <c r="C545" s="18" t="s">
        <v>43</v>
      </c>
      <c r="D545" s="9" t="s">
        <v>1178</v>
      </c>
      <c r="E545" s="9" t="s">
        <v>1179</v>
      </c>
      <c r="F545" s="9" t="s">
        <v>1180</v>
      </c>
      <c r="G545" s="10" t="n">
        <v>2022</v>
      </c>
      <c r="H545" s="10" t="n">
        <v>10</v>
      </c>
      <c r="I545" s="19" t="n">
        <v>18000</v>
      </c>
      <c r="J545" s="19" t="n">
        <v>20000</v>
      </c>
      <c r="K545" s="10" t="n">
        <v>1000</v>
      </c>
      <c r="L545" s="10" t="n">
        <v>1395</v>
      </c>
      <c r="M545" s="10" t="n">
        <v>9</v>
      </c>
      <c r="N545" s="11" t="n">
        <v>10</v>
      </c>
      <c r="O545" s="18" t="s">
        <v>56</v>
      </c>
    </row>
    <row r="546" customFormat="false" ht="15" hidden="false" customHeight="false" outlineLevel="0" collapsed="false">
      <c r="A546" s="18" t="n">
        <v>103710958</v>
      </c>
      <c r="B546" s="10" t="n">
        <v>545</v>
      </c>
      <c r="C546" s="18" t="s">
        <v>43</v>
      </c>
      <c r="D546" s="15" t="s">
        <v>1181</v>
      </c>
      <c r="E546" s="9" t="s">
        <v>1182</v>
      </c>
      <c r="F546" s="9" t="s">
        <v>1183</v>
      </c>
      <c r="G546" s="10" t="n">
        <v>2021</v>
      </c>
      <c r="H546" s="10" t="n">
        <v>0</v>
      </c>
      <c r="I546" s="19" t="n">
        <v>17000</v>
      </c>
      <c r="J546" s="19" t="n">
        <v>17000</v>
      </c>
      <c r="K546" s="10" t="n">
        <v>0</v>
      </c>
      <c r="L546" s="10" t="n">
        <v>198</v>
      </c>
      <c r="M546" s="10" t="n">
        <v>1</v>
      </c>
      <c r="N546" s="11" t="n">
        <v>10</v>
      </c>
      <c r="O546" s="18" t="s">
        <v>56</v>
      </c>
    </row>
    <row r="547" customFormat="false" ht="15" hidden="false" customHeight="false" outlineLevel="0" collapsed="false">
      <c r="A547" s="18" t="n">
        <v>103212837</v>
      </c>
      <c r="B547" s="10" t="n">
        <v>546</v>
      </c>
      <c r="C547" s="18" t="s">
        <v>43</v>
      </c>
      <c r="D547" s="9" t="s">
        <v>1184</v>
      </c>
      <c r="E547" s="9" t="s">
        <v>1185</v>
      </c>
      <c r="F547" s="9" t="s">
        <v>16</v>
      </c>
      <c r="G547" s="10" t="n">
        <v>2021</v>
      </c>
      <c r="H547" s="10" t="n">
        <v>10</v>
      </c>
      <c r="I547" s="19" t="n">
        <v>34200</v>
      </c>
      <c r="J547" s="19" t="n">
        <v>38000</v>
      </c>
      <c r="K547" s="10" t="n">
        <v>1900</v>
      </c>
      <c r="L547" s="10" t="n">
        <v>1104</v>
      </c>
      <c r="M547" s="10" t="n">
        <v>1</v>
      </c>
      <c r="N547" s="11" t="n">
        <v>10</v>
      </c>
      <c r="O547" s="18" t="s">
        <v>56</v>
      </c>
    </row>
    <row r="548" customFormat="false" ht="15" hidden="false" customHeight="false" outlineLevel="0" collapsed="false">
      <c r="A548" s="18" t="n">
        <v>103212218</v>
      </c>
      <c r="B548" s="10" t="n">
        <v>547</v>
      </c>
      <c r="C548" s="18" t="s">
        <v>43</v>
      </c>
      <c r="D548" s="9" t="s">
        <v>1186</v>
      </c>
      <c r="E548" s="9" t="s">
        <v>1185</v>
      </c>
      <c r="F548" s="9" t="s">
        <v>16</v>
      </c>
      <c r="G548" s="10" t="n">
        <v>2021</v>
      </c>
      <c r="H548" s="10" t="n">
        <v>10</v>
      </c>
      <c r="I548" s="19" t="n">
        <v>37800</v>
      </c>
      <c r="J548" s="19" t="n">
        <v>42000</v>
      </c>
      <c r="K548" s="10" t="n">
        <v>2100</v>
      </c>
      <c r="L548" s="10" t="n">
        <v>1410</v>
      </c>
      <c r="M548" s="10" t="n">
        <v>2</v>
      </c>
      <c r="N548" s="11" t="n">
        <v>4.5</v>
      </c>
      <c r="O548" s="18" t="s">
        <v>56</v>
      </c>
    </row>
    <row r="549" customFormat="false" ht="15" hidden="false" customHeight="false" outlineLevel="0" collapsed="false">
      <c r="A549" s="18" t="n">
        <v>102471104</v>
      </c>
      <c r="B549" s="10" t="n">
        <v>548</v>
      </c>
      <c r="C549" s="18" t="s">
        <v>43</v>
      </c>
      <c r="D549" s="9" t="s">
        <v>1187</v>
      </c>
      <c r="E549" s="9" t="s">
        <v>1188</v>
      </c>
      <c r="F549" s="9" t="s">
        <v>670</v>
      </c>
      <c r="G549" s="10" t="n">
        <v>2021</v>
      </c>
      <c r="H549" s="10" t="n">
        <v>10</v>
      </c>
      <c r="I549" s="19" t="n">
        <v>19800</v>
      </c>
      <c r="J549" s="19" t="n">
        <v>22000</v>
      </c>
      <c r="K549" s="10" t="n">
        <v>1100</v>
      </c>
      <c r="L549" s="10" t="n">
        <v>1044</v>
      </c>
      <c r="M549" s="10" t="n">
        <v>28</v>
      </c>
      <c r="N549" s="11" t="n">
        <v>9.4</v>
      </c>
      <c r="O549" s="18" t="s">
        <v>56</v>
      </c>
    </row>
    <row r="550" customFormat="false" ht="15" hidden="false" customHeight="false" outlineLevel="0" collapsed="false">
      <c r="A550" s="18" t="n">
        <v>101889359</v>
      </c>
      <c r="B550" s="10" t="n">
        <v>549</v>
      </c>
      <c r="C550" s="18" t="s">
        <v>43</v>
      </c>
      <c r="D550" s="9" t="s">
        <v>1189</v>
      </c>
      <c r="E550" s="9" t="s">
        <v>1190</v>
      </c>
      <c r="F550" s="9" t="s">
        <v>12</v>
      </c>
      <c r="G550" s="10" t="n">
        <v>2021</v>
      </c>
      <c r="H550" s="10" t="n">
        <v>10</v>
      </c>
      <c r="I550" s="19" t="n">
        <v>16200</v>
      </c>
      <c r="J550" s="19" t="n">
        <v>18000</v>
      </c>
      <c r="K550" s="10" t="n">
        <v>900</v>
      </c>
      <c r="L550" s="10" t="n">
        <v>144</v>
      </c>
      <c r="M550" s="10" t="n">
        <v>8</v>
      </c>
      <c r="N550" s="11" t="n">
        <v>9.3</v>
      </c>
      <c r="O550" s="18" t="s">
        <v>56</v>
      </c>
    </row>
    <row r="551" customFormat="false" ht="15" hidden="false" customHeight="false" outlineLevel="0" collapsed="false">
      <c r="A551" s="18" t="n">
        <v>101634077</v>
      </c>
      <c r="B551" s="10" t="n">
        <v>550</v>
      </c>
      <c r="C551" s="18" t="s">
        <v>43</v>
      </c>
      <c r="D551" s="15" t="s">
        <v>1191</v>
      </c>
      <c r="E551" s="9" t="s">
        <v>1192</v>
      </c>
      <c r="F551" s="9" t="s">
        <v>1193</v>
      </c>
      <c r="G551" s="10" t="n">
        <v>2021</v>
      </c>
      <c r="H551" s="10" t="n">
        <v>10</v>
      </c>
      <c r="I551" s="19" t="n">
        <v>14850</v>
      </c>
      <c r="J551" s="19" t="n">
        <v>16500</v>
      </c>
      <c r="K551" s="10" t="n">
        <v>820</v>
      </c>
      <c r="L551" s="10" t="n">
        <v>246</v>
      </c>
      <c r="M551" s="10" t="n">
        <v>13</v>
      </c>
      <c r="N551" s="11" t="n">
        <v>9.9</v>
      </c>
      <c r="O551" s="18" t="s">
        <v>46</v>
      </c>
    </row>
    <row r="552" customFormat="false" ht="15" hidden="false" customHeight="false" outlineLevel="0" collapsed="false">
      <c r="A552" s="18" t="n">
        <v>99002759</v>
      </c>
      <c r="B552" s="10" t="n">
        <v>551</v>
      </c>
      <c r="C552" s="18" t="s">
        <v>43</v>
      </c>
      <c r="D552" s="9" t="s">
        <v>1194</v>
      </c>
      <c r="E552" s="9" t="s">
        <v>1195</v>
      </c>
      <c r="F552" s="9" t="s">
        <v>14</v>
      </c>
      <c r="G552" s="10" t="n">
        <v>2021</v>
      </c>
      <c r="H552" s="10" t="n">
        <v>10</v>
      </c>
      <c r="I552" s="19" t="n">
        <v>15300</v>
      </c>
      <c r="J552" s="19" t="n">
        <v>17000</v>
      </c>
      <c r="K552" s="10" t="n">
        <v>850</v>
      </c>
      <c r="L552" s="10" t="n">
        <v>1074</v>
      </c>
      <c r="M552" s="10" t="n">
        <v>118</v>
      </c>
      <c r="N552" s="11" t="n">
        <v>9.6</v>
      </c>
      <c r="O552" s="18" t="s">
        <v>46</v>
      </c>
    </row>
    <row r="553" customFormat="false" ht="15" hidden="false" customHeight="false" outlineLevel="0" collapsed="false">
      <c r="A553" s="18" t="n">
        <v>96580456</v>
      </c>
      <c r="B553" s="10" t="n">
        <v>552</v>
      </c>
      <c r="C553" s="18" t="s">
        <v>43</v>
      </c>
      <c r="D553" s="15" t="s">
        <v>1196</v>
      </c>
      <c r="E553" s="9" t="s">
        <v>1197</v>
      </c>
      <c r="F553" s="9" t="s">
        <v>17</v>
      </c>
      <c r="G553" s="10" t="n">
        <v>2021</v>
      </c>
      <c r="H553" s="10" t="n">
        <v>10</v>
      </c>
      <c r="I553" s="19" t="n">
        <v>16200</v>
      </c>
      <c r="J553" s="19" t="n">
        <v>18000</v>
      </c>
      <c r="K553" s="10" t="n">
        <v>900</v>
      </c>
      <c r="L553" s="10" t="n">
        <v>822</v>
      </c>
      <c r="M553" s="10" t="n">
        <v>45</v>
      </c>
      <c r="N553" s="11" t="n">
        <v>9.9</v>
      </c>
      <c r="O553" s="18" t="s">
        <v>46</v>
      </c>
    </row>
    <row r="554" customFormat="false" ht="15" hidden="false" customHeight="false" outlineLevel="0" collapsed="false">
      <c r="A554" s="18" t="n">
        <v>96234546</v>
      </c>
      <c r="B554" s="10" t="n">
        <v>553</v>
      </c>
      <c r="C554" s="18" t="s">
        <v>43</v>
      </c>
      <c r="D554" s="9" t="s">
        <v>1198</v>
      </c>
      <c r="E554" s="9" t="s">
        <v>118</v>
      </c>
      <c r="F554" s="9" t="s">
        <v>12</v>
      </c>
      <c r="G554" s="10" t="n">
        <v>2021</v>
      </c>
      <c r="H554" s="10" t="n">
        <v>10</v>
      </c>
      <c r="I554" s="19" t="n">
        <v>21600</v>
      </c>
      <c r="J554" s="19" t="n">
        <v>24000</v>
      </c>
      <c r="K554" s="10" t="n">
        <v>1200</v>
      </c>
      <c r="L554" s="10" t="n">
        <v>1092</v>
      </c>
      <c r="M554" s="10" t="n">
        <v>38</v>
      </c>
      <c r="N554" s="11" t="n">
        <v>9.6</v>
      </c>
      <c r="O554" s="18" t="s">
        <v>46</v>
      </c>
    </row>
    <row r="555" customFormat="false" ht="15" hidden="false" customHeight="false" outlineLevel="0" collapsed="false">
      <c r="A555" s="18" t="n">
        <v>95877099</v>
      </c>
      <c r="B555" s="10" t="n">
        <v>554</v>
      </c>
      <c r="C555" s="18" t="s">
        <v>43</v>
      </c>
      <c r="D555" s="9" t="s">
        <v>1199</v>
      </c>
      <c r="E555" s="15" t="s">
        <v>1200</v>
      </c>
      <c r="F555" s="9" t="s">
        <v>732</v>
      </c>
      <c r="G555" s="10" t="n">
        <v>2017</v>
      </c>
      <c r="H555" s="10" t="n">
        <v>0</v>
      </c>
      <c r="I555" s="19" t="n">
        <v>35000</v>
      </c>
      <c r="J555" s="19" t="n">
        <v>35000</v>
      </c>
      <c r="K555" s="10" t="n">
        <v>0</v>
      </c>
      <c r="L555" s="10" t="n">
        <v>516</v>
      </c>
      <c r="M555" s="10" t="n">
        <v>2</v>
      </c>
      <c r="N555" s="11" t="n">
        <v>7.5</v>
      </c>
      <c r="O555" s="18" t="s">
        <v>56</v>
      </c>
    </row>
    <row r="556" customFormat="false" ht="15" hidden="false" customHeight="false" outlineLevel="0" collapsed="false">
      <c r="A556" s="18" t="n">
        <v>95800974</v>
      </c>
      <c r="B556" s="10" t="n">
        <v>555</v>
      </c>
      <c r="C556" s="18" t="s">
        <v>43</v>
      </c>
      <c r="D556" s="9" t="s">
        <v>1201</v>
      </c>
      <c r="E556" s="9" t="s">
        <v>1202</v>
      </c>
      <c r="F556" s="9" t="s">
        <v>16</v>
      </c>
      <c r="G556" s="10" t="n">
        <v>2020</v>
      </c>
      <c r="H556" s="10" t="n">
        <v>10</v>
      </c>
      <c r="I556" s="19" t="n">
        <v>23400</v>
      </c>
      <c r="J556" s="19" t="n">
        <v>26000</v>
      </c>
      <c r="K556" s="10" t="n">
        <v>1300</v>
      </c>
      <c r="L556" s="10" t="n">
        <v>2067</v>
      </c>
      <c r="M556" s="10" t="n">
        <v>40</v>
      </c>
      <c r="N556" s="11" t="n">
        <v>9.6</v>
      </c>
      <c r="O556" s="18" t="s">
        <v>56</v>
      </c>
    </row>
    <row r="557" customFormat="false" ht="15" hidden="false" customHeight="false" outlineLevel="0" collapsed="false">
      <c r="A557" s="18" t="n">
        <v>95520735</v>
      </c>
      <c r="B557" s="10" t="n">
        <v>556</v>
      </c>
      <c r="C557" s="18" t="s">
        <v>43</v>
      </c>
      <c r="D557" s="9" t="s">
        <v>1203</v>
      </c>
      <c r="E557" s="9" t="s">
        <v>1204</v>
      </c>
      <c r="F557" s="9" t="s">
        <v>422</v>
      </c>
      <c r="G557" s="10" t="n">
        <v>2020</v>
      </c>
      <c r="H557" s="10" t="n">
        <v>10</v>
      </c>
      <c r="I557" s="19" t="n">
        <v>27000</v>
      </c>
      <c r="J557" s="19" t="n">
        <v>30000</v>
      </c>
      <c r="K557" s="10" t="n">
        <v>1500</v>
      </c>
      <c r="L557" s="10" t="n">
        <v>246</v>
      </c>
      <c r="M557" s="10" t="n">
        <v>9</v>
      </c>
      <c r="N557" s="11" t="n">
        <v>9.3</v>
      </c>
      <c r="O557" s="18" t="s">
        <v>56</v>
      </c>
    </row>
    <row r="558" customFormat="false" ht="15" hidden="false" customHeight="false" outlineLevel="0" collapsed="false">
      <c r="A558" s="18" t="n">
        <v>95343845</v>
      </c>
      <c r="B558" s="10" t="n">
        <v>557</v>
      </c>
      <c r="C558" s="18" t="s">
        <v>43</v>
      </c>
      <c r="D558" s="9" t="s">
        <v>1205</v>
      </c>
      <c r="E558" s="9" t="s">
        <v>285</v>
      </c>
      <c r="F558" s="9" t="s">
        <v>12</v>
      </c>
      <c r="G558" s="10" t="n">
        <v>2020</v>
      </c>
      <c r="H558" s="10" t="n">
        <v>10</v>
      </c>
      <c r="I558" s="19" t="n">
        <v>34200</v>
      </c>
      <c r="J558" s="19" t="n">
        <v>38000</v>
      </c>
      <c r="K558" s="10" t="n">
        <v>1900</v>
      </c>
      <c r="L558" s="10" t="n">
        <v>2052</v>
      </c>
      <c r="M558" s="10" t="n">
        <v>31</v>
      </c>
      <c r="N558" s="11" t="n">
        <v>9.7</v>
      </c>
      <c r="O558" s="18" t="s">
        <v>46</v>
      </c>
    </row>
    <row r="559" customFormat="false" ht="15" hidden="false" customHeight="false" outlineLevel="0" collapsed="false">
      <c r="A559" s="18" t="n">
        <v>91574113</v>
      </c>
      <c r="B559" s="10" t="n">
        <v>558</v>
      </c>
      <c r="C559" s="18" t="s">
        <v>43</v>
      </c>
      <c r="D559" s="9" t="s">
        <v>1206</v>
      </c>
      <c r="E559" s="9" t="s">
        <v>1207</v>
      </c>
      <c r="F559" s="9" t="s">
        <v>514</v>
      </c>
      <c r="G559" s="10" t="n">
        <v>2020</v>
      </c>
      <c r="H559" s="10" t="n">
        <v>10</v>
      </c>
      <c r="I559" s="19" t="n">
        <v>34200</v>
      </c>
      <c r="J559" s="19" t="n">
        <v>38000</v>
      </c>
      <c r="K559" s="10" t="n">
        <v>1900</v>
      </c>
      <c r="L559" s="10" t="n">
        <v>1086</v>
      </c>
      <c r="M559" s="10" t="n">
        <v>5</v>
      </c>
      <c r="N559" s="11" t="n">
        <v>7.4</v>
      </c>
      <c r="O559" s="18" t="s">
        <v>46</v>
      </c>
    </row>
    <row r="560" customFormat="false" ht="15" hidden="false" customHeight="false" outlineLevel="0" collapsed="false">
      <c r="A560" s="18" t="n">
        <v>90613346</v>
      </c>
      <c r="B560" s="10" t="n">
        <v>559</v>
      </c>
      <c r="C560" s="18" t="s">
        <v>43</v>
      </c>
      <c r="D560" s="15" t="s">
        <v>1208</v>
      </c>
      <c r="E560" s="9" t="s">
        <v>1209</v>
      </c>
      <c r="F560" s="9" t="s">
        <v>1209</v>
      </c>
      <c r="G560" s="10" t="n">
        <v>2021</v>
      </c>
      <c r="H560" s="10" t="n">
        <v>0</v>
      </c>
      <c r="I560" s="19" t="n">
        <v>50000</v>
      </c>
      <c r="J560" s="19" t="n">
        <v>50000</v>
      </c>
      <c r="K560" s="10" t="n">
        <v>0</v>
      </c>
      <c r="L560" s="10" t="n">
        <v>1458</v>
      </c>
      <c r="M560" s="10" t="n">
        <v>15</v>
      </c>
      <c r="N560" s="11" t="n">
        <v>8.5</v>
      </c>
      <c r="O560" s="18" t="s">
        <v>56</v>
      </c>
    </row>
    <row r="561" customFormat="false" ht="15" hidden="false" customHeight="false" outlineLevel="0" collapsed="false">
      <c r="A561" s="18" t="n">
        <v>89605439</v>
      </c>
      <c r="B561" s="10" t="n">
        <v>560</v>
      </c>
      <c r="C561" s="18" t="s">
        <v>43</v>
      </c>
      <c r="D561" s="9" t="s">
        <v>1210</v>
      </c>
      <c r="E561" s="9" t="s">
        <v>1211</v>
      </c>
      <c r="F561" s="9" t="s">
        <v>16</v>
      </c>
      <c r="G561" s="10" t="n">
        <v>2020</v>
      </c>
      <c r="H561" s="10" t="n">
        <v>10</v>
      </c>
      <c r="I561" s="19" t="n">
        <v>31500</v>
      </c>
      <c r="J561" s="19" t="n">
        <v>35000</v>
      </c>
      <c r="K561" s="10" t="n">
        <v>1750</v>
      </c>
      <c r="L561" s="10" t="n">
        <v>1866</v>
      </c>
      <c r="M561" s="10" t="n">
        <v>19</v>
      </c>
      <c r="N561" s="11" t="n">
        <v>9.9</v>
      </c>
      <c r="O561" s="18" t="s">
        <v>46</v>
      </c>
    </row>
    <row r="562" customFormat="false" ht="15" hidden="false" customHeight="false" outlineLevel="0" collapsed="false">
      <c r="A562" s="18" t="n">
        <v>89176602</v>
      </c>
      <c r="B562" s="10" t="n">
        <v>561</v>
      </c>
      <c r="C562" s="18" t="s">
        <v>43</v>
      </c>
      <c r="D562" s="9" t="s">
        <v>1212</v>
      </c>
      <c r="E562" s="9" t="s">
        <v>1213</v>
      </c>
      <c r="F562" s="9" t="s">
        <v>64</v>
      </c>
      <c r="G562" s="10" t="n">
        <v>2020</v>
      </c>
      <c r="H562" s="10" t="n">
        <v>10</v>
      </c>
      <c r="I562" s="19" t="n">
        <v>19800</v>
      </c>
      <c r="J562" s="19" t="n">
        <v>22000</v>
      </c>
      <c r="K562" s="10" t="n">
        <v>1100</v>
      </c>
      <c r="L562" s="10" t="n">
        <v>726</v>
      </c>
      <c r="M562" s="10" t="n">
        <v>10</v>
      </c>
      <c r="N562" s="11" t="n">
        <v>9</v>
      </c>
      <c r="O562" s="18" t="s">
        <v>56</v>
      </c>
    </row>
    <row r="563" customFormat="false" ht="15" hidden="false" customHeight="false" outlineLevel="0" collapsed="false">
      <c r="A563" s="18" t="n">
        <v>75454395</v>
      </c>
      <c r="B563" s="10" t="n">
        <v>562</v>
      </c>
      <c r="C563" s="18" t="s">
        <v>43</v>
      </c>
      <c r="D563" s="9" t="s">
        <v>1214</v>
      </c>
      <c r="E563" s="9" t="s">
        <v>1215</v>
      </c>
      <c r="F563" s="9" t="s">
        <v>311</v>
      </c>
      <c r="G563" s="10" t="n">
        <v>2019</v>
      </c>
      <c r="H563" s="10" t="n">
        <v>10</v>
      </c>
      <c r="I563" s="19" t="n">
        <v>12600</v>
      </c>
      <c r="J563" s="19" t="n">
        <v>14000</v>
      </c>
      <c r="K563" s="10" t="n">
        <v>700</v>
      </c>
      <c r="L563" s="10" t="n">
        <v>240</v>
      </c>
      <c r="M563" s="10" t="n">
        <v>9</v>
      </c>
      <c r="N563" s="11" t="n">
        <v>9.3</v>
      </c>
      <c r="O563" s="18" t="s">
        <v>56</v>
      </c>
    </row>
    <row r="564" customFormat="false" ht="15" hidden="false" customHeight="false" outlineLevel="0" collapsed="false">
      <c r="A564" s="18" t="n">
        <v>72227684</v>
      </c>
      <c r="B564" s="10" t="n">
        <v>563</v>
      </c>
      <c r="C564" s="18" t="s">
        <v>43</v>
      </c>
      <c r="D564" s="9" t="s">
        <v>1216</v>
      </c>
      <c r="E564" s="9" t="s">
        <v>1217</v>
      </c>
      <c r="F564" s="9" t="s">
        <v>14</v>
      </c>
      <c r="G564" s="10" t="n">
        <v>2019</v>
      </c>
      <c r="H564" s="10" t="n">
        <v>10</v>
      </c>
      <c r="I564" s="19" t="n">
        <v>16200</v>
      </c>
      <c r="J564" s="19" t="n">
        <v>18000</v>
      </c>
      <c r="K564" s="10" t="n">
        <v>900</v>
      </c>
      <c r="L564" s="10" t="n">
        <v>3375</v>
      </c>
      <c r="M564" s="10" t="n">
        <v>34</v>
      </c>
      <c r="N564" s="11" t="n">
        <v>9.4</v>
      </c>
      <c r="O564" s="18" t="s">
        <v>46</v>
      </c>
    </row>
    <row r="565" customFormat="false" ht="15" hidden="false" customHeight="false" outlineLevel="0" collapsed="false">
      <c r="A565" s="18" t="n">
        <v>72173703</v>
      </c>
      <c r="B565" s="10" t="n">
        <v>564</v>
      </c>
      <c r="C565" s="18" t="s">
        <v>43</v>
      </c>
      <c r="D565" s="9" t="s">
        <v>1218</v>
      </c>
      <c r="E565" s="9" t="s">
        <v>285</v>
      </c>
      <c r="F565" s="9" t="s">
        <v>12</v>
      </c>
      <c r="G565" s="10" t="n">
        <v>2019</v>
      </c>
      <c r="H565" s="10" t="n">
        <v>10</v>
      </c>
      <c r="I565" s="19" t="n">
        <v>26100</v>
      </c>
      <c r="J565" s="19" t="n">
        <v>29000</v>
      </c>
      <c r="K565" s="10" t="n">
        <v>1450</v>
      </c>
      <c r="L565" s="10" t="n">
        <v>3648</v>
      </c>
      <c r="M565" s="10" t="n">
        <v>46</v>
      </c>
      <c r="N565" s="11" t="n">
        <v>9.9</v>
      </c>
      <c r="O565" s="18" t="s">
        <v>46</v>
      </c>
    </row>
    <row r="566" customFormat="false" ht="15" hidden="false" customHeight="false" outlineLevel="0" collapsed="false">
      <c r="A566" s="18" t="n">
        <v>66913718</v>
      </c>
      <c r="B566" s="10" t="n">
        <v>565</v>
      </c>
      <c r="C566" s="18" t="s">
        <v>43</v>
      </c>
      <c r="D566" s="9" t="s">
        <v>1219</v>
      </c>
      <c r="E566" s="9" t="s">
        <v>1220</v>
      </c>
      <c r="F566" s="9" t="s">
        <v>211</v>
      </c>
      <c r="G566" s="10" t="n">
        <v>2018</v>
      </c>
      <c r="H566" s="10" t="n">
        <v>10</v>
      </c>
      <c r="I566" s="19" t="n">
        <v>22500</v>
      </c>
      <c r="J566" s="19" t="n">
        <v>25000</v>
      </c>
      <c r="K566" s="10" t="n">
        <v>1250</v>
      </c>
      <c r="L566" s="10" t="n">
        <v>1968</v>
      </c>
      <c r="M566" s="10" t="n">
        <v>33</v>
      </c>
      <c r="N566" s="11" t="n">
        <v>9.2</v>
      </c>
      <c r="O566" s="18" t="s">
        <v>46</v>
      </c>
    </row>
    <row r="567" customFormat="false" ht="15" hidden="false" customHeight="false" outlineLevel="0" collapsed="false">
      <c r="A567" s="18" t="n">
        <v>66531799</v>
      </c>
      <c r="B567" s="10" t="n">
        <v>566</v>
      </c>
      <c r="C567" s="18" t="s">
        <v>43</v>
      </c>
      <c r="D567" s="9" t="s">
        <v>1221</v>
      </c>
      <c r="E567" s="9" t="s">
        <v>1222</v>
      </c>
      <c r="F567" s="9" t="s">
        <v>14</v>
      </c>
      <c r="G567" s="10" t="n">
        <v>2018</v>
      </c>
      <c r="H567" s="10" t="n">
        <v>10</v>
      </c>
      <c r="I567" s="19" t="n">
        <v>10800</v>
      </c>
      <c r="J567" s="19" t="n">
        <v>12000</v>
      </c>
      <c r="K567" s="10" t="n">
        <v>600</v>
      </c>
      <c r="L567" s="10" t="n">
        <v>2523</v>
      </c>
      <c r="M567" s="10" t="n">
        <v>50</v>
      </c>
      <c r="N567" s="11" t="n">
        <v>9.7</v>
      </c>
      <c r="O567" s="18" t="s">
        <v>46</v>
      </c>
    </row>
    <row r="568" customFormat="false" ht="15" hidden="false" customHeight="false" outlineLevel="0" collapsed="false">
      <c r="A568" s="18" t="n">
        <v>65576412</v>
      </c>
      <c r="B568" s="10" t="n">
        <v>567</v>
      </c>
      <c r="C568" s="18" t="s">
        <v>43</v>
      </c>
      <c r="D568" s="9" t="s">
        <v>1223</v>
      </c>
      <c r="E568" s="9" t="s">
        <v>1224</v>
      </c>
      <c r="F568" s="9" t="s">
        <v>16</v>
      </c>
      <c r="G568" s="10" t="n">
        <v>2018</v>
      </c>
      <c r="H568" s="10" t="n">
        <v>10</v>
      </c>
      <c r="I568" s="19" t="n">
        <v>37800</v>
      </c>
      <c r="J568" s="19" t="n">
        <v>42000</v>
      </c>
      <c r="K568" s="10" t="n">
        <v>2100</v>
      </c>
      <c r="L568" s="10" t="n">
        <v>786</v>
      </c>
      <c r="M568" s="10" t="n">
        <v>13</v>
      </c>
      <c r="N568" s="11" t="n">
        <v>9.1</v>
      </c>
      <c r="O568" s="18" t="s">
        <v>46</v>
      </c>
    </row>
    <row r="569" customFormat="false" ht="15" hidden="false" customHeight="false" outlineLevel="0" collapsed="false">
      <c r="A569" s="18" t="n">
        <v>61791203</v>
      </c>
      <c r="B569" s="10" t="n">
        <v>568</v>
      </c>
      <c r="C569" s="18" t="s">
        <v>43</v>
      </c>
      <c r="D569" s="9" t="s">
        <v>1225</v>
      </c>
      <c r="E569" s="9" t="s">
        <v>1226</v>
      </c>
      <c r="F569" s="9" t="s">
        <v>211</v>
      </c>
      <c r="G569" s="10" t="n">
        <v>2018</v>
      </c>
      <c r="H569" s="10" t="n">
        <v>10</v>
      </c>
      <c r="I569" s="19" t="n">
        <v>18000</v>
      </c>
      <c r="J569" s="19" t="n">
        <v>20000</v>
      </c>
      <c r="K569" s="10" t="n">
        <v>1000</v>
      </c>
      <c r="L569" s="10" t="n">
        <v>1191</v>
      </c>
      <c r="M569" s="10" t="n">
        <v>14</v>
      </c>
      <c r="N569" s="11" t="n">
        <v>9.6</v>
      </c>
      <c r="O569" s="18" t="s">
        <v>56</v>
      </c>
    </row>
    <row r="570" customFormat="false" ht="15" hidden="false" customHeight="false" outlineLevel="0" collapsed="false">
      <c r="A570" s="18" t="n">
        <v>58551591</v>
      </c>
      <c r="B570" s="10" t="n">
        <v>569</v>
      </c>
      <c r="C570" s="18" t="s">
        <v>43</v>
      </c>
      <c r="D570" s="9" t="s">
        <v>1227</v>
      </c>
      <c r="E570" s="9" t="s">
        <v>1228</v>
      </c>
      <c r="F570" s="9" t="s">
        <v>17</v>
      </c>
      <c r="G570" s="10" t="n">
        <v>2018</v>
      </c>
      <c r="H570" s="10" t="n">
        <v>10</v>
      </c>
      <c r="I570" s="19" t="n">
        <v>13500</v>
      </c>
      <c r="J570" s="19" t="n">
        <v>15000</v>
      </c>
      <c r="K570" s="10" t="n">
        <v>750</v>
      </c>
      <c r="L570" s="10" t="n">
        <v>684</v>
      </c>
      <c r="M570" s="10" t="n">
        <v>41</v>
      </c>
      <c r="N570" s="11" t="n">
        <v>8.8</v>
      </c>
      <c r="O570" s="18" t="s">
        <v>56</v>
      </c>
    </row>
    <row r="571" customFormat="false" ht="15" hidden="false" customHeight="false" outlineLevel="0" collapsed="false">
      <c r="A571" s="18" t="n">
        <v>55226149</v>
      </c>
      <c r="B571" s="10" t="n">
        <v>570</v>
      </c>
      <c r="C571" s="18" t="s">
        <v>43</v>
      </c>
      <c r="D571" s="9" t="s">
        <v>1229</v>
      </c>
      <c r="E571" s="15" t="s">
        <v>1230</v>
      </c>
      <c r="F571" s="9" t="s">
        <v>23</v>
      </c>
      <c r="G571" s="10" t="n">
        <v>2017</v>
      </c>
      <c r="H571" s="10" t="n">
        <v>10</v>
      </c>
      <c r="I571" s="19" t="n">
        <v>10800</v>
      </c>
      <c r="J571" s="19" t="n">
        <v>12000</v>
      </c>
      <c r="K571" s="10" t="n">
        <v>600</v>
      </c>
      <c r="L571" s="10" t="n">
        <v>540</v>
      </c>
      <c r="M571" s="10" t="n">
        <v>12</v>
      </c>
      <c r="N571" s="11" t="n">
        <v>9.7</v>
      </c>
      <c r="O571" s="18" t="s">
        <v>56</v>
      </c>
    </row>
    <row r="572" customFormat="false" ht="15" hidden="false" customHeight="false" outlineLevel="0" collapsed="false">
      <c r="A572" s="18" t="n">
        <v>44130507</v>
      </c>
      <c r="B572" s="10" t="n">
        <v>571</v>
      </c>
      <c r="C572" s="18" t="s">
        <v>43</v>
      </c>
      <c r="D572" s="15" t="s">
        <v>1231</v>
      </c>
      <c r="E572" s="9" t="s">
        <v>1232</v>
      </c>
      <c r="F572" s="9" t="s">
        <v>21</v>
      </c>
      <c r="G572" s="10" t="n">
        <v>2020</v>
      </c>
      <c r="H572" s="10" t="n">
        <v>10</v>
      </c>
      <c r="I572" s="19" t="n">
        <v>43200</v>
      </c>
      <c r="J572" s="19" t="n">
        <v>48000</v>
      </c>
      <c r="K572" s="10" t="n">
        <v>2400</v>
      </c>
      <c r="L572" s="10" t="n">
        <v>558</v>
      </c>
      <c r="M572" s="10" t="n">
        <v>4</v>
      </c>
      <c r="N572" s="11" t="n">
        <v>9.3</v>
      </c>
      <c r="O572" s="18" t="s">
        <v>56</v>
      </c>
    </row>
    <row r="573" customFormat="false" ht="15" hidden="false" customHeight="false" outlineLevel="0" collapsed="false">
      <c r="A573" s="18" t="n">
        <v>35405678</v>
      </c>
      <c r="B573" s="10" t="n">
        <v>572</v>
      </c>
      <c r="C573" s="18" t="s">
        <v>43</v>
      </c>
      <c r="D573" s="15" t="s">
        <v>1233</v>
      </c>
      <c r="E573" s="15" t="s">
        <v>1234</v>
      </c>
      <c r="F573" s="9" t="s">
        <v>1235</v>
      </c>
      <c r="G573" s="10" t="n">
        <v>2017</v>
      </c>
      <c r="H573" s="10" t="n">
        <v>0</v>
      </c>
      <c r="I573" s="19" t="n">
        <v>33000</v>
      </c>
      <c r="J573" s="19" t="n">
        <v>33000</v>
      </c>
      <c r="K573" s="10" t="n">
        <v>0</v>
      </c>
      <c r="L573" s="10" t="n">
        <v>1773</v>
      </c>
      <c r="M573" s="10" t="n">
        <v>6</v>
      </c>
      <c r="N573" s="11" t="n">
        <v>9.7</v>
      </c>
      <c r="O573" s="18" t="s">
        <v>56</v>
      </c>
    </row>
    <row r="574" customFormat="false" ht="15" hidden="false" customHeight="false" outlineLevel="0" collapsed="false">
      <c r="A574" s="18" t="n">
        <v>22380570</v>
      </c>
      <c r="B574" s="10" t="n">
        <v>573</v>
      </c>
      <c r="C574" s="18" t="s">
        <v>43</v>
      </c>
      <c r="D574" s="9" t="s">
        <v>1236</v>
      </c>
      <c r="E574" s="9" t="s">
        <v>1237</v>
      </c>
      <c r="F574" s="9" t="s">
        <v>12</v>
      </c>
      <c r="G574" s="10" t="n">
        <v>2015</v>
      </c>
      <c r="H574" s="10" t="n">
        <v>10</v>
      </c>
      <c r="I574" s="19" t="n">
        <v>13500</v>
      </c>
      <c r="J574" s="19" t="n">
        <v>15000</v>
      </c>
      <c r="K574" s="10" t="n">
        <v>750</v>
      </c>
      <c r="L574" s="10" t="n">
        <v>510</v>
      </c>
      <c r="M574" s="10" t="n">
        <v>40</v>
      </c>
      <c r="N574" s="11" t="n">
        <v>8.8</v>
      </c>
      <c r="O574" s="18" t="s">
        <v>56</v>
      </c>
    </row>
    <row r="575" customFormat="false" ht="15" hidden="false" customHeight="false" outlineLevel="0" collapsed="false">
      <c r="A575" s="18" t="n">
        <v>4130988</v>
      </c>
      <c r="B575" s="10" t="n">
        <v>574</v>
      </c>
      <c r="C575" s="18" t="s">
        <v>43</v>
      </c>
      <c r="D575" s="9" t="s">
        <v>1238</v>
      </c>
      <c r="E575" s="9" t="s">
        <v>1239</v>
      </c>
      <c r="F575" s="9" t="s">
        <v>1240</v>
      </c>
      <c r="G575" s="10" t="n">
        <v>2010</v>
      </c>
      <c r="H575" s="10" t="n">
        <v>10</v>
      </c>
      <c r="I575" s="19" t="n">
        <v>22500</v>
      </c>
      <c r="J575" s="19" t="n">
        <v>25000</v>
      </c>
      <c r="K575" s="10" t="n">
        <v>1250</v>
      </c>
      <c r="L575" s="10" t="n">
        <v>1320</v>
      </c>
      <c r="M575" s="10" t="n">
        <v>6</v>
      </c>
      <c r="N575" s="11" t="n">
        <v>10</v>
      </c>
      <c r="O575" s="18" t="s">
        <v>56</v>
      </c>
    </row>
    <row r="576" customFormat="false" ht="15" hidden="false" customHeight="false" outlineLevel="0" collapsed="false">
      <c r="A576" s="18" t="n">
        <v>3683839</v>
      </c>
      <c r="B576" s="10" t="n">
        <v>575</v>
      </c>
      <c r="C576" s="18" t="s">
        <v>43</v>
      </c>
      <c r="D576" s="9" t="s">
        <v>1241</v>
      </c>
      <c r="E576" s="9" t="s">
        <v>1242</v>
      </c>
      <c r="F576" s="15" t="s">
        <v>1243</v>
      </c>
      <c r="G576" s="10" t="n">
        <v>2010</v>
      </c>
      <c r="H576" s="10" t="n">
        <v>10</v>
      </c>
      <c r="I576" s="19" t="n">
        <v>16200</v>
      </c>
      <c r="J576" s="19" t="n">
        <v>18000</v>
      </c>
      <c r="K576" s="10" t="n">
        <v>900</v>
      </c>
      <c r="L576" s="10" t="n">
        <v>852</v>
      </c>
      <c r="M576" s="10" t="n">
        <v>4</v>
      </c>
      <c r="N576" s="11" t="n">
        <v>9</v>
      </c>
      <c r="O576" s="18" t="s">
        <v>56</v>
      </c>
    </row>
    <row r="577" customFormat="false" ht="15" hidden="false" customHeight="false" outlineLevel="0" collapsed="false">
      <c r="A577" s="18" t="n">
        <v>189628201</v>
      </c>
      <c r="B577" s="10" t="n">
        <v>576</v>
      </c>
      <c r="C577" s="18" t="s">
        <v>43</v>
      </c>
      <c r="D577" s="15" t="s">
        <v>1244</v>
      </c>
      <c r="E577" s="9" t="s">
        <v>1245</v>
      </c>
      <c r="F577" s="9" t="s">
        <v>23</v>
      </c>
      <c r="G577" s="10" t="n">
        <v>2026</v>
      </c>
      <c r="H577" s="10" t="n">
        <v>10</v>
      </c>
      <c r="I577" s="19" t="n">
        <v>32400</v>
      </c>
      <c r="J577" s="19" t="n">
        <v>36000</v>
      </c>
      <c r="K577" s="10" t="n">
        <v>1800</v>
      </c>
      <c r="L577" s="10" t="n">
        <v>534</v>
      </c>
      <c r="M577" s="10" t="n">
        <v>2</v>
      </c>
      <c r="N577" s="11" t="n">
        <v>10</v>
      </c>
      <c r="O577" s="18" t="s">
        <v>56</v>
      </c>
    </row>
    <row r="578" customFormat="false" ht="15" hidden="false" customHeight="false" outlineLevel="0" collapsed="false">
      <c r="A578" s="18" t="n">
        <v>189886108</v>
      </c>
      <c r="B578" s="10" t="n">
        <v>577</v>
      </c>
      <c r="C578" s="18" t="s">
        <v>43</v>
      </c>
      <c r="D578" s="9" t="s">
        <v>1246</v>
      </c>
      <c r="E578" s="9" t="s">
        <v>1247</v>
      </c>
      <c r="F578" s="9" t="s">
        <v>1248</v>
      </c>
      <c r="G578" s="10" t="n">
        <v>2026</v>
      </c>
      <c r="H578" s="10" t="n">
        <v>10</v>
      </c>
      <c r="I578" s="19" t="n">
        <v>10710</v>
      </c>
      <c r="J578" s="19" t="n">
        <v>11900</v>
      </c>
      <c r="K578" s="10" t="n">
        <v>590</v>
      </c>
      <c r="L578" s="10" t="n">
        <v>120</v>
      </c>
      <c r="M578" s="10" t="n">
        <v>0</v>
      </c>
      <c r="N578" s="11" t="n">
        <v>0</v>
      </c>
      <c r="O578" s="18" t="s">
        <v>56</v>
      </c>
    </row>
    <row r="579" customFormat="false" ht="15" hidden="false" customHeight="false" outlineLevel="0" collapsed="false">
      <c r="A579" s="18" t="n">
        <v>189627877</v>
      </c>
      <c r="B579" s="10" t="n">
        <v>578</v>
      </c>
      <c r="C579" s="18" t="s">
        <v>43</v>
      </c>
      <c r="D579" s="9" t="s">
        <v>1249</v>
      </c>
      <c r="E579" s="9" t="s">
        <v>1250</v>
      </c>
      <c r="F579" s="9" t="s">
        <v>564</v>
      </c>
      <c r="G579" s="10" t="n">
        <v>2026</v>
      </c>
      <c r="H579" s="10" t="n">
        <v>10</v>
      </c>
      <c r="I579" s="19" t="n">
        <v>22500</v>
      </c>
      <c r="J579" s="19" t="n">
        <v>25000</v>
      </c>
      <c r="K579" s="10" t="n">
        <v>1250</v>
      </c>
      <c r="L579" s="10" t="n">
        <v>498</v>
      </c>
      <c r="M579" s="10" t="n">
        <v>0</v>
      </c>
      <c r="N579" s="11" t="n">
        <v>0</v>
      </c>
      <c r="O579" s="18" t="s">
        <v>56</v>
      </c>
    </row>
    <row r="580" customFormat="false" ht="15" hidden="false" customHeight="false" outlineLevel="0" collapsed="false">
      <c r="A580" s="18" t="n">
        <v>189335830</v>
      </c>
      <c r="B580" s="10" t="n">
        <v>579</v>
      </c>
      <c r="C580" s="18" t="s">
        <v>43</v>
      </c>
      <c r="D580" s="9" t="s">
        <v>1251</v>
      </c>
      <c r="E580" s="9" t="s">
        <v>1252</v>
      </c>
      <c r="F580" s="9" t="s">
        <v>1253</v>
      </c>
      <c r="G580" s="10" t="n">
        <v>2026</v>
      </c>
      <c r="H580" s="10" t="n">
        <v>10</v>
      </c>
      <c r="I580" s="19" t="n">
        <v>20700</v>
      </c>
      <c r="J580" s="19" t="n">
        <v>23000</v>
      </c>
      <c r="K580" s="10" t="n">
        <v>1150</v>
      </c>
      <c r="L580" s="10" t="n">
        <v>372</v>
      </c>
      <c r="M580" s="10" t="n">
        <v>5</v>
      </c>
      <c r="N580" s="11" t="n">
        <v>10</v>
      </c>
      <c r="O580" s="18" t="s">
        <v>56</v>
      </c>
    </row>
    <row r="581" customFormat="false" ht="15" hidden="false" customHeight="false" outlineLevel="0" collapsed="false">
      <c r="A581" s="18" t="n">
        <v>188906357</v>
      </c>
      <c r="B581" s="10" t="n">
        <v>580</v>
      </c>
      <c r="C581" s="18" t="s">
        <v>43</v>
      </c>
      <c r="D581" s="15" t="s">
        <v>1254</v>
      </c>
      <c r="E581" s="9" t="s">
        <v>1255</v>
      </c>
      <c r="F581" s="9" t="s">
        <v>1256</v>
      </c>
      <c r="G581" s="10" t="n">
        <v>2026</v>
      </c>
      <c r="H581" s="10" t="n">
        <v>5</v>
      </c>
      <c r="I581" s="19" t="n">
        <v>19000</v>
      </c>
      <c r="J581" s="19" t="n">
        <v>20000</v>
      </c>
      <c r="K581" s="10" t="n">
        <v>400</v>
      </c>
      <c r="L581" s="10" t="n">
        <v>615</v>
      </c>
      <c r="M581" s="10" t="n">
        <v>2</v>
      </c>
      <c r="N581" s="11" t="n">
        <v>10</v>
      </c>
      <c r="O581" s="18" t="s">
        <v>56</v>
      </c>
    </row>
    <row r="582" customFormat="false" ht="15" hidden="false" customHeight="false" outlineLevel="0" collapsed="false">
      <c r="A582" s="18" t="n">
        <v>186141317</v>
      </c>
      <c r="B582" s="10" t="n">
        <v>581</v>
      </c>
      <c r="C582" s="18" t="s">
        <v>43</v>
      </c>
      <c r="D582" s="15" t="s">
        <v>1257</v>
      </c>
      <c r="E582" s="9" t="s">
        <v>1258</v>
      </c>
      <c r="F582" s="9" t="s">
        <v>1259</v>
      </c>
      <c r="G582" s="10" t="n">
        <v>2026</v>
      </c>
      <c r="H582" s="10" t="n">
        <v>10</v>
      </c>
      <c r="I582" s="19" t="n">
        <v>17100</v>
      </c>
      <c r="J582" s="19" t="n">
        <v>19000</v>
      </c>
      <c r="K582" s="10" t="n">
        <v>950</v>
      </c>
      <c r="L582" s="10" t="n">
        <v>918</v>
      </c>
      <c r="M582" s="10" t="n">
        <v>2</v>
      </c>
      <c r="N582" s="11" t="n">
        <v>10</v>
      </c>
      <c r="O582" s="18" t="s">
        <v>56</v>
      </c>
    </row>
    <row r="583" customFormat="false" ht="15" hidden="false" customHeight="false" outlineLevel="0" collapsed="false">
      <c r="A583" s="18" t="n">
        <v>180953300</v>
      </c>
      <c r="B583" s="10" t="n">
        <v>582</v>
      </c>
      <c r="C583" s="18" t="s">
        <v>43</v>
      </c>
      <c r="D583" s="9" t="s">
        <v>1260</v>
      </c>
      <c r="E583" s="9" t="s">
        <v>1261</v>
      </c>
      <c r="F583" s="9" t="s">
        <v>19</v>
      </c>
      <c r="G583" s="10" t="n">
        <v>2026</v>
      </c>
      <c r="H583" s="10" t="n">
        <v>10</v>
      </c>
      <c r="I583" s="19" t="n">
        <v>21600</v>
      </c>
      <c r="J583" s="19" t="n">
        <v>24000</v>
      </c>
      <c r="K583" s="10" t="n">
        <v>1200</v>
      </c>
      <c r="L583" s="10" t="n">
        <v>2556</v>
      </c>
      <c r="M583" s="10" t="n">
        <v>106</v>
      </c>
      <c r="N583" s="11" t="n">
        <v>9.9</v>
      </c>
      <c r="O583" s="18" t="s">
        <v>56</v>
      </c>
    </row>
    <row r="584" customFormat="false" ht="15" hidden="false" customHeight="false" outlineLevel="0" collapsed="false">
      <c r="A584" s="18" t="n">
        <v>180386716</v>
      </c>
      <c r="B584" s="10" t="n">
        <v>583</v>
      </c>
      <c r="C584" s="18" t="s">
        <v>43</v>
      </c>
      <c r="D584" s="15" t="s">
        <v>1262</v>
      </c>
      <c r="E584" s="9" t="s">
        <v>1263</v>
      </c>
      <c r="F584" s="9" t="s">
        <v>870</v>
      </c>
      <c r="G584" s="10" t="n">
        <v>2026</v>
      </c>
      <c r="H584" s="10" t="n">
        <v>10</v>
      </c>
      <c r="I584" s="19" t="n">
        <v>22500</v>
      </c>
      <c r="J584" s="19" t="n">
        <v>25000</v>
      </c>
      <c r="K584" s="10" t="n">
        <v>1250</v>
      </c>
      <c r="L584" s="10" t="n">
        <v>1218</v>
      </c>
      <c r="M584" s="10" t="n">
        <v>5</v>
      </c>
      <c r="N584" s="11" t="n">
        <v>10</v>
      </c>
      <c r="O584" s="18" t="s">
        <v>56</v>
      </c>
    </row>
    <row r="585" customFormat="false" ht="15" hidden="false" customHeight="false" outlineLevel="0" collapsed="false">
      <c r="A585" s="18" t="n">
        <v>151789145</v>
      </c>
      <c r="B585" s="10" t="n">
        <v>584</v>
      </c>
      <c r="C585" s="18" t="s">
        <v>43</v>
      </c>
      <c r="D585" s="15" t="s">
        <v>1264</v>
      </c>
      <c r="E585" s="9" t="s">
        <v>1265</v>
      </c>
      <c r="F585" s="15" t="s">
        <v>680</v>
      </c>
      <c r="G585" s="10" t="n">
        <v>2025</v>
      </c>
      <c r="H585" s="10" t="n">
        <v>5</v>
      </c>
      <c r="I585" s="19" t="n">
        <v>28500</v>
      </c>
      <c r="J585" s="19" t="n">
        <v>30000</v>
      </c>
      <c r="K585" s="10" t="n">
        <v>900</v>
      </c>
      <c r="L585" s="10" t="n">
        <v>948</v>
      </c>
      <c r="M585" s="10" t="n">
        <v>1</v>
      </c>
      <c r="N585" s="11" t="n">
        <v>10</v>
      </c>
      <c r="O585" s="18" t="s">
        <v>56</v>
      </c>
    </row>
    <row r="586" customFormat="false" ht="15" hidden="false" customHeight="false" outlineLevel="0" collapsed="false">
      <c r="A586" s="18" t="n">
        <v>151263244</v>
      </c>
      <c r="B586" s="10" t="n">
        <v>585</v>
      </c>
      <c r="C586" s="18" t="s">
        <v>43</v>
      </c>
      <c r="D586" s="9" t="s">
        <v>1266</v>
      </c>
      <c r="E586" s="9" t="s">
        <v>1267</v>
      </c>
      <c r="F586" s="9" t="s">
        <v>14</v>
      </c>
      <c r="G586" s="10" t="n">
        <v>2025</v>
      </c>
      <c r="H586" s="10" t="n">
        <v>10</v>
      </c>
      <c r="I586" s="19" t="n">
        <v>16920</v>
      </c>
      <c r="J586" s="19" t="n">
        <v>18800</v>
      </c>
      <c r="K586" s="10" t="n">
        <v>940</v>
      </c>
      <c r="L586" s="10" t="n">
        <v>1152</v>
      </c>
      <c r="M586" s="10" t="n">
        <v>16</v>
      </c>
      <c r="N586" s="11" t="n">
        <v>9.9</v>
      </c>
      <c r="O586" s="18" t="s">
        <v>56</v>
      </c>
    </row>
    <row r="587" customFormat="false" ht="15" hidden="false" customHeight="false" outlineLevel="0" collapsed="false">
      <c r="A587" s="18" t="n">
        <v>143343835</v>
      </c>
      <c r="B587" s="10" t="n">
        <v>586</v>
      </c>
      <c r="C587" s="18" t="s">
        <v>43</v>
      </c>
      <c r="D587" s="15" t="s">
        <v>1268</v>
      </c>
      <c r="E587" s="9" t="s">
        <v>1269</v>
      </c>
      <c r="F587" s="9" t="s">
        <v>21</v>
      </c>
      <c r="G587" s="10" t="n">
        <v>2025</v>
      </c>
      <c r="H587" s="10" t="n">
        <v>10</v>
      </c>
      <c r="I587" s="19" t="n">
        <v>25200</v>
      </c>
      <c r="J587" s="19" t="n">
        <v>28000</v>
      </c>
      <c r="K587" s="10" t="n">
        <v>1400</v>
      </c>
      <c r="L587" s="10" t="n">
        <v>534</v>
      </c>
      <c r="M587" s="10" t="n">
        <v>2</v>
      </c>
      <c r="N587" s="11" t="n">
        <v>10</v>
      </c>
      <c r="O587" s="18" t="s">
        <v>56</v>
      </c>
    </row>
    <row r="588" customFormat="false" ht="15" hidden="false" customHeight="false" outlineLevel="0" collapsed="false">
      <c r="A588" s="18" t="n">
        <v>142954897</v>
      </c>
      <c r="B588" s="10" t="n">
        <v>587</v>
      </c>
      <c r="C588" s="18" t="s">
        <v>43</v>
      </c>
      <c r="D588" s="15" t="s">
        <v>1270</v>
      </c>
      <c r="E588" s="9" t="s">
        <v>1271</v>
      </c>
      <c r="F588" s="9" t="s">
        <v>12</v>
      </c>
      <c r="G588" s="10" t="n">
        <v>2025</v>
      </c>
      <c r="H588" s="10" t="n">
        <v>10</v>
      </c>
      <c r="I588" s="19" t="n">
        <v>30600</v>
      </c>
      <c r="J588" s="19" t="n">
        <v>34000</v>
      </c>
      <c r="K588" s="10" t="n">
        <v>1700</v>
      </c>
      <c r="L588" s="10" t="n">
        <v>624</v>
      </c>
      <c r="M588" s="10" t="n">
        <v>7</v>
      </c>
      <c r="N588" s="11" t="n">
        <v>10</v>
      </c>
      <c r="O588" s="18" t="s">
        <v>56</v>
      </c>
    </row>
    <row r="589" customFormat="false" ht="15" hidden="false" customHeight="false" outlineLevel="0" collapsed="false">
      <c r="A589" s="18" t="n">
        <v>138519583</v>
      </c>
      <c r="B589" s="10" t="n">
        <v>588</v>
      </c>
      <c r="C589" s="18" t="s">
        <v>43</v>
      </c>
      <c r="D589" s="9" t="s">
        <v>1272</v>
      </c>
      <c r="E589" s="9" t="s">
        <v>1273</v>
      </c>
      <c r="F589" s="9" t="s">
        <v>1274</v>
      </c>
      <c r="G589" s="10" t="n">
        <v>2024</v>
      </c>
      <c r="H589" s="10" t="n">
        <v>0</v>
      </c>
      <c r="I589" s="19" t="n">
        <v>27000</v>
      </c>
      <c r="J589" s="19" t="n">
        <v>27000</v>
      </c>
      <c r="K589" s="10" t="n">
        <v>0</v>
      </c>
      <c r="L589" s="10" t="n">
        <v>528</v>
      </c>
      <c r="M589" s="10" t="n">
        <v>2</v>
      </c>
      <c r="N589" s="11" t="n">
        <v>10</v>
      </c>
      <c r="O589" s="18" t="s">
        <v>56</v>
      </c>
    </row>
    <row r="590" customFormat="false" ht="15" hidden="false" customHeight="false" outlineLevel="0" collapsed="false">
      <c r="A590" s="18" t="n">
        <v>117586096</v>
      </c>
      <c r="B590" s="10" t="n">
        <v>589</v>
      </c>
      <c r="C590" s="18" t="s">
        <v>43</v>
      </c>
      <c r="D590" s="9" t="s">
        <v>1275</v>
      </c>
      <c r="E590" s="9" t="s">
        <v>1276</v>
      </c>
      <c r="F590" s="9" t="s">
        <v>16</v>
      </c>
      <c r="G590" s="10" t="n">
        <v>2023</v>
      </c>
      <c r="H590" s="10" t="n">
        <v>10</v>
      </c>
      <c r="I590" s="19" t="n">
        <v>28800</v>
      </c>
      <c r="J590" s="19" t="n">
        <v>32000</v>
      </c>
      <c r="K590" s="10" t="n">
        <v>1600</v>
      </c>
      <c r="L590" s="10" t="n">
        <v>396</v>
      </c>
      <c r="M590" s="10" t="n">
        <v>10</v>
      </c>
      <c r="N590" s="11" t="n">
        <v>10</v>
      </c>
      <c r="O590" s="18" t="s">
        <v>56</v>
      </c>
    </row>
    <row r="591" customFormat="false" ht="15" hidden="false" customHeight="false" outlineLevel="0" collapsed="false">
      <c r="A591" s="18" t="n">
        <v>104410708</v>
      </c>
      <c r="B591" s="10" t="n">
        <v>590</v>
      </c>
      <c r="C591" s="18" t="s">
        <v>43</v>
      </c>
      <c r="D591" s="9" t="s">
        <v>1277</v>
      </c>
      <c r="E591" s="9" t="s">
        <v>1278</v>
      </c>
      <c r="F591" s="9" t="s">
        <v>88</v>
      </c>
      <c r="G591" s="10" t="n">
        <v>2021</v>
      </c>
      <c r="H591" s="10" t="n">
        <v>10</v>
      </c>
      <c r="I591" s="19" t="n">
        <v>29700</v>
      </c>
      <c r="J591" s="19" t="n">
        <v>33000</v>
      </c>
      <c r="K591" s="10" t="n">
        <v>1650</v>
      </c>
      <c r="L591" s="10" t="n">
        <v>678</v>
      </c>
      <c r="M591" s="10" t="n">
        <v>4</v>
      </c>
      <c r="N591" s="11" t="n">
        <v>10</v>
      </c>
      <c r="O591" s="18" t="s">
        <v>46</v>
      </c>
    </row>
    <row r="592" customFormat="false" ht="15" hidden="false" customHeight="false" outlineLevel="0" collapsed="false">
      <c r="A592" s="18" t="n">
        <v>190408429</v>
      </c>
      <c r="B592" s="10" t="n">
        <v>591</v>
      </c>
      <c r="C592" s="18" t="s">
        <v>43</v>
      </c>
      <c r="D592" s="15" t="s">
        <v>1279</v>
      </c>
      <c r="E592" s="9" t="s">
        <v>1137</v>
      </c>
      <c r="F592" s="9" t="s">
        <v>1280</v>
      </c>
      <c r="G592" s="10" t="n">
        <v>2026</v>
      </c>
      <c r="H592" s="10" t="n">
        <v>0</v>
      </c>
      <c r="I592" s="19" t="n">
        <v>39800</v>
      </c>
      <c r="J592" s="19" t="n">
        <v>39800</v>
      </c>
      <c r="K592" s="10" t="n">
        <v>0</v>
      </c>
      <c r="L592" s="10" t="n">
        <v>60</v>
      </c>
      <c r="M592" s="10" t="n">
        <v>0</v>
      </c>
      <c r="N592" s="11" t="n">
        <v>0</v>
      </c>
      <c r="O592" s="18" t="s">
        <v>56</v>
      </c>
    </row>
    <row r="593" customFormat="false" ht="15" hidden="false" customHeight="false" outlineLevel="0" collapsed="false">
      <c r="A593" s="18" t="n">
        <v>190271690</v>
      </c>
      <c r="B593" s="10" t="n">
        <v>592</v>
      </c>
      <c r="C593" s="18" t="s">
        <v>43</v>
      </c>
      <c r="D593" s="9" t="s">
        <v>1281</v>
      </c>
      <c r="E593" s="9" t="s">
        <v>1282</v>
      </c>
      <c r="F593" s="15" t="s">
        <v>561</v>
      </c>
      <c r="G593" s="10" t="n">
        <v>2026</v>
      </c>
      <c r="H593" s="10" t="n">
        <v>0</v>
      </c>
      <c r="I593" s="19" t="n">
        <v>26600</v>
      </c>
      <c r="J593" s="19" t="n">
        <v>26600</v>
      </c>
      <c r="K593" s="10" t="n">
        <v>0</v>
      </c>
      <c r="L593" s="10" t="n">
        <v>60</v>
      </c>
      <c r="M593" s="10" t="n">
        <v>0</v>
      </c>
      <c r="N593" s="11" t="n">
        <v>0</v>
      </c>
      <c r="O593" s="18" t="s">
        <v>56</v>
      </c>
    </row>
    <row r="594" customFormat="false" ht="15" hidden="false" customHeight="false" outlineLevel="0" collapsed="false">
      <c r="A594" s="18" t="n">
        <v>190212039</v>
      </c>
      <c r="B594" s="10" t="n">
        <v>593</v>
      </c>
      <c r="C594" s="18" t="s">
        <v>43</v>
      </c>
      <c r="D594" s="9" t="s">
        <v>1283</v>
      </c>
      <c r="E594" s="9" t="s">
        <v>1140</v>
      </c>
      <c r="F594" s="9" t="s">
        <v>161</v>
      </c>
      <c r="G594" s="10" t="n">
        <v>2026</v>
      </c>
      <c r="H594" s="10" t="n">
        <v>10</v>
      </c>
      <c r="I594" s="19" t="n">
        <v>13500</v>
      </c>
      <c r="J594" s="19" t="n">
        <v>15000</v>
      </c>
      <c r="K594" s="10" t="n">
        <v>750</v>
      </c>
      <c r="L594" s="10" t="n">
        <v>60</v>
      </c>
      <c r="M594" s="10" t="n">
        <v>0</v>
      </c>
      <c r="N594" s="11" t="n">
        <v>0</v>
      </c>
      <c r="O594" s="18" t="s">
        <v>56</v>
      </c>
    </row>
    <row r="595" customFormat="false" ht="15" hidden="false" customHeight="false" outlineLevel="0" collapsed="false">
      <c r="A595" s="18" t="n">
        <v>190210824</v>
      </c>
      <c r="B595" s="10" t="n">
        <v>594</v>
      </c>
      <c r="C595" s="18" t="s">
        <v>43</v>
      </c>
      <c r="D595" s="15" t="s">
        <v>1284</v>
      </c>
      <c r="E595" s="9" t="s">
        <v>1285</v>
      </c>
      <c r="F595" s="9" t="s">
        <v>25</v>
      </c>
      <c r="G595" s="10" t="n">
        <v>2026</v>
      </c>
      <c r="H595" s="10" t="n">
        <v>0</v>
      </c>
      <c r="I595" s="19" t="n">
        <v>12000</v>
      </c>
      <c r="J595" s="19" t="n">
        <v>12000</v>
      </c>
      <c r="K595" s="10" t="n">
        <v>0</v>
      </c>
      <c r="L595" s="10" t="n">
        <v>60</v>
      </c>
      <c r="M595" s="10" t="n">
        <v>0</v>
      </c>
      <c r="N595" s="11" t="n">
        <v>0</v>
      </c>
      <c r="O595" s="18" t="s">
        <v>56</v>
      </c>
    </row>
    <row r="596" customFormat="false" ht="15" hidden="false" customHeight="false" outlineLevel="0" collapsed="false">
      <c r="A596" s="18" t="n">
        <v>189858146</v>
      </c>
      <c r="B596" s="10" t="n">
        <v>595</v>
      </c>
      <c r="C596" s="18" t="s">
        <v>43</v>
      </c>
      <c r="D596" s="9" t="s">
        <v>1286</v>
      </c>
      <c r="E596" s="9" t="s">
        <v>1287</v>
      </c>
      <c r="F596" s="9" t="s">
        <v>1280</v>
      </c>
      <c r="G596" s="10" t="n">
        <v>2026</v>
      </c>
      <c r="H596" s="10" t="n">
        <v>0</v>
      </c>
      <c r="I596" s="19" t="n">
        <v>39800</v>
      </c>
      <c r="J596" s="19" t="n">
        <v>39800</v>
      </c>
      <c r="K596" s="10" t="n">
        <v>0</v>
      </c>
      <c r="L596" s="10" t="n">
        <v>102</v>
      </c>
      <c r="M596" s="10" t="n">
        <v>1</v>
      </c>
      <c r="N596" s="11" t="n">
        <v>10</v>
      </c>
      <c r="O596" s="18" t="s">
        <v>56</v>
      </c>
    </row>
    <row r="597" customFormat="false" ht="15" hidden="false" customHeight="false" outlineLevel="0" collapsed="false">
      <c r="A597" s="18" t="n">
        <v>189752153</v>
      </c>
      <c r="B597" s="10" t="n">
        <v>596</v>
      </c>
      <c r="C597" s="18" t="s">
        <v>43</v>
      </c>
      <c r="D597" s="9" t="s">
        <v>1288</v>
      </c>
      <c r="E597" s="9" t="s">
        <v>1289</v>
      </c>
      <c r="F597" s="9" t="s">
        <v>14</v>
      </c>
      <c r="G597" s="10" t="n">
        <v>2026</v>
      </c>
      <c r="H597" s="10" t="n">
        <v>10</v>
      </c>
      <c r="I597" s="19" t="n">
        <v>19800</v>
      </c>
      <c r="J597" s="19" t="n">
        <v>22000</v>
      </c>
      <c r="K597" s="10" t="n">
        <v>1100</v>
      </c>
      <c r="L597" s="10" t="n">
        <v>102</v>
      </c>
      <c r="M597" s="10" t="n">
        <v>1</v>
      </c>
      <c r="N597" s="11" t="n">
        <v>10</v>
      </c>
      <c r="O597" s="18" t="s">
        <v>56</v>
      </c>
    </row>
    <row r="598" customFormat="false" ht="15" hidden="false" customHeight="false" outlineLevel="0" collapsed="false">
      <c r="A598" s="18" t="n">
        <v>189610283</v>
      </c>
      <c r="B598" s="10" t="n">
        <v>597</v>
      </c>
      <c r="C598" s="18" t="s">
        <v>43</v>
      </c>
      <c r="D598" s="9" t="s">
        <v>1290</v>
      </c>
      <c r="E598" s="9" t="s">
        <v>1291</v>
      </c>
      <c r="F598" s="9" t="s">
        <v>747</v>
      </c>
      <c r="G598" s="10" t="n">
        <v>2026</v>
      </c>
      <c r="H598" s="10" t="n">
        <v>10</v>
      </c>
      <c r="I598" s="19" t="n">
        <v>18900</v>
      </c>
      <c r="J598" s="19" t="n">
        <v>21000</v>
      </c>
      <c r="K598" s="10" t="n">
        <v>1050</v>
      </c>
      <c r="L598" s="10" t="n">
        <v>228</v>
      </c>
      <c r="M598" s="10" t="n">
        <v>0</v>
      </c>
      <c r="N598" s="11" t="n">
        <v>0</v>
      </c>
      <c r="O598" s="18" t="s">
        <v>56</v>
      </c>
    </row>
    <row r="599" customFormat="false" ht="15" hidden="false" customHeight="false" outlineLevel="0" collapsed="false">
      <c r="A599" s="18" t="n">
        <v>189602911</v>
      </c>
      <c r="B599" s="10" t="n">
        <v>598</v>
      </c>
      <c r="C599" s="18" t="s">
        <v>43</v>
      </c>
      <c r="D599" s="9" t="s">
        <v>1292</v>
      </c>
      <c r="E599" s="9" t="s">
        <v>403</v>
      </c>
      <c r="F599" s="9" t="s">
        <v>161</v>
      </c>
      <c r="G599" s="10" t="n">
        <v>2026</v>
      </c>
      <c r="H599" s="10" t="n">
        <v>10</v>
      </c>
      <c r="I599" s="19" t="n">
        <v>12600</v>
      </c>
      <c r="J599" s="19" t="n">
        <v>14000</v>
      </c>
      <c r="K599" s="10" t="n">
        <v>700</v>
      </c>
      <c r="L599" s="10" t="n">
        <v>102</v>
      </c>
      <c r="M599" s="10" t="n">
        <v>0</v>
      </c>
      <c r="N599" s="11" t="n">
        <v>0</v>
      </c>
      <c r="O599" s="18" t="s">
        <v>56</v>
      </c>
    </row>
    <row r="600" customFormat="false" ht="15" hidden="false" customHeight="false" outlineLevel="0" collapsed="false">
      <c r="A600" s="18" t="n">
        <v>189522258</v>
      </c>
      <c r="B600" s="10" t="n">
        <v>599</v>
      </c>
      <c r="C600" s="18" t="s">
        <v>43</v>
      </c>
      <c r="D600" s="15" t="s">
        <v>1293</v>
      </c>
      <c r="E600" s="9" t="s">
        <v>1294</v>
      </c>
      <c r="F600" s="9" t="s">
        <v>231</v>
      </c>
      <c r="G600" s="10" t="n">
        <v>2026</v>
      </c>
      <c r="H600" s="10" t="n">
        <v>10</v>
      </c>
      <c r="I600" s="19" t="n">
        <v>24300</v>
      </c>
      <c r="J600" s="19" t="n">
        <v>27000</v>
      </c>
      <c r="K600" s="10" t="n">
        <v>1350</v>
      </c>
      <c r="L600" s="10" t="n">
        <v>690</v>
      </c>
      <c r="M600" s="10" t="n">
        <v>0</v>
      </c>
      <c r="N600" s="11" t="n">
        <v>0</v>
      </c>
      <c r="O600" s="18" t="s">
        <v>56</v>
      </c>
    </row>
    <row r="601" customFormat="false" ht="15" hidden="false" customHeight="false" outlineLevel="0" collapsed="false">
      <c r="A601" s="18" t="n">
        <v>189439423</v>
      </c>
      <c r="B601" s="10" t="n">
        <v>600</v>
      </c>
      <c r="C601" s="18" t="s">
        <v>43</v>
      </c>
      <c r="D601" s="9" t="s">
        <v>1295</v>
      </c>
      <c r="E601" s="9" t="s">
        <v>1296</v>
      </c>
      <c r="F601" s="15" t="s">
        <v>561</v>
      </c>
      <c r="G601" s="10" t="n">
        <v>2026</v>
      </c>
      <c r="H601" s="10" t="n">
        <v>0</v>
      </c>
      <c r="I601" s="19" t="n">
        <v>9300</v>
      </c>
      <c r="J601" s="19" t="n">
        <v>9300</v>
      </c>
      <c r="K601" s="10" t="n">
        <v>0</v>
      </c>
      <c r="L601" s="10" t="n">
        <v>318</v>
      </c>
      <c r="M601" s="10" t="n">
        <v>0</v>
      </c>
      <c r="N601" s="11" t="n">
        <v>0</v>
      </c>
      <c r="O601" s="18" t="s">
        <v>56</v>
      </c>
    </row>
    <row r="602" customFormat="false" ht="15" hidden="false" customHeight="false" outlineLevel="0" collapsed="false">
      <c r="A602" s="18" t="n">
        <v>189428579</v>
      </c>
      <c r="B602" s="10" t="n">
        <v>601</v>
      </c>
      <c r="C602" s="18" t="s">
        <v>43</v>
      </c>
      <c r="D602" s="9" t="s">
        <v>1297</v>
      </c>
      <c r="E602" s="15" t="s">
        <v>1298</v>
      </c>
      <c r="F602" s="9" t="s">
        <v>422</v>
      </c>
      <c r="G602" s="10" t="n">
        <v>2026</v>
      </c>
      <c r="H602" s="10" t="n">
        <v>10</v>
      </c>
      <c r="I602" s="19" t="n">
        <v>30600</v>
      </c>
      <c r="J602" s="19" t="n">
        <v>34000</v>
      </c>
      <c r="K602" s="10" t="n">
        <v>1700</v>
      </c>
      <c r="L602" s="10" t="n">
        <v>186</v>
      </c>
      <c r="M602" s="10" t="n">
        <v>3</v>
      </c>
      <c r="N602" s="11" t="n">
        <v>8</v>
      </c>
      <c r="O602" s="18" t="s">
        <v>56</v>
      </c>
    </row>
    <row r="603" customFormat="false" ht="15" hidden="false" customHeight="false" outlineLevel="0" collapsed="false">
      <c r="A603" s="18" t="n">
        <v>189238126</v>
      </c>
      <c r="B603" s="10" t="n">
        <v>602</v>
      </c>
      <c r="C603" s="18" t="s">
        <v>43</v>
      </c>
      <c r="D603" s="9" t="s">
        <v>1299</v>
      </c>
      <c r="E603" s="9" t="s">
        <v>1300</v>
      </c>
      <c r="F603" s="9" t="s">
        <v>23</v>
      </c>
      <c r="G603" s="10" t="n">
        <v>2026</v>
      </c>
      <c r="H603" s="10" t="n">
        <v>10</v>
      </c>
      <c r="I603" s="19" t="n">
        <v>22500</v>
      </c>
      <c r="J603" s="19" t="n">
        <v>25000</v>
      </c>
      <c r="K603" s="10" t="n">
        <v>1250</v>
      </c>
      <c r="L603" s="10" t="n">
        <v>522</v>
      </c>
      <c r="M603" s="10" t="n">
        <v>12</v>
      </c>
      <c r="N603" s="11" t="n">
        <v>10</v>
      </c>
      <c r="O603" s="18" t="s">
        <v>56</v>
      </c>
    </row>
    <row r="604" customFormat="false" ht="15" hidden="false" customHeight="false" outlineLevel="0" collapsed="false">
      <c r="A604" s="18" t="n">
        <v>189205583</v>
      </c>
      <c r="B604" s="10" t="n">
        <v>603</v>
      </c>
      <c r="C604" s="18" t="s">
        <v>43</v>
      </c>
      <c r="D604" s="9" t="s">
        <v>1301</v>
      </c>
      <c r="E604" s="9" t="s">
        <v>1302</v>
      </c>
      <c r="F604" s="9" t="s">
        <v>1303</v>
      </c>
      <c r="G604" s="10" t="n">
        <v>2026</v>
      </c>
      <c r="H604" s="10" t="n">
        <v>5</v>
      </c>
      <c r="I604" s="19" t="n">
        <v>20900</v>
      </c>
      <c r="J604" s="19" t="n">
        <v>22000</v>
      </c>
      <c r="K604" s="10" t="n">
        <v>440</v>
      </c>
      <c r="L604" s="10" t="n">
        <v>186</v>
      </c>
      <c r="M604" s="10" t="n">
        <v>0</v>
      </c>
      <c r="N604" s="11" t="n">
        <v>0</v>
      </c>
      <c r="O604" s="18" t="s">
        <v>56</v>
      </c>
    </row>
    <row r="605" customFormat="false" ht="15" hidden="false" customHeight="false" outlineLevel="0" collapsed="false">
      <c r="A605" s="18" t="n">
        <v>189117532</v>
      </c>
      <c r="B605" s="10" t="n">
        <v>604</v>
      </c>
      <c r="C605" s="18" t="s">
        <v>43</v>
      </c>
      <c r="D605" s="9" t="s">
        <v>1304</v>
      </c>
      <c r="E605" s="9" t="s">
        <v>1305</v>
      </c>
      <c r="F605" s="9" t="s">
        <v>1306</v>
      </c>
      <c r="G605" s="10" t="n">
        <v>2026</v>
      </c>
      <c r="H605" s="10" t="n">
        <v>0</v>
      </c>
      <c r="I605" s="19" t="n">
        <v>30000</v>
      </c>
      <c r="J605" s="19" t="n">
        <v>30000</v>
      </c>
      <c r="K605" s="10" t="n">
        <v>0</v>
      </c>
      <c r="L605" s="10" t="n">
        <v>144</v>
      </c>
      <c r="M605" s="10" t="n">
        <v>0</v>
      </c>
      <c r="N605" s="11" t="n">
        <v>0</v>
      </c>
      <c r="O605" s="18" t="s">
        <v>56</v>
      </c>
    </row>
    <row r="606" customFormat="false" ht="15" hidden="false" customHeight="false" outlineLevel="0" collapsed="false">
      <c r="A606" s="18" t="n">
        <v>189045142</v>
      </c>
      <c r="B606" s="10" t="n">
        <v>605</v>
      </c>
      <c r="C606" s="18" t="s">
        <v>43</v>
      </c>
      <c r="D606" s="9" t="s">
        <v>1307</v>
      </c>
      <c r="E606" s="9" t="s">
        <v>1308</v>
      </c>
      <c r="F606" s="9" t="s">
        <v>14</v>
      </c>
      <c r="G606" s="10" t="n">
        <v>2026</v>
      </c>
      <c r="H606" s="10" t="n">
        <v>10</v>
      </c>
      <c r="I606" s="19" t="n">
        <v>28800</v>
      </c>
      <c r="J606" s="19" t="n">
        <v>32000</v>
      </c>
      <c r="K606" s="10" t="n">
        <v>1600</v>
      </c>
      <c r="L606" s="10" t="n">
        <v>648</v>
      </c>
      <c r="M606" s="10" t="n">
        <v>3</v>
      </c>
      <c r="N606" s="11" t="n">
        <v>9.3</v>
      </c>
      <c r="O606" s="18" t="s">
        <v>56</v>
      </c>
    </row>
    <row r="607" customFormat="false" ht="15" hidden="false" customHeight="false" outlineLevel="0" collapsed="false">
      <c r="A607" s="18" t="n">
        <v>188936904</v>
      </c>
      <c r="B607" s="10" t="n">
        <v>606</v>
      </c>
      <c r="C607" s="18" t="s">
        <v>43</v>
      </c>
      <c r="D607" s="15" t="s">
        <v>1309</v>
      </c>
      <c r="E607" s="9" t="s">
        <v>1310</v>
      </c>
      <c r="F607" s="9" t="s">
        <v>1311</v>
      </c>
      <c r="G607" s="10" t="n">
        <v>2026</v>
      </c>
      <c r="H607" s="10" t="n">
        <v>0</v>
      </c>
      <c r="I607" s="19" t="n">
        <v>20000</v>
      </c>
      <c r="J607" s="19" t="n">
        <v>20000</v>
      </c>
      <c r="K607" s="10" t="n">
        <v>0</v>
      </c>
      <c r="L607" s="10" t="n">
        <v>102</v>
      </c>
      <c r="M607" s="10" t="n">
        <v>0</v>
      </c>
      <c r="N607" s="11" t="n">
        <v>0</v>
      </c>
      <c r="O607" s="18" t="s">
        <v>56</v>
      </c>
    </row>
    <row r="608" customFormat="false" ht="15" hidden="false" customHeight="false" outlineLevel="0" collapsed="false">
      <c r="A608" s="18" t="n">
        <v>188831194</v>
      </c>
      <c r="B608" s="10" t="n">
        <v>607</v>
      </c>
      <c r="C608" s="18" t="s">
        <v>43</v>
      </c>
      <c r="D608" s="9" t="s">
        <v>1312</v>
      </c>
      <c r="E608" s="9" t="s">
        <v>1313</v>
      </c>
      <c r="F608" s="15" t="s">
        <v>561</v>
      </c>
      <c r="G608" s="10" t="n">
        <v>2026</v>
      </c>
      <c r="H608" s="10" t="n">
        <v>0</v>
      </c>
      <c r="I608" s="19" t="n">
        <v>29000</v>
      </c>
      <c r="J608" s="19" t="n">
        <v>29000</v>
      </c>
      <c r="K608" s="10" t="n">
        <v>0</v>
      </c>
      <c r="L608" s="10" t="n">
        <v>114</v>
      </c>
      <c r="M608" s="10" t="n">
        <v>0</v>
      </c>
      <c r="N608" s="11" t="n">
        <v>0</v>
      </c>
      <c r="O608" s="18" t="s">
        <v>56</v>
      </c>
    </row>
    <row r="609" customFormat="false" ht="15" hidden="false" customHeight="false" outlineLevel="0" collapsed="false">
      <c r="A609" s="18" t="n">
        <v>188601208</v>
      </c>
      <c r="B609" s="10" t="n">
        <v>608</v>
      </c>
      <c r="C609" s="18" t="s">
        <v>43</v>
      </c>
      <c r="D609" s="9" t="s">
        <v>1314</v>
      </c>
      <c r="E609" s="9" t="s">
        <v>1315</v>
      </c>
      <c r="F609" s="9" t="s">
        <v>1316</v>
      </c>
      <c r="G609" s="10" t="n">
        <v>2026</v>
      </c>
      <c r="H609" s="10" t="n">
        <v>10</v>
      </c>
      <c r="I609" s="19" t="n">
        <v>13500</v>
      </c>
      <c r="J609" s="19" t="n">
        <v>15000</v>
      </c>
      <c r="K609" s="10" t="n">
        <v>750</v>
      </c>
      <c r="L609" s="10" t="n">
        <v>324</v>
      </c>
      <c r="M609" s="10" t="n">
        <v>0</v>
      </c>
      <c r="N609" s="11" t="n">
        <v>0</v>
      </c>
      <c r="O609" s="18" t="s">
        <v>56</v>
      </c>
    </row>
    <row r="610" customFormat="false" ht="15" hidden="false" customHeight="false" outlineLevel="0" collapsed="false">
      <c r="A610" s="18" t="n">
        <v>188187932</v>
      </c>
      <c r="B610" s="10" t="n">
        <v>609</v>
      </c>
      <c r="C610" s="18" t="s">
        <v>43</v>
      </c>
      <c r="D610" s="15" t="s">
        <v>1317</v>
      </c>
      <c r="E610" s="9" t="s">
        <v>1318</v>
      </c>
      <c r="F610" s="9" t="s">
        <v>1319</v>
      </c>
      <c r="G610" s="10" t="n">
        <v>2026</v>
      </c>
      <c r="H610" s="10" t="n">
        <v>10</v>
      </c>
      <c r="I610" s="19" t="n">
        <v>16200</v>
      </c>
      <c r="J610" s="19" t="n">
        <v>18000</v>
      </c>
      <c r="K610" s="10" t="n">
        <v>900</v>
      </c>
      <c r="L610" s="10" t="n">
        <v>84</v>
      </c>
      <c r="M610" s="10" t="n">
        <v>1</v>
      </c>
      <c r="N610" s="11" t="n">
        <v>10</v>
      </c>
      <c r="O610" s="18" t="s">
        <v>56</v>
      </c>
    </row>
    <row r="611" customFormat="false" ht="15" hidden="false" customHeight="false" outlineLevel="0" collapsed="false">
      <c r="A611" s="18" t="n">
        <v>187753976</v>
      </c>
      <c r="B611" s="10" t="n">
        <v>610</v>
      </c>
      <c r="C611" s="18" t="s">
        <v>43</v>
      </c>
      <c r="D611" s="9" t="s">
        <v>1320</v>
      </c>
      <c r="E611" s="9" t="s">
        <v>1321</v>
      </c>
      <c r="F611" s="9" t="s">
        <v>12</v>
      </c>
      <c r="G611" s="10" t="n">
        <v>2026</v>
      </c>
      <c r="H611" s="10" t="n">
        <v>10</v>
      </c>
      <c r="I611" s="19" t="n">
        <v>31500</v>
      </c>
      <c r="J611" s="19" t="n">
        <v>35000</v>
      </c>
      <c r="K611" s="10" t="n">
        <v>1750</v>
      </c>
      <c r="L611" s="10" t="n">
        <v>504</v>
      </c>
      <c r="M611" s="10" t="n">
        <v>9</v>
      </c>
      <c r="N611" s="11" t="n">
        <v>10</v>
      </c>
      <c r="O611" s="18" t="s">
        <v>56</v>
      </c>
    </row>
    <row r="612" customFormat="false" ht="15" hidden="false" customHeight="false" outlineLevel="0" collapsed="false">
      <c r="A612" s="18" t="n">
        <v>187593532</v>
      </c>
      <c r="B612" s="10" t="n">
        <v>611</v>
      </c>
      <c r="C612" s="18" t="s">
        <v>43</v>
      </c>
      <c r="D612" s="9" t="s">
        <v>1322</v>
      </c>
      <c r="E612" s="9" t="s">
        <v>1287</v>
      </c>
      <c r="F612" s="9" t="s">
        <v>1280</v>
      </c>
      <c r="G612" s="10" t="n">
        <v>2026</v>
      </c>
      <c r="H612" s="10" t="n">
        <v>0</v>
      </c>
      <c r="I612" s="19" t="n">
        <v>22900</v>
      </c>
      <c r="J612" s="19" t="n">
        <v>22900</v>
      </c>
      <c r="K612" s="10" t="n">
        <v>0</v>
      </c>
      <c r="L612" s="10" t="n">
        <v>60</v>
      </c>
      <c r="M612" s="10" t="n">
        <v>0</v>
      </c>
      <c r="N612" s="11" t="n">
        <v>0</v>
      </c>
      <c r="O612" s="18" t="s">
        <v>56</v>
      </c>
    </row>
    <row r="613" customFormat="false" ht="15" hidden="false" customHeight="false" outlineLevel="0" collapsed="false">
      <c r="A613" s="18" t="n">
        <v>187593518</v>
      </c>
      <c r="B613" s="10" t="n">
        <v>612</v>
      </c>
      <c r="C613" s="18" t="s">
        <v>43</v>
      </c>
      <c r="D613" s="9" t="s">
        <v>1323</v>
      </c>
      <c r="E613" s="9" t="s">
        <v>1287</v>
      </c>
      <c r="F613" s="9" t="s">
        <v>1280</v>
      </c>
      <c r="G613" s="10" t="n">
        <v>2026</v>
      </c>
      <c r="H613" s="10" t="n">
        <v>0</v>
      </c>
      <c r="I613" s="19" t="n">
        <v>30000</v>
      </c>
      <c r="J613" s="19" t="n">
        <v>30000</v>
      </c>
      <c r="K613" s="10" t="n">
        <v>0</v>
      </c>
      <c r="L613" s="10" t="n">
        <v>102</v>
      </c>
      <c r="M613" s="10" t="n">
        <v>0</v>
      </c>
      <c r="N613" s="11" t="n">
        <v>0</v>
      </c>
      <c r="O613" s="18" t="s">
        <v>56</v>
      </c>
    </row>
    <row r="614" customFormat="false" ht="15" hidden="false" customHeight="false" outlineLevel="0" collapsed="false">
      <c r="A614" s="18" t="n">
        <v>187096645</v>
      </c>
      <c r="B614" s="10" t="n">
        <v>613</v>
      </c>
      <c r="C614" s="18" t="s">
        <v>43</v>
      </c>
      <c r="D614" s="9" t="s">
        <v>1324</v>
      </c>
      <c r="E614" s="9" t="s">
        <v>1287</v>
      </c>
      <c r="F614" s="9" t="s">
        <v>1280</v>
      </c>
      <c r="G614" s="10" t="n">
        <v>2026</v>
      </c>
      <c r="H614" s="10" t="n">
        <v>0</v>
      </c>
      <c r="I614" s="19" t="n">
        <v>38900</v>
      </c>
      <c r="J614" s="19" t="n">
        <v>38900</v>
      </c>
      <c r="K614" s="10" t="n">
        <v>0</v>
      </c>
      <c r="L614" s="10" t="n">
        <v>72</v>
      </c>
      <c r="M614" s="10" t="n">
        <v>0</v>
      </c>
      <c r="N614" s="11" t="n">
        <v>0</v>
      </c>
      <c r="O614" s="18" t="s">
        <v>56</v>
      </c>
    </row>
    <row r="615" customFormat="false" ht="15" hidden="false" customHeight="false" outlineLevel="0" collapsed="false">
      <c r="A615" s="18" t="n">
        <v>186936120</v>
      </c>
      <c r="B615" s="10" t="n">
        <v>614</v>
      </c>
      <c r="C615" s="18" t="s">
        <v>43</v>
      </c>
      <c r="D615" s="9" t="s">
        <v>1325</v>
      </c>
      <c r="E615" s="9" t="s">
        <v>1326</v>
      </c>
      <c r="F615" s="9" t="s">
        <v>422</v>
      </c>
      <c r="G615" s="10" t="n">
        <v>2026</v>
      </c>
      <c r="H615" s="10" t="n">
        <v>10</v>
      </c>
      <c r="I615" s="19" t="n">
        <v>25200</v>
      </c>
      <c r="J615" s="19" t="n">
        <v>28000</v>
      </c>
      <c r="K615" s="10" t="n">
        <v>1400</v>
      </c>
      <c r="L615" s="10" t="n">
        <v>108</v>
      </c>
      <c r="M615" s="10" t="n">
        <v>2</v>
      </c>
      <c r="N615" s="11" t="n">
        <v>10</v>
      </c>
      <c r="O615" s="18" t="s">
        <v>56</v>
      </c>
    </row>
    <row r="616" customFormat="false" ht="15" hidden="false" customHeight="false" outlineLevel="0" collapsed="false">
      <c r="A616" s="18" t="n">
        <v>186711413</v>
      </c>
      <c r="B616" s="10" t="n">
        <v>615</v>
      </c>
      <c r="C616" s="18" t="s">
        <v>43</v>
      </c>
      <c r="D616" s="15" t="s">
        <v>1327</v>
      </c>
      <c r="E616" s="9" t="s">
        <v>1328</v>
      </c>
      <c r="F616" s="9" t="s">
        <v>751</v>
      </c>
      <c r="G616" s="10" t="n">
        <v>2026</v>
      </c>
      <c r="H616" s="10" t="n">
        <v>10</v>
      </c>
      <c r="I616" s="19" t="n">
        <v>15120</v>
      </c>
      <c r="J616" s="19" t="n">
        <v>16800</v>
      </c>
      <c r="K616" s="10" t="n">
        <v>840</v>
      </c>
      <c r="L616" s="10" t="n">
        <v>144</v>
      </c>
      <c r="M616" s="10" t="n">
        <v>20</v>
      </c>
      <c r="N616" s="11" t="n">
        <v>9.6</v>
      </c>
      <c r="O616" s="18" t="s">
        <v>56</v>
      </c>
    </row>
    <row r="617" customFormat="false" ht="15" hidden="false" customHeight="false" outlineLevel="0" collapsed="false">
      <c r="A617" s="18" t="n">
        <v>186697457</v>
      </c>
      <c r="B617" s="10" t="n">
        <v>616</v>
      </c>
      <c r="C617" s="18" t="s">
        <v>43</v>
      </c>
      <c r="D617" s="9" t="s">
        <v>1329</v>
      </c>
      <c r="E617" s="9" t="s">
        <v>1330</v>
      </c>
      <c r="F617" s="9" t="s">
        <v>1331</v>
      </c>
      <c r="G617" s="10" t="n">
        <v>2026</v>
      </c>
      <c r="H617" s="10" t="n">
        <v>10</v>
      </c>
      <c r="I617" s="19" t="n">
        <v>21600</v>
      </c>
      <c r="J617" s="19" t="n">
        <v>24000</v>
      </c>
      <c r="K617" s="10" t="n">
        <v>1200</v>
      </c>
      <c r="L617" s="10" t="n">
        <v>96</v>
      </c>
      <c r="M617" s="10" t="n">
        <v>0</v>
      </c>
      <c r="N617" s="11" t="n">
        <v>0</v>
      </c>
      <c r="O617" s="18" t="s">
        <v>56</v>
      </c>
    </row>
    <row r="618" customFormat="false" ht="15" hidden="false" customHeight="false" outlineLevel="0" collapsed="false">
      <c r="A618" s="18" t="n">
        <v>186675889</v>
      </c>
      <c r="B618" s="10" t="n">
        <v>617</v>
      </c>
      <c r="C618" s="18" t="s">
        <v>43</v>
      </c>
      <c r="D618" s="9" t="s">
        <v>1332</v>
      </c>
      <c r="E618" s="9" t="s">
        <v>1296</v>
      </c>
      <c r="F618" s="15" t="s">
        <v>561</v>
      </c>
      <c r="G618" s="10" t="n">
        <v>2026</v>
      </c>
      <c r="H618" s="10" t="n">
        <v>0</v>
      </c>
      <c r="I618" s="19" t="n">
        <v>8800</v>
      </c>
      <c r="J618" s="19" t="n">
        <v>8800</v>
      </c>
      <c r="K618" s="10" t="n">
        <v>0</v>
      </c>
      <c r="L618" s="10" t="n">
        <v>216</v>
      </c>
      <c r="M618" s="10" t="n">
        <v>0</v>
      </c>
      <c r="N618" s="11" t="n">
        <v>0</v>
      </c>
      <c r="O618" s="18" t="s">
        <v>56</v>
      </c>
    </row>
    <row r="619" customFormat="false" ht="15" hidden="false" customHeight="false" outlineLevel="0" collapsed="false">
      <c r="A619" s="18" t="n">
        <v>185717805</v>
      </c>
      <c r="B619" s="10" t="n">
        <v>618</v>
      </c>
      <c r="C619" s="18" t="s">
        <v>43</v>
      </c>
      <c r="D619" s="15" t="s">
        <v>1333</v>
      </c>
      <c r="E619" s="9" t="s">
        <v>1334</v>
      </c>
      <c r="F619" s="9" t="s">
        <v>19</v>
      </c>
      <c r="G619" s="10" t="n">
        <v>2026</v>
      </c>
      <c r="H619" s="10" t="n">
        <v>0</v>
      </c>
      <c r="I619" s="19" t="n">
        <v>60000</v>
      </c>
      <c r="J619" s="19" t="n">
        <v>60000</v>
      </c>
      <c r="K619" s="10" t="n">
        <v>0</v>
      </c>
      <c r="L619" s="10" t="n">
        <v>444</v>
      </c>
      <c r="M619" s="10" t="n">
        <v>2</v>
      </c>
      <c r="N619" s="11" t="n">
        <v>10</v>
      </c>
      <c r="O619" s="18" t="s">
        <v>56</v>
      </c>
    </row>
    <row r="620" customFormat="false" ht="15" hidden="false" customHeight="false" outlineLevel="0" collapsed="false">
      <c r="A620" s="18" t="n">
        <v>185712954</v>
      </c>
      <c r="B620" s="10" t="n">
        <v>619</v>
      </c>
      <c r="C620" s="18" t="s">
        <v>43</v>
      </c>
      <c r="D620" s="9" t="s">
        <v>1335</v>
      </c>
      <c r="E620" s="9" t="s">
        <v>1336</v>
      </c>
      <c r="F620" s="9" t="s">
        <v>64</v>
      </c>
      <c r="G620" s="10" t="n">
        <v>2026</v>
      </c>
      <c r="H620" s="10" t="n">
        <v>10</v>
      </c>
      <c r="I620" s="19" t="n">
        <v>15930</v>
      </c>
      <c r="J620" s="19" t="n">
        <v>17700</v>
      </c>
      <c r="K620" s="10" t="n">
        <v>880</v>
      </c>
      <c r="L620" s="10" t="n">
        <v>1065</v>
      </c>
      <c r="M620" s="10" t="n">
        <v>6</v>
      </c>
      <c r="N620" s="11" t="n">
        <v>10</v>
      </c>
      <c r="O620" s="18" t="s">
        <v>56</v>
      </c>
    </row>
    <row r="621" customFormat="false" ht="15" hidden="false" customHeight="false" outlineLevel="0" collapsed="false">
      <c r="A621" s="18" t="n">
        <v>184580980</v>
      </c>
      <c r="B621" s="10" t="n">
        <v>620</v>
      </c>
      <c r="C621" s="18" t="s">
        <v>43</v>
      </c>
      <c r="D621" s="15" t="s">
        <v>1337</v>
      </c>
      <c r="E621" s="9" t="s">
        <v>1338</v>
      </c>
      <c r="F621" s="9" t="s">
        <v>25</v>
      </c>
      <c r="G621" s="10" t="n">
        <v>2026</v>
      </c>
      <c r="H621" s="10" t="n">
        <v>0</v>
      </c>
      <c r="I621" s="19" t="n">
        <v>12000</v>
      </c>
      <c r="J621" s="19" t="n">
        <v>12000</v>
      </c>
      <c r="K621" s="10" t="n">
        <v>0</v>
      </c>
      <c r="L621" s="10" t="n">
        <v>126</v>
      </c>
      <c r="M621" s="10" t="n">
        <v>0</v>
      </c>
      <c r="N621" s="11" t="n">
        <v>0</v>
      </c>
      <c r="O621" s="18" t="s">
        <v>56</v>
      </c>
    </row>
    <row r="622" customFormat="false" ht="15" hidden="false" customHeight="false" outlineLevel="0" collapsed="false">
      <c r="A622" s="18" t="n">
        <v>184510723</v>
      </c>
      <c r="B622" s="10" t="n">
        <v>621</v>
      </c>
      <c r="C622" s="18" t="s">
        <v>43</v>
      </c>
      <c r="D622" s="15" t="s">
        <v>1339</v>
      </c>
      <c r="E622" s="9" t="s">
        <v>1340</v>
      </c>
      <c r="F622" s="9" t="s">
        <v>1341</v>
      </c>
      <c r="G622" s="10" t="n">
        <v>2026</v>
      </c>
      <c r="H622" s="10" t="n">
        <v>5</v>
      </c>
      <c r="I622" s="19" t="n">
        <v>33250</v>
      </c>
      <c r="J622" s="19" t="n">
        <v>35000</v>
      </c>
      <c r="K622" s="10" t="n">
        <v>700</v>
      </c>
      <c r="L622" s="10" t="n">
        <v>126</v>
      </c>
      <c r="M622" s="10" t="n">
        <v>0</v>
      </c>
      <c r="N622" s="11" t="n">
        <v>0</v>
      </c>
      <c r="O622" s="18" t="s">
        <v>56</v>
      </c>
    </row>
    <row r="623" customFormat="false" ht="15" hidden="false" customHeight="false" outlineLevel="0" collapsed="false">
      <c r="A623" s="18" t="n">
        <v>184478217</v>
      </c>
      <c r="B623" s="10" t="n">
        <v>622</v>
      </c>
      <c r="C623" s="18" t="s">
        <v>43</v>
      </c>
      <c r="D623" s="15" t="s">
        <v>1342</v>
      </c>
      <c r="E623" s="9" t="s">
        <v>1343</v>
      </c>
      <c r="F623" s="9" t="s">
        <v>544</v>
      </c>
      <c r="G623" s="10" t="n">
        <v>2026</v>
      </c>
      <c r="H623" s="10" t="n">
        <v>10</v>
      </c>
      <c r="I623" s="19" t="n">
        <v>10800</v>
      </c>
      <c r="J623" s="19" t="n">
        <v>12000</v>
      </c>
      <c r="K623" s="10" t="n">
        <v>600</v>
      </c>
      <c r="L623" s="10" t="n">
        <v>72</v>
      </c>
      <c r="M623" s="10" t="n">
        <v>5</v>
      </c>
      <c r="N623" s="11" t="n">
        <v>9.6</v>
      </c>
      <c r="O623" s="18" t="s">
        <v>56</v>
      </c>
    </row>
    <row r="624" customFormat="false" ht="15" hidden="false" customHeight="false" outlineLevel="0" collapsed="false">
      <c r="A624" s="18" t="n">
        <v>184398010</v>
      </c>
      <c r="B624" s="10" t="n">
        <v>623</v>
      </c>
      <c r="C624" s="18" t="s">
        <v>43</v>
      </c>
      <c r="D624" s="9" t="s">
        <v>1344</v>
      </c>
      <c r="E624" s="9" t="s">
        <v>1345</v>
      </c>
      <c r="F624" s="9" t="s">
        <v>1346</v>
      </c>
      <c r="G624" s="10" t="n">
        <v>2026</v>
      </c>
      <c r="H624" s="10" t="n">
        <v>5</v>
      </c>
      <c r="I624" s="19" t="n">
        <v>31350</v>
      </c>
      <c r="J624" s="19" t="n">
        <v>33000</v>
      </c>
      <c r="K624" s="10" t="n">
        <v>660</v>
      </c>
      <c r="L624" s="10" t="n">
        <v>186</v>
      </c>
      <c r="M624" s="10" t="n">
        <v>0</v>
      </c>
      <c r="N624" s="11" t="n">
        <v>0</v>
      </c>
      <c r="O624" s="18" t="s">
        <v>56</v>
      </c>
    </row>
    <row r="625" customFormat="false" ht="15" hidden="false" customHeight="false" outlineLevel="0" collapsed="false">
      <c r="A625" s="18" t="n">
        <v>184394552</v>
      </c>
      <c r="B625" s="10" t="n">
        <v>624</v>
      </c>
      <c r="C625" s="18" t="s">
        <v>43</v>
      </c>
      <c r="D625" s="9" t="s">
        <v>1347</v>
      </c>
      <c r="E625" s="9" t="s">
        <v>1348</v>
      </c>
      <c r="F625" s="9" t="s">
        <v>1349</v>
      </c>
      <c r="G625" s="10" t="n">
        <v>2026</v>
      </c>
      <c r="H625" s="10" t="n">
        <v>10</v>
      </c>
      <c r="I625" s="19" t="n">
        <v>25200</v>
      </c>
      <c r="J625" s="19" t="n">
        <v>28000</v>
      </c>
      <c r="K625" s="10" t="n">
        <v>280</v>
      </c>
      <c r="L625" s="10" t="n">
        <v>204</v>
      </c>
      <c r="M625" s="10" t="n">
        <v>6</v>
      </c>
      <c r="N625" s="11" t="n">
        <v>9.7</v>
      </c>
      <c r="O625" s="18" t="s">
        <v>56</v>
      </c>
    </row>
    <row r="626" customFormat="false" ht="15" hidden="false" customHeight="false" outlineLevel="0" collapsed="false">
      <c r="A626" s="18" t="n">
        <v>183809446</v>
      </c>
      <c r="B626" s="10" t="n">
        <v>625</v>
      </c>
      <c r="C626" s="18" t="s">
        <v>43</v>
      </c>
      <c r="D626" s="9" t="s">
        <v>1350</v>
      </c>
      <c r="E626" s="9" t="s">
        <v>662</v>
      </c>
      <c r="F626" s="9" t="s">
        <v>663</v>
      </c>
      <c r="G626" s="10" t="n">
        <v>2026</v>
      </c>
      <c r="H626" s="10" t="n">
        <v>10</v>
      </c>
      <c r="I626" s="19" t="n">
        <v>14400</v>
      </c>
      <c r="J626" s="19" t="n">
        <v>16000</v>
      </c>
      <c r="K626" s="10" t="n">
        <v>800</v>
      </c>
      <c r="L626" s="10" t="n">
        <v>1212</v>
      </c>
      <c r="M626" s="10" t="n">
        <v>0</v>
      </c>
      <c r="N626" s="11" t="n">
        <v>0</v>
      </c>
      <c r="O626" s="18" t="s">
        <v>56</v>
      </c>
    </row>
    <row r="627" customFormat="false" ht="15" hidden="false" customHeight="false" outlineLevel="0" collapsed="false">
      <c r="A627" s="18" t="n">
        <v>183757381</v>
      </c>
      <c r="B627" s="10" t="n">
        <v>626</v>
      </c>
      <c r="C627" s="18" t="s">
        <v>43</v>
      </c>
      <c r="D627" s="15" t="s">
        <v>1351</v>
      </c>
      <c r="E627" s="9" t="s">
        <v>1352</v>
      </c>
      <c r="F627" s="9" t="s">
        <v>17</v>
      </c>
      <c r="G627" s="10" t="n">
        <v>2026</v>
      </c>
      <c r="H627" s="10" t="n">
        <v>10</v>
      </c>
      <c r="I627" s="19" t="n">
        <v>37800</v>
      </c>
      <c r="J627" s="19" t="n">
        <v>42000</v>
      </c>
      <c r="K627" s="10" t="n">
        <v>2100</v>
      </c>
      <c r="L627" s="10" t="n">
        <v>408</v>
      </c>
      <c r="M627" s="10" t="n">
        <v>14</v>
      </c>
      <c r="N627" s="11" t="n">
        <v>9.4</v>
      </c>
      <c r="O627" s="18" t="s">
        <v>56</v>
      </c>
    </row>
    <row r="628" customFormat="false" ht="15" hidden="false" customHeight="false" outlineLevel="0" collapsed="false">
      <c r="A628" s="18" t="n">
        <v>183754093</v>
      </c>
      <c r="B628" s="10" t="n">
        <v>627</v>
      </c>
      <c r="C628" s="18" t="s">
        <v>43</v>
      </c>
      <c r="D628" s="9" t="s">
        <v>1353</v>
      </c>
      <c r="E628" s="9" t="s">
        <v>1354</v>
      </c>
      <c r="F628" s="9" t="s">
        <v>116</v>
      </c>
      <c r="G628" s="10" t="n">
        <v>2026</v>
      </c>
      <c r="H628" s="10" t="n">
        <v>10</v>
      </c>
      <c r="I628" s="19" t="n">
        <v>25200</v>
      </c>
      <c r="J628" s="19" t="n">
        <v>28000</v>
      </c>
      <c r="K628" s="10" t="n">
        <v>1400</v>
      </c>
      <c r="L628" s="10" t="n">
        <v>1050</v>
      </c>
      <c r="M628" s="10" t="n">
        <v>26</v>
      </c>
      <c r="N628" s="11" t="n">
        <v>9.8</v>
      </c>
      <c r="O628" s="18" t="s">
        <v>56</v>
      </c>
    </row>
    <row r="629" customFormat="false" ht="15" hidden="false" customHeight="false" outlineLevel="0" collapsed="false">
      <c r="A629" s="18" t="n">
        <v>183754087</v>
      </c>
      <c r="B629" s="10" t="n">
        <v>628</v>
      </c>
      <c r="C629" s="18" t="s">
        <v>43</v>
      </c>
      <c r="D629" s="9" t="s">
        <v>1355</v>
      </c>
      <c r="E629" s="9" t="s">
        <v>1356</v>
      </c>
      <c r="F629" s="9" t="s">
        <v>14</v>
      </c>
      <c r="G629" s="10" t="n">
        <v>2026</v>
      </c>
      <c r="H629" s="10" t="n">
        <v>10</v>
      </c>
      <c r="I629" s="19" t="n">
        <v>23400</v>
      </c>
      <c r="J629" s="19" t="n">
        <v>26000</v>
      </c>
      <c r="K629" s="10" t="n">
        <v>1300</v>
      </c>
      <c r="L629" s="10" t="n">
        <v>678</v>
      </c>
      <c r="M629" s="10" t="n">
        <v>7</v>
      </c>
      <c r="N629" s="11" t="n">
        <v>10</v>
      </c>
      <c r="O629" s="18" t="s">
        <v>56</v>
      </c>
    </row>
    <row r="630" customFormat="false" ht="15" hidden="false" customHeight="false" outlineLevel="0" collapsed="false">
      <c r="A630" s="18" t="n">
        <v>183704615</v>
      </c>
      <c r="B630" s="10" t="n">
        <v>629</v>
      </c>
      <c r="C630" s="18" t="s">
        <v>43</v>
      </c>
      <c r="D630" s="9" t="s">
        <v>1357</v>
      </c>
      <c r="E630" s="9" t="s">
        <v>1358</v>
      </c>
      <c r="F630" s="9" t="s">
        <v>1359</v>
      </c>
      <c r="G630" s="10" t="n">
        <v>2026</v>
      </c>
      <c r="H630" s="10" t="n">
        <v>10</v>
      </c>
      <c r="I630" s="19" t="n">
        <v>32400</v>
      </c>
      <c r="J630" s="19" t="n">
        <v>36000</v>
      </c>
      <c r="K630" s="10" t="n">
        <v>1800</v>
      </c>
      <c r="L630" s="10" t="n">
        <v>150</v>
      </c>
      <c r="M630" s="10" t="n">
        <v>0</v>
      </c>
      <c r="N630" s="11" t="n">
        <v>0</v>
      </c>
      <c r="O630" s="18" t="s">
        <v>56</v>
      </c>
    </row>
    <row r="631" customFormat="false" ht="15" hidden="false" customHeight="false" outlineLevel="0" collapsed="false">
      <c r="A631" s="18" t="n">
        <v>183702987</v>
      </c>
      <c r="B631" s="10" t="n">
        <v>630</v>
      </c>
      <c r="C631" s="18" t="s">
        <v>43</v>
      </c>
      <c r="D631" s="9" t="s">
        <v>1360</v>
      </c>
      <c r="E631" s="15" t="s">
        <v>1361</v>
      </c>
      <c r="F631" s="9" t="s">
        <v>544</v>
      </c>
      <c r="G631" s="10" t="n">
        <v>2026</v>
      </c>
      <c r="H631" s="10" t="n">
        <v>10</v>
      </c>
      <c r="I631" s="19" t="n">
        <v>10800</v>
      </c>
      <c r="J631" s="19" t="n">
        <v>12000</v>
      </c>
      <c r="K631" s="10" t="n">
        <v>600</v>
      </c>
      <c r="L631" s="10" t="n">
        <v>132</v>
      </c>
      <c r="M631" s="10" t="n">
        <v>8</v>
      </c>
      <c r="N631" s="11" t="n">
        <v>10</v>
      </c>
      <c r="O631" s="18" t="s">
        <v>56</v>
      </c>
    </row>
    <row r="632" customFormat="false" ht="15" hidden="false" customHeight="false" outlineLevel="0" collapsed="false">
      <c r="A632" s="18" t="n">
        <v>183651445</v>
      </c>
      <c r="B632" s="10" t="n">
        <v>631</v>
      </c>
      <c r="C632" s="18" t="s">
        <v>43</v>
      </c>
      <c r="D632" s="15" t="s">
        <v>1362</v>
      </c>
      <c r="E632" s="9" t="s">
        <v>1363</v>
      </c>
      <c r="F632" s="9" t="s">
        <v>25</v>
      </c>
      <c r="G632" s="10" t="n">
        <v>2026</v>
      </c>
      <c r="H632" s="10" t="n">
        <v>0</v>
      </c>
      <c r="I632" s="19" t="n">
        <v>12000</v>
      </c>
      <c r="J632" s="19" t="n">
        <v>12000</v>
      </c>
      <c r="K632" s="10" t="n">
        <v>0</v>
      </c>
      <c r="L632" s="10" t="n">
        <v>126</v>
      </c>
      <c r="M632" s="10" t="n">
        <v>0</v>
      </c>
      <c r="N632" s="11" t="n">
        <v>0</v>
      </c>
      <c r="O632" s="18" t="s">
        <v>56</v>
      </c>
    </row>
    <row r="633" customFormat="false" ht="15" hidden="false" customHeight="false" outlineLevel="0" collapsed="false">
      <c r="A633" s="18" t="n">
        <v>183640934</v>
      </c>
      <c r="B633" s="10" t="n">
        <v>632</v>
      </c>
      <c r="C633" s="18" t="s">
        <v>43</v>
      </c>
      <c r="D633" s="9" t="s">
        <v>1364</v>
      </c>
      <c r="E633" s="9" t="s">
        <v>1365</v>
      </c>
      <c r="F633" s="9" t="s">
        <v>21</v>
      </c>
      <c r="G633" s="10" t="n">
        <v>2026</v>
      </c>
      <c r="H633" s="10" t="n">
        <v>10</v>
      </c>
      <c r="I633" s="19" t="n">
        <v>28800</v>
      </c>
      <c r="J633" s="19" t="n">
        <v>32000</v>
      </c>
      <c r="K633" s="10" t="n">
        <v>1600</v>
      </c>
      <c r="L633" s="10" t="n">
        <v>474</v>
      </c>
      <c r="M633" s="10" t="n">
        <v>0</v>
      </c>
      <c r="N633" s="11" t="n">
        <v>0</v>
      </c>
      <c r="O633" s="18" t="s">
        <v>56</v>
      </c>
    </row>
    <row r="634" customFormat="false" ht="15" hidden="false" customHeight="false" outlineLevel="0" collapsed="false">
      <c r="A634" s="18" t="n">
        <v>183563868</v>
      </c>
      <c r="B634" s="10" t="n">
        <v>633</v>
      </c>
      <c r="C634" s="18" t="s">
        <v>43</v>
      </c>
      <c r="D634" s="9" t="s">
        <v>1366</v>
      </c>
      <c r="E634" s="9" t="s">
        <v>1367</v>
      </c>
      <c r="F634" s="9" t="s">
        <v>23</v>
      </c>
      <c r="G634" s="10" t="n">
        <v>2026</v>
      </c>
      <c r="H634" s="10" t="n">
        <v>10</v>
      </c>
      <c r="I634" s="19" t="n">
        <v>12600</v>
      </c>
      <c r="J634" s="19" t="n">
        <v>14000</v>
      </c>
      <c r="K634" s="10" t="n">
        <v>700</v>
      </c>
      <c r="L634" s="10" t="n">
        <v>348</v>
      </c>
      <c r="M634" s="10" t="n">
        <v>1</v>
      </c>
      <c r="N634" s="11" t="n">
        <v>10</v>
      </c>
      <c r="O634" s="18" t="s">
        <v>56</v>
      </c>
    </row>
    <row r="635" customFormat="false" ht="15" hidden="false" customHeight="false" outlineLevel="0" collapsed="false">
      <c r="A635" s="18" t="n">
        <v>183540578</v>
      </c>
      <c r="B635" s="10" t="n">
        <v>634</v>
      </c>
      <c r="C635" s="18" t="s">
        <v>43</v>
      </c>
      <c r="D635" s="9" t="s">
        <v>1368</v>
      </c>
      <c r="E635" s="9" t="s">
        <v>1369</v>
      </c>
      <c r="F635" s="9" t="s">
        <v>12</v>
      </c>
      <c r="G635" s="10" t="n">
        <v>2026</v>
      </c>
      <c r="H635" s="10" t="n">
        <v>10</v>
      </c>
      <c r="I635" s="19" t="n">
        <v>41400</v>
      </c>
      <c r="J635" s="19" t="n">
        <v>46000</v>
      </c>
      <c r="K635" s="10" t="n">
        <v>2300</v>
      </c>
      <c r="L635" s="10" t="n">
        <v>372</v>
      </c>
      <c r="M635" s="10" t="n">
        <v>9</v>
      </c>
      <c r="N635" s="11" t="n">
        <v>8.7</v>
      </c>
      <c r="O635" s="18" t="s">
        <v>56</v>
      </c>
    </row>
    <row r="636" customFormat="false" ht="15" hidden="false" customHeight="false" outlineLevel="0" collapsed="false">
      <c r="A636" s="18" t="n">
        <v>183040790</v>
      </c>
      <c r="B636" s="10" t="n">
        <v>635</v>
      </c>
      <c r="C636" s="18" t="s">
        <v>43</v>
      </c>
      <c r="D636" s="9" t="s">
        <v>1370</v>
      </c>
      <c r="E636" s="9" t="s">
        <v>1371</v>
      </c>
      <c r="F636" s="15" t="s">
        <v>561</v>
      </c>
      <c r="G636" s="10" t="n">
        <v>2026</v>
      </c>
      <c r="H636" s="10" t="n">
        <v>0</v>
      </c>
      <c r="I636" s="19" t="n">
        <v>18500</v>
      </c>
      <c r="J636" s="19" t="n">
        <v>18500</v>
      </c>
      <c r="K636" s="10" t="n">
        <v>0</v>
      </c>
      <c r="L636" s="10" t="n">
        <v>108</v>
      </c>
      <c r="M636" s="10" t="n">
        <v>0</v>
      </c>
      <c r="N636" s="11" t="n">
        <v>0</v>
      </c>
      <c r="O636" s="18" t="s">
        <v>56</v>
      </c>
    </row>
    <row r="637" customFormat="false" ht="15" hidden="false" customHeight="false" outlineLevel="0" collapsed="false">
      <c r="A637" s="18" t="n">
        <v>182947194</v>
      </c>
      <c r="B637" s="10" t="n">
        <v>636</v>
      </c>
      <c r="C637" s="18" t="s">
        <v>43</v>
      </c>
      <c r="D637" s="15" t="s">
        <v>1372</v>
      </c>
      <c r="E637" s="9" t="s">
        <v>1373</v>
      </c>
      <c r="F637" s="9" t="s">
        <v>1374</v>
      </c>
      <c r="G637" s="10" t="n">
        <v>2026</v>
      </c>
      <c r="H637" s="10" t="n">
        <v>10</v>
      </c>
      <c r="I637" s="19" t="n">
        <v>19350</v>
      </c>
      <c r="J637" s="19" t="n">
        <v>21500</v>
      </c>
      <c r="K637" s="10" t="n">
        <v>1070</v>
      </c>
      <c r="L637" s="10" t="n">
        <v>144</v>
      </c>
      <c r="M637" s="10" t="n">
        <v>0</v>
      </c>
      <c r="N637" s="11" t="n">
        <v>0</v>
      </c>
      <c r="O637" s="18" t="s">
        <v>56</v>
      </c>
    </row>
    <row r="638" customFormat="false" ht="15" hidden="false" customHeight="false" outlineLevel="0" collapsed="false">
      <c r="A638" s="18" t="n">
        <v>182813489</v>
      </c>
      <c r="B638" s="10" t="n">
        <v>637</v>
      </c>
      <c r="C638" s="18" t="s">
        <v>43</v>
      </c>
      <c r="D638" s="15" t="s">
        <v>1375</v>
      </c>
      <c r="E638" s="15" t="s">
        <v>1376</v>
      </c>
      <c r="F638" s="9" t="s">
        <v>982</v>
      </c>
      <c r="G638" s="10" t="n">
        <v>2026</v>
      </c>
      <c r="H638" s="10" t="n">
        <v>10</v>
      </c>
      <c r="I638" s="19" t="n">
        <v>23400</v>
      </c>
      <c r="J638" s="19" t="n">
        <v>26000</v>
      </c>
      <c r="K638" s="10" t="n">
        <v>1300</v>
      </c>
      <c r="L638" s="10" t="n">
        <v>1092</v>
      </c>
      <c r="M638" s="10" t="n">
        <v>45</v>
      </c>
      <c r="N638" s="11" t="n">
        <v>9.9</v>
      </c>
      <c r="O638" s="18" t="s">
        <v>56</v>
      </c>
    </row>
    <row r="639" customFormat="false" ht="15" hidden="false" customHeight="false" outlineLevel="0" collapsed="false">
      <c r="A639" s="18" t="n">
        <v>182805587</v>
      </c>
      <c r="B639" s="10" t="n">
        <v>638</v>
      </c>
      <c r="C639" s="18" t="s">
        <v>43</v>
      </c>
      <c r="D639" s="9" t="s">
        <v>1377</v>
      </c>
      <c r="E639" s="9" t="s">
        <v>1378</v>
      </c>
      <c r="F639" s="9" t="s">
        <v>16</v>
      </c>
      <c r="G639" s="10" t="n">
        <v>2026</v>
      </c>
      <c r="H639" s="10" t="n">
        <v>10</v>
      </c>
      <c r="I639" s="19" t="n">
        <v>25200</v>
      </c>
      <c r="J639" s="19" t="n">
        <v>28000</v>
      </c>
      <c r="K639" s="10" t="n">
        <v>1400</v>
      </c>
      <c r="L639" s="10" t="n">
        <v>294</v>
      </c>
      <c r="M639" s="10" t="n">
        <v>0</v>
      </c>
      <c r="N639" s="11" t="n">
        <v>0</v>
      </c>
      <c r="O639" s="18" t="s">
        <v>56</v>
      </c>
    </row>
    <row r="640" customFormat="false" ht="15" hidden="false" customHeight="false" outlineLevel="0" collapsed="false">
      <c r="A640" s="18" t="n">
        <v>182758744</v>
      </c>
      <c r="B640" s="10" t="n">
        <v>639</v>
      </c>
      <c r="C640" s="18" t="s">
        <v>43</v>
      </c>
      <c r="D640" s="15" t="s">
        <v>1379</v>
      </c>
      <c r="E640" s="9" t="s">
        <v>1380</v>
      </c>
      <c r="F640" s="9" t="s">
        <v>145</v>
      </c>
      <c r="G640" s="10" t="n">
        <v>2026</v>
      </c>
      <c r="H640" s="10" t="n">
        <v>0</v>
      </c>
      <c r="I640" s="19" t="n">
        <v>20000</v>
      </c>
      <c r="J640" s="19" t="n">
        <v>20000</v>
      </c>
      <c r="K640" s="10" t="n">
        <v>0</v>
      </c>
      <c r="L640" s="10" t="n">
        <v>636</v>
      </c>
      <c r="M640" s="10" t="n">
        <v>4</v>
      </c>
      <c r="N640" s="11" t="n">
        <v>10</v>
      </c>
      <c r="O640" s="18" t="s">
        <v>56</v>
      </c>
    </row>
    <row r="641" customFormat="false" ht="15" hidden="false" customHeight="false" outlineLevel="0" collapsed="false">
      <c r="A641" s="18" t="n">
        <v>182626952</v>
      </c>
      <c r="B641" s="10" t="n">
        <v>640</v>
      </c>
      <c r="C641" s="18" t="s">
        <v>43</v>
      </c>
      <c r="D641" s="15" t="s">
        <v>1381</v>
      </c>
      <c r="E641" s="9" t="s">
        <v>1382</v>
      </c>
      <c r="F641" s="9" t="s">
        <v>1383</v>
      </c>
      <c r="G641" s="10" t="n">
        <v>2026</v>
      </c>
      <c r="H641" s="10" t="n">
        <v>10</v>
      </c>
      <c r="I641" s="19" t="n">
        <v>21150</v>
      </c>
      <c r="J641" s="19" t="n">
        <v>23500</v>
      </c>
      <c r="K641" s="10" t="n">
        <v>1170</v>
      </c>
      <c r="L641" s="10" t="n">
        <v>684</v>
      </c>
      <c r="M641" s="10" t="n">
        <v>1</v>
      </c>
      <c r="N641" s="11" t="n">
        <v>8</v>
      </c>
      <c r="O641" s="18" t="s">
        <v>56</v>
      </c>
    </row>
    <row r="642" customFormat="false" ht="15" hidden="false" customHeight="false" outlineLevel="0" collapsed="false">
      <c r="A642" s="18" t="n">
        <v>182625671</v>
      </c>
      <c r="B642" s="10" t="n">
        <v>641</v>
      </c>
      <c r="C642" s="18" t="s">
        <v>43</v>
      </c>
      <c r="D642" s="15" t="s">
        <v>1384</v>
      </c>
      <c r="E642" s="9" t="s">
        <v>1345</v>
      </c>
      <c r="F642" s="9" t="s">
        <v>1346</v>
      </c>
      <c r="G642" s="10" t="n">
        <v>2026</v>
      </c>
      <c r="H642" s="10" t="n">
        <v>10</v>
      </c>
      <c r="I642" s="19" t="n">
        <v>29700</v>
      </c>
      <c r="J642" s="19" t="n">
        <v>33000</v>
      </c>
      <c r="K642" s="10" t="n">
        <v>1650</v>
      </c>
      <c r="L642" s="10" t="n">
        <v>516</v>
      </c>
      <c r="M642" s="10" t="n">
        <v>0</v>
      </c>
      <c r="N642" s="11" t="n">
        <v>0</v>
      </c>
      <c r="O642" s="18" t="s">
        <v>56</v>
      </c>
    </row>
    <row r="643" customFormat="false" ht="15" hidden="false" customHeight="false" outlineLevel="0" collapsed="false">
      <c r="A643" s="18" t="n">
        <v>182527648</v>
      </c>
      <c r="B643" s="10" t="n">
        <v>642</v>
      </c>
      <c r="C643" s="18" t="s">
        <v>43</v>
      </c>
      <c r="D643" s="9" t="s">
        <v>1385</v>
      </c>
      <c r="E643" s="9" t="s">
        <v>1386</v>
      </c>
      <c r="F643" s="9" t="s">
        <v>732</v>
      </c>
      <c r="G643" s="10" t="n">
        <v>2026</v>
      </c>
      <c r="H643" s="10" t="n">
        <v>0</v>
      </c>
      <c r="I643" s="19" t="n">
        <v>19000</v>
      </c>
      <c r="J643" s="19" t="n">
        <v>19000</v>
      </c>
      <c r="K643" s="10" t="n">
        <v>0</v>
      </c>
      <c r="L643" s="10" t="n">
        <v>144</v>
      </c>
      <c r="M643" s="10" t="n">
        <v>1</v>
      </c>
      <c r="N643" s="11" t="n">
        <v>10</v>
      </c>
      <c r="O643" s="18" t="s">
        <v>56</v>
      </c>
    </row>
    <row r="644" customFormat="false" ht="15" hidden="false" customHeight="false" outlineLevel="0" collapsed="false">
      <c r="A644" s="18" t="n">
        <v>182526149</v>
      </c>
      <c r="B644" s="10" t="n">
        <v>643</v>
      </c>
      <c r="C644" s="18" t="s">
        <v>43</v>
      </c>
      <c r="D644" s="9" t="s">
        <v>1387</v>
      </c>
      <c r="E644" s="9" t="s">
        <v>1388</v>
      </c>
      <c r="F644" s="9" t="s">
        <v>184</v>
      </c>
      <c r="G644" s="10" t="n">
        <v>2026</v>
      </c>
      <c r="H644" s="10" t="n">
        <v>0</v>
      </c>
      <c r="I644" s="19" t="n">
        <v>22000</v>
      </c>
      <c r="J644" s="19" t="n">
        <v>22000</v>
      </c>
      <c r="K644" s="10" t="n">
        <v>0</v>
      </c>
      <c r="L644" s="10" t="n">
        <v>660</v>
      </c>
      <c r="M644" s="10" t="n">
        <v>15</v>
      </c>
      <c r="N644" s="11" t="n">
        <v>9.6</v>
      </c>
      <c r="O644" s="18" t="s">
        <v>46</v>
      </c>
    </row>
    <row r="645" customFormat="false" ht="15" hidden="false" customHeight="false" outlineLevel="0" collapsed="false">
      <c r="A645" s="18" t="n">
        <v>182476796</v>
      </c>
      <c r="B645" s="10" t="n">
        <v>644</v>
      </c>
      <c r="C645" s="18" t="s">
        <v>43</v>
      </c>
      <c r="D645" s="9" t="s">
        <v>1389</v>
      </c>
      <c r="E645" s="9" t="s">
        <v>1390</v>
      </c>
      <c r="F645" s="9" t="s">
        <v>25</v>
      </c>
      <c r="G645" s="10" t="n">
        <v>2026</v>
      </c>
      <c r="H645" s="10" t="n">
        <v>0</v>
      </c>
      <c r="I645" s="19" t="n">
        <v>12000</v>
      </c>
      <c r="J645" s="19" t="n">
        <v>12000</v>
      </c>
      <c r="K645" s="10" t="n">
        <v>0</v>
      </c>
      <c r="L645" s="10" t="n">
        <v>264</v>
      </c>
      <c r="M645" s="10" t="n">
        <v>0</v>
      </c>
      <c r="N645" s="11" t="n">
        <v>0</v>
      </c>
      <c r="O645" s="18" t="s">
        <v>56</v>
      </c>
    </row>
    <row r="646" customFormat="false" ht="15" hidden="false" customHeight="false" outlineLevel="0" collapsed="false">
      <c r="A646" s="18" t="n">
        <v>182436102</v>
      </c>
      <c r="B646" s="10" t="n">
        <v>645</v>
      </c>
      <c r="C646" s="18" t="s">
        <v>43</v>
      </c>
      <c r="D646" s="15" t="s">
        <v>1391</v>
      </c>
      <c r="E646" s="9" t="s">
        <v>1392</v>
      </c>
      <c r="F646" s="9" t="s">
        <v>16</v>
      </c>
      <c r="G646" s="10" t="n">
        <v>2026</v>
      </c>
      <c r="H646" s="10" t="n">
        <v>10</v>
      </c>
      <c r="I646" s="19" t="n">
        <v>27900</v>
      </c>
      <c r="J646" s="19" t="n">
        <v>31000</v>
      </c>
      <c r="K646" s="10" t="n">
        <v>1550</v>
      </c>
      <c r="L646" s="10" t="n">
        <v>270</v>
      </c>
      <c r="M646" s="10" t="n">
        <v>9</v>
      </c>
      <c r="N646" s="11" t="n">
        <v>10</v>
      </c>
      <c r="O646" s="18" t="s">
        <v>56</v>
      </c>
    </row>
    <row r="647" customFormat="false" ht="15" hidden="false" customHeight="false" outlineLevel="0" collapsed="false">
      <c r="A647" s="18" t="n">
        <v>182233280</v>
      </c>
      <c r="B647" s="10" t="n">
        <v>646</v>
      </c>
      <c r="C647" s="18" t="s">
        <v>43</v>
      </c>
      <c r="D647" s="15" t="s">
        <v>1393</v>
      </c>
      <c r="E647" s="9" t="s">
        <v>1394</v>
      </c>
      <c r="F647" s="9" t="s">
        <v>25</v>
      </c>
      <c r="G647" s="10" t="n">
        <v>2026</v>
      </c>
      <c r="H647" s="10" t="n">
        <v>0</v>
      </c>
      <c r="I647" s="19" t="n">
        <v>12000</v>
      </c>
      <c r="J647" s="19" t="n">
        <v>12000</v>
      </c>
      <c r="K647" s="10" t="n">
        <v>0</v>
      </c>
      <c r="L647" s="10" t="n">
        <v>192</v>
      </c>
      <c r="M647" s="10" t="n">
        <v>0</v>
      </c>
      <c r="N647" s="11" t="n">
        <v>0</v>
      </c>
      <c r="O647" s="18" t="s">
        <v>56</v>
      </c>
    </row>
    <row r="648" customFormat="false" ht="15" hidden="false" customHeight="false" outlineLevel="0" collapsed="false">
      <c r="A648" s="18" t="n">
        <v>182116268</v>
      </c>
      <c r="B648" s="10" t="n">
        <v>647</v>
      </c>
      <c r="C648" s="18" t="s">
        <v>43</v>
      </c>
      <c r="D648" s="9" t="s">
        <v>1395</v>
      </c>
      <c r="E648" s="9" t="s">
        <v>393</v>
      </c>
      <c r="F648" s="9" t="s">
        <v>116</v>
      </c>
      <c r="G648" s="10" t="n">
        <v>2026</v>
      </c>
      <c r="H648" s="10" t="n">
        <v>10</v>
      </c>
      <c r="I648" s="19" t="n">
        <v>16920</v>
      </c>
      <c r="J648" s="19" t="n">
        <v>18800</v>
      </c>
      <c r="K648" s="10" t="n">
        <v>940</v>
      </c>
      <c r="L648" s="10" t="n">
        <v>1974</v>
      </c>
      <c r="M648" s="10" t="n">
        <v>21</v>
      </c>
      <c r="N648" s="11" t="n">
        <v>10</v>
      </c>
      <c r="O648" s="18" t="s">
        <v>56</v>
      </c>
    </row>
    <row r="649" customFormat="false" ht="15" hidden="false" customHeight="false" outlineLevel="0" collapsed="false">
      <c r="A649" s="18" t="n">
        <v>181819691</v>
      </c>
      <c r="B649" s="10" t="n">
        <v>648</v>
      </c>
      <c r="C649" s="18" t="s">
        <v>43</v>
      </c>
      <c r="D649" s="9" t="s">
        <v>1396</v>
      </c>
      <c r="E649" s="9" t="s">
        <v>1345</v>
      </c>
      <c r="F649" s="9" t="s">
        <v>1346</v>
      </c>
      <c r="G649" s="10" t="n">
        <v>2026</v>
      </c>
      <c r="H649" s="10" t="n">
        <v>10</v>
      </c>
      <c r="I649" s="19" t="n">
        <v>29700</v>
      </c>
      <c r="J649" s="19" t="n">
        <v>33000</v>
      </c>
      <c r="K649" s="10" t="n">
        <v>330</v>
      </c>
      <c r="L649" s="10" t="n">
        <v>330</v>
      </c>
      <c r="M649" s="10" t="n">
        <v>0</v>
      </c>
      <c r="N649" s="11" t="n">
        <v>0</v>
      </c>
      <c r="O649" s="18" t="s">
        <v>56</v>
      </c>
    </row>
    <row r="650" customFormat="false" ht="15" hidden="false" customHeight="false" outlineLevel="0" collapsed="false">
      <c r="A650" s="18" t="n">
        <v>181125288</v>
      </c>
      <c r="B650" s="10" t="n">
        <v>649</v>
      </c>
      <c r="C650" s="18" t="s">
        <v>43</v>
      </c>
      <c r="D650" s="9" t="s">
        <v>1397</v>
      </c>
      <c r="E650" s="9" t="s">
        <v>1398</v>
      </c>
      <c r="F650" s="15" t="s">
        <v>561</v>
      </c>
      <c r="G650" s="10" t="n">
        <v>2026</v>
      </c>
      <c r="H650" s="10" t="n">
        <v>0</v>
      </c>
      <c r="I650" s="19" t="n">
        <v>24000</v>
      </c>
      <c r="J650" s="19" t="n">
        <v>24000</v>
      </c>
      <c r="K650" s="10" t="n">
        <v>0</v>
      </c>
      <c r="L650" s="10" t="n">
        <v>60</v>
      </c>
      <c r="M650" s="10" t="n">
        <v>0</v>
      </c>
      <c r="N650" s="11" t="n">
        <v>0</v>
      </c>
      <c r="O650" s="18" t="s">
        <v>56</v>
      </c>
    </row>
    <row r="651" customFormat="false" ht="15" hidden="false" customHeight="false" outlineLevel="0" collapsed="false">
      <c r="A651" s="18" t="n">
        <v>181125214</v>
      </c>
      <c r="B651" s="10" t="n">
        <v>650</v>
      </c>
      <c r="C651" s="18" t="s">
        <v>43</v>
      </c>
      <c r="D651" s="9" t="s">
        <v>1399</v>
      </c>
      <c r="E651" s="9" t="s">
        <v>1400</v>
      </c>
      <c r="F651" s="15" t="s">
        <v>561</v>
      </c>
      <c r="G651" s="10" t="n">
        <v>2026</v>
      </c>
      <c r="H651" s="10" t="n">
        <v>0</v>
      </c>
      <c r="I651" s="19" t="n">
        <v>20000</v>
      </c>
      <c r="J651" s="19" t="n">
        <v>20000</v>
      </c>
      <c r="K651" s="10" t="n">
        <v>0</v>
      </c>
      <c r="L651" s="10" t="n">
        <v>114</v>
      </c>
      <c r="M651" s="10" t="n">
        <v>1</v>
      </c>
      <c r="N651" s="11" t="n">
        <v>10</v>
      </c>
      <c r="O651" s="18" t="s">
        <v>56</v>
      </c>
    </row>
    <row r="652" customFormat="false" ht="15" hidden="false" customHeight="false" outlineLevel="0" collapsed="false">
      <c r="A652" s="18" t="n">
        <v>181124680</v>
      </c>
      <c r="B652" s="10" t="n">
        <v>651</v>
      </c>
      <c r="C652" s="18" t="s">
        <v>43</v>
      </c>
      <c r="D652" s="9" t="s">
        <v>1401</v>
      </c>
      <c r="E652" s="9" t="s">
        <v>487</v>
      </c>
      <c r="F652" s="9" t="s">
        <v>12</v>
      </c>
      <c r="G652" s="10" t="n">
        <v>2026</v>
      </c>
      <c r="H652" s="10" t="n">
        <v>10</v>
      </c>
      <c r="I652" s="19" t="n">
        <v>31500</v>
      </c>
      <c r="J652" s="19" t="n">
        <v>35000</v>
      </c>
      <c r="K652" s="10" t="n">
        <v>1750</v>
      </c>
      <c r="L652" s="10" t="n">
        <v>678</v>
      </c>
      <c r="M652" s="10" t="n">
        <v>4</v>
      </c>
      <c r="N652" s="11" t="n">
        <v>10</v>
      </c>
      <c r="O652" s="18" t="s">
        <v>56</v>
      </c>
    </row>
    <row r="653" customFormat="false" ht="15" hidden="false" customHeight="false" outlineLevel="0" collapsed="false">
      <c r="A653" s="18" t="n">
        <v>181105549</v>
      </c>
      <c r="B653" s="10" t="n">
        <v>652</v>
      </c>
      <c r="C653" s="18" t="s">
        <v>43</v>
      </c>
      <c r="D653" s="15" t="s">
        <v>1402</v>
      </c>
      <c r="E653" s="9" t="s">
        <v>1403</v>
      </c>
      <c r="F653" s="9" t="s">
        <v>25</v>
      </c>
      <c r="G653" s="10" t="n">
        <v>2026</v>
      </c>
      <c r="H653" s="10" t="n">
        <v>0</v>
      </c>
      <c r="I653" s="19" t="n">
        <v>12000</v>
      </c>
      <c r="J653" s="19" t="n">
        <v>12000</v>
      </c>
      <c r="K653" s="10" t="n">
        <v>0</v>
      </c>
      <c r="L653" s="10" t="n">
        <v>252</v>
      </c>
      <c r="M653" s="10" t="n">
        <v>0</v>
      </c>
      <c r="N653" s="11" t="n">
        <v>0</v>
      </c>
      <c r="O653" s="18" t="s">
        <v>56</v>
      </c>
    </row>
    <row r="654" customFormat="false" ht="15" hidden="false" customHeight="false" outlineLevel="0" collapsed="false">
      <c r="A654" s="18" t="n">
        <v>181016086</v>
      </c>
      <c r="B654" s="10" t="n">
        <v>653</v>
      </c>
      <c r="C654" s="18" t="s">
        <v>43</v>
      </c>
      <c r="D654" s="9" t="s">
        <v>1404</v>
      </c>
      <c r="E654" s="9" t="s">
        <v>1405</v>
      </c>
      <c r="F654" s="9" t="s">
        <v>573</v>
      </c>
      <c r="G654" s="10" t="n">
        <v>2026</v>
      </c>
      <c r="H654" s="10" t="n">
        <v>10</v>
      </c>
      <c r="I654" s="19" t="n">
        <v>27000</v>
      </c>
      <c r="J654" s="19" t="n">
        <v>30000</v>
      </c>
      <c r="K654" s="10" t="n">
        <v>1500</v>
      </c>
      <c r="L654" s="10" t="n">
        <v>522</v>
      </c>
      <c r="M654" s="10" t="n">
        <v>0</v>
      </c>
      <c r="N654" s="11" t="n">
        <v>0</v>
      </c>
      <c r="O654" s="18" t="s">
        <v>56</v>
      </c>
    </row>
    <row r="655" customFormat="false" ht="15" hidden="false" customHeight="false" outlineLevel="0" collapsed="false">
      <c r="A655" s="18" t="n">
        <v>180937512</v>
      </c>
      <c r="B655" s="10" t="n">
        <v>654</v>
      </c>
      <c r="C655" s="18" t="s">
        <v>43</v>
      </c>
      <c r="D655" s="15" t="s">
        <v>1406</v>
      </c>
      <c r="E655" s="9" t="s">
        <v>1407</v>
      </c>
      <c r="F655" s="9" t="s">
        <v>1408</v>
      </c>
      <c r="G655" s="10" t="n">
        <v>2026</v>
      </c>
      <c r="H655" s="10" t="n">
        <v>10</v>
      </c>
      <c r="I655" s="19" t="n">
        <v>15300</v>
      </c>
      <c r="J655" s="19" t="n">
        <v>17000</v>
      </c>
      <c r="K655" s="10" t="n">
        <v>850</v>
      </c>
      <c r="L655" s="10" t="n">
        <v>204</v>
      </c>
      <c r="M655" s="10" t="n">
        <v>19</v>
      </c>
      <c r="N655" s="11" t="n">
        <v>10</v>
      </c>
      <c r="O655" s="18" t="s">
        <v>56</v>
      </c>
    </row>
    <row r="656" customFormat="false" ht="15" hidden="false" customHeight="false" outlineLevel="0" collapsed="false">
      <c r="A656" s="18" t="n">
        <v>180517806</v>
      </c>
      <c r="B656" s="10" t="n">
        <v>655</v>
      </c>
      <c r="C656" s="18" t="s">
        <v>43</v>
      </c>
      <c r="D656" s="15" t="s">
        <v>1409</v>
      </c>
      <c r="E656" s="9" t="s">
        <v>1410</v>
      </c>
      <c r="F656" s="9" t="s">
        <v>514</v>
      </c>
      <c r="G656" s="10" t="n">
        <v>2026</v>
      </c>
      <c r="H656" s="10" t="n">
        <v>0</v>
      </c>
      <c r="I656" s="19" t="n">
        <v>36000</v>
      </c>
      <c r="J656" s="19" t="n">
        <v>36000</v>
      </c>
      <c r="K656" s="10" t="n">
        <v>0</v>
      </c>
      <c r="L656" s="10" t="n">
        <v>78</v>
      </c>
      <c r="M656" s="10" t="n">
        <v>0</v>
      </c>
      <c r="N656" s="11" t="n">
        <v>0</v>
      </c>
      <c r="O656" s="18" t="s">
        <v>56</v>
      </c>
    </row>
    <row r="657" customFormat="false" ht="15" hidden="false" customHeight="false" outlineLevel="0" collapsed="false">
      <c r="A657" s="18" t="n">
        <v>180491274</v>
      </c>
      <c r="B657" s="10" t="n">
        <v>656</v>
      </c>
      <c r="C657" s="18" t="s">
        <v>43</v>
      </c>
      <c r="D657" s="9" t="s">
        <v>1411</v>
      </c>
      <c r="E657" s="9" t="s">
        <v>1412</v>
      </c>
      <c r="F657" s="9" t="s">
        <v>211</v>
      </c>
      <c r="G657" s="10" t="n">
        <v>2026</v>
      </c>
      <c r="H657" s="10" t="n">
        <v>10</v>
      </c>
      <c r="I657" s="19" t="n">
        <v>24300</v>
      </c>
      <c r="J657" s="19" t="n">
        <v>27000</v>
      </c>
      <c r="K657" s="10" t="n">
        <v>1350</v>
      </c>
      <c r="L657" s="10" t="n">
        <v>420</v>
      </c>
      <c r="M657" s="10" t="n">
        <v>2</v>
      </c>
      <c r="N657" s="11" t="n">
        <v>10</v>
      </c>
      <c r="O657" s="18" t="s">
        <v>56</v>
      </c>
    </row>
    <row r="658" customFormat="false" ht="15" hidden="false" customHeight="false" outlineLevel="0" collapsed="false">
      <c r="A658" s="18" t="n">
        <v>180143954</v>
      </c>
      <c r="B658" s="10" t="n">
        <v>657</v>
      </c>
      <c r="C658" s="18" t="s">
        <v>43</v>
      </c>
      <c r="D658" s="15" t="s">
        <v>1413</v>
      </c>
      <c r="E658" s="9" t="s">
        <v>1414</v>
      </c>
      <c r="F658" s="9" t="s">
        <v>1415</v>
      </c>
      <c r="G658" s="10" t="n">
        <v>2026</v>
      </c>
      <c r="H658" s="10" t="n">
        <v>0</v>
      </c>
      <c r="I658" s="19" t="n">
        <v>35000</v>
      </c>
      <c r="J658" s="19" t="n">
        <v>35000</v>
      </c>
      <c r="K658" s="10" t="n">
        <v>1050</v>
      </c>
      <c r="L658" s="10" t="n">
        <v>120</v>
      </c>
      <c r="M658" s="10" t="n">
        <v>0</v>
      </c>
      <c r="N658" s="11" t="n">
        <v>0</v>
      </c>
      <c r="O658" s="18" t="s">
        <v>56</v>
      </c>
    </row>
    <row r="659" customFormat="false" ht="15" hidden="false" customHeight="false" outlineLevel="0" collapsed="false">
      <c r="A659" s="18" t="n">
        <v>180135717</v>
      </c>
      <c r="B659" s="10" t="n">
        <v>658</v>
      </c>
      <c r="C659" s="18" t="s">
        <v>43</v>
      </c>
      <c r="D659" s="15" t="s">
        <v>1416</v>
      </c>
      <c r="E659" s="9" t="s">
        <v>1417</v>
      </c>
      <c r="F659" s="9" t="s">
        <v>25</v>
      </c>
      <c r="G659" s="10" t="n">
        <v>2026</v>
      </c>
      <c r="H659" s="10" t="n">
        <v>0</v>
      </c>
      <c r="I659" s="19" t="n">
        <v>12000</v>
      </c>
      <c r="J659" s="19" t="n">
        <v>12000</v>
      </c>
      <c r="K659" s="10" t="n">
        <v>0</v>
      </c>
      <c r="L659" s="10" t="n">
        <v>60</v>
      </c>
      <c r="M659" s="10" t="n">
        <v>0</v>
      </c>
      <c r="N659" s="11" t="n">
        <v>0</v>
      </c>
      <c r="O659" s="18" t="s">
        <v>56</v>
      </c>
    </row>
    <row r="660" customFormat="false" ht="15" hidden="false" customHeight="false" outlineLevel="0" collapsed="false">
      <c r="A660" s="18" t="n">
        <v>179717384</v>
      </c>
      <c r="B660" s="10" t="n">
        <v>659</v>
      </c>
      <c r="C660" s="18" t="s">
        <v>43</v>
      </c>
      <c r="D660" s="9" t="s">
        <v>1418</v>
      </c>
      <c r="E660" s="9" t="s">
        <v>1419</v>
      </c>
      <c r="F660" s="9" t="s">
        <v>311</v>
      </c>
      <c r="G660" s="10" t="n">
        <v>2026</v>
      </c>
      <c r="H660" s="10" t="n">
        <v>10</v>
      </c>
      <c r="I660" s="19" t="n">
        <v>28800</v>
      </c>
      <c r="J660" s="19" t="n">
        <v>32000</v>
      </c>
      <c r="K660" s="10" t="n">
        <v>1600</v>
      </c>
      <c r="L660" s="10" t="n">
        <v>234</v>
      </c>
      <c r="M660" s="10" t="n">
        <v>0</v>
      </c>
      <c r="N660" s="11" t="n">
        <v>0</v>
      </c>
      <c r="O660" s="18" t="s">
        <v>56</v>
      </c>
    </row>
    <row r="661" customFormat="false" ht="15" hidden="false" customHeight="false" outlineLevel="0" collapsed="false">
      <c r="A661" s="18" t="n">
        <v>179716972</v>
      </c>
      <c r="B661" s="10" t="n">
        <v>660</v>
      </c>
      <c r="C661" s="18" t="s">
        <v>43</v>
      </c>
      <c r="D661" s="9" t="s">
        <v>1420</v>
      </c>
      <c r="E661" s="15" t="s">
        <v>1421</v>
      </c>
      <c r="F661" s="9" t="s">
        <v>88</v>
      </c>
      <c r="G661" s="10" t="n">
        <v>2026</v>
      </c>
      <c r="H661" s="10" t="n">
        <v>10</v>
      </c>
      <c r="I661" s="19" t="n">
        <v>29700</v>
      </c>
      <c r="J661" s="19" t="n">
        <v>33000</v>
      </c>
      <c r="K661" s="10" t="n">
        <v>1650</v>
      </c>
      <c r="L661" s="10" t="n">
        <v>1950</v>
      </c>
      <c r="M661" s="10" t="n">
        <v>1</v>
      </c>
      <c r="N661" s="11" t="n">
        <v>10</v>
      </c>
      <c r="O661" s="18" t="s">
        <v>56</v>
      </c>
    </row>
    <row r="662" customFormat="false" ht="15" hidden="false" customHeight="false" outlineLevel="0" collapsed="false">
      <c r="A662" s="18" t="n">
        <v>179710994</v>
      </c>
      <c r="B662" s="10" t="n">
        <v>661</v>
      </c>
      <c r="C662" s="18" t="s">
        <v>43</v>
      </c>
      <c r="D662" s="9" t="s">
        <v>1422</v>
      </c>
      <c r="E662" s="9" t="s">
        <v>856</v>
      </c>
      <c r="F662" s="9" t="s">
        <v>12</v>
      </c>
      <c r="G662" s="10" t="n">
        <v>2026</v>
      </c>
      <c r="H662" s="10" t="n">
        <v>10</v>
      </c>
      <c r="I662" s="19" t="n">
        <v>19800</v>
      </c>
      <c r="J662" s="19" t="n">
        <v>22000</v>
      </c>
      <c r="K662" s="10" t="n">
        <v>1100</v>
      </c>
      <c r="L662" s="10" t="n">
        <v>1062</v>
      </c>
      <c r="M662" s="10" t="n">
        <v>17</v>
      </c>
      <c r="N662" s="11" t="n">
        <v>9.8</v>
      </c>
      <c r="O662" s="18" t="s">
        <v>56</v>
      </c>
    </row>
    <row r="663" customFormat="false" ht="15" hidden="false" customHeight="false" outlineLevel="0" collapsed="false">
      <c r="A663" s="18" t="n">
        <v>179619201</v>
      </c>
      <c r="B663" s="10" t="n">
        <v>662</v>
      </c>
      <c r="C663" s="18" t="s">
        <v>43</v>
      </c>
      <c r="D663" s="9" t="s">
        <v>1423</v>
      </c>
      <c r="E663" s="9" t="s">
        <v>1424</v>
      </c>
      <c r="F663" s="9" t="s">
        <v>1425</v>
      </c>
      <c r="G663" s="10" t="n">
        <v>2026</v>
      </c>
      <c r="H663" s="10" t="n">
        <v>5</v>
      </c>
      <c r="I663" s="19" t="n">
        <v>20900</v>
      </c>
      <c r="J663" s="19" t="n">
        <v>22000</v>
      </c>
      <c r="K663" s="10" t="n">
        <v>660</v>
      </c>
      <c r="L663" s="10" t="n">
        <v>2352</v>
      </c>
      <c r="M663" s="10" t="n">
        <v>10</v>
      </c>
      <c r="N663" s="11" t="n">
        <v>10</v>
      </c>
      <c r="O663" s="18" t="s">
        <v>56</v>
      </c>
    </row>
    <row r="664" customFormat="false" ht="15" hidden="false" customHeight="false" outlineLevel="0" collapsed="false">
      <c r="A664" s="18" t="n">
        <v>178728913</v>
      </c>
      <c r="B664" s="10" t="n">
        <v>663</v>
      </c>
      <c r="C664" s="18" t="s">
        <v>43</v>
      </c>
      <c r="D664" s="9" t="s">
        <v>1426</v>
      </c>
      <c r="E664" s="9" t="s">
        <v>809</v>
      </c>
      <c r="F664" s="9" t="s">
        <v>810</v>
      </c>
      <c r="G664" s="10" t="n">
        <v>2026</v>
      </c>
      <c r="H664" s="10" t="n">
        <v>10</v>
      </c>
      <c r="I664" s="19" t="n">
        <v>13500</v>
      </c>
      <c r="J664" s="19" t="n">
        <v>15000</v>
      </c>
      <c r="K664" s="10" t="n">
        <v>750</v>
      </c>
      <c r="L664" s="10" t="n">
        <v>414</v>
      </c>
      <c r="M664" s="10" t="n">
        <v>2</v>
      </c>
      <c r="N664" s="11" t="n">
        <v>2</v>
      </c>
      <c r="O664" s="18" t="s">
        <v>56</v>
      </c>
    </row>
    <row r="665" customFormat="false" ht="15" hidden="false" customHeight="false" outlineLevel="0" collapsed="false">
      <c r="A665" s="18" t="n">
        <v>178728314</v>
      </c>
      <c r="B665" s="10" t="n">
        <v>664</v>
      </c>
      <c r="C665" s="18" t="s">
        <v>43</v>
      </c>
      <c r="D665" s="15" t="s">
        <v>1427</v>
      </c>
      <c r="E665" s="9" t="s">
        <v>1428</v>
      </c>
      <c r="F665" s="9" t="s">
        <v>211</v>
      </c>
      <c r="G665" s="10" t="n">
        <v>2026</v>
      </c>
      <c r="H665" s="10" t="n">
        <v>10</v>
      </c>
      <c r="I665" s="19" t="n">
        <v>25200</v>
      </c>
      <c r="J665" s="19" t="n">
        <v>28000</v>
      </c>
      <c r="K665" s="10" t="n">
        <v>1400</v>
      </c>
      <c r="L665" s="10" t="n">
        <v>1308</v>
      </c>
      <c r="M665" s="10" t="n">
        <v>1</v>
      </c>
      <c r="N665" s="11" t="n">
        <v>10</v>
      </c>
      <c r="O665" s="18" t="s">
        <v>56</v>
      </c>
    </row>
    <row r="666" customFormat="false" ht="15" hidden="false" customHeight="false" outlineLevel="0" collapsed="false">
      <c r="A666" s="18" t="n">
        <v>178423441</v>
      </c>
      <c r="B666" s="10" t="n">
        <v>665</v>
      </c>
      <c r="C666" s="18" t="s">
        <v>43</v>
      </c>
      <c r="D666" s="9" t="s">
        <v>1429</v>
      </c>
      <c r="E666" s="9" t="s">
        <v>1430</v>
      </c>
      <c r="F666" s="9" t="s">
        <v>14</v>
      </c>
      <c r="G666" s="10" t="n">
        <v>2026</v>
      </c>
      <c r="H666" s="10" t="n">
        <v>10</v>
      </c>
      <c r="I666" s="19" t="n">
        <v>29700</v>
      </c>
      <c r="J666" s="19" t="n">
        <v>33000</v>
      </c>
      <c r="K666" s="10" t="n">
        <v>1650</v>
      </c>
      <c r="L666" s="10" t="n">
        <v>858</v>
      </c>
      <c r="M666" s="10" t="n">
        <v>14</v>
      </c>
      <c r="N666" s="11" t="n">
        <v>10</v>
      </c>
      <c r="O666" s="18" t="s">
        <v>56</v>
      </c>
    </row>
    <row r="667" customFormat="false" ht="15" hidden="false" customHeight="false" outlineLevel="0" collapsed="false">
      <c r="A667" s="18" t="n">
        <v>178423439</v>
      </c>
      <c r="B667" s="10" t="n">
        <v>666</v>
      </c>
      <c r="C667" s="18" t="s">
        <v>43</v>
      </c>
      <c r="D667" s="9" t="s">
        <v>1431</v>
      </c>
      <c r="E667" s="9" t="s">
        <v>1432</v>
      </c>
      <c r="F667" s="9" t="s">
        <v>16</v>
      </c>
      <c r="G667" s="10" t="n">
        <v>2026</v>
      </c>
      <c r="H667" s="10" t="n">
        <v>10</v>
      </c>
      <c r="I667" s="19" t="n">
        <v>27000</v>
      </c>
      <c r="J667" s="19" t="n">
        <v>30000</v>
      </c>
      <c r="K667" s="10" t="n">
        <v>1500</v>
      </c>
      <c r="L667" s="10" t="n">
        <v>372</v>
      </c>
      <c r="M667" s="10" t="n">
        <v>4</v>
      </c>
      <c r="N667" s="11" t="n">
        <v>9.5</v>
      </c>
      <c r="O667" s="18" t="s">
        <v>56</v>
      </c>
    </row>
    <row r="668" customFormat="false" ht="15" hidden="false" customHeight="false" outlineLevel="0" collapsed="false">
      <c r="A668" s="18" t="n">
        <v>178064014</v>
      </c>
      <c r="B668" s="10" t="n">
        <v>667</v>
      </c>
      <c r="C668" s="18" t="s">
        <v>43</v>
      </c>
      <c r="D668" s="9" t="s">
        <v>1433</v>
      </c>
      <c r="E668" s="9" t="s">
        <v>1434</v>
      </c>
      <c r="F668" s="9" t="s">
        <v>64</v>
      </c>
      <c r="G668" s="10" t="n">
        <v>2026</v>
      </c>
      <c r="H668" s="10" t="n">
        <v>10</v>
      </c>
      <c r="I668" s="19" t="n">
        <v>17820</v>
      </c>
      <c r="J668" s="19" t="n">
        <v>19800</v>
      </c>
      <c r="K668" s="10" t="n">
        <v>990</v>
      </c>
      <c r="L668" s="10" t="n">
        <v>846</v>
      </c>
      <c r="M668" s="10" t="n">
        <v>43</v>
      </c>
      <c r="N668" s="11" t="n">
        <v>9.8</v>
      </c>
      <c r="O668" s="18" t="s">
        <v>56</v>
      </c>
    </row>
    <row r="669" customFormat="false" ht="15" hidden="false" customHeight="false" outlineLevel="0" collapsed="false">
      <c r="A669" s="18" t="n">
        <v>177894445</v>
      </c>
      <c r="B669" s="10" t="n">
        <v>668</v>
      </c>
      <c r="C669" s="18" t="s">
        <v>43</v>
      </c>
      <c r="D669" s="9" t="s">
        <v>1435</v>
      </c>
      <c r="E669" s="9" t="s">
        <v>1436</v>
      </c>
      <c r="F669" s="9" t="s">
        <v>422</v>
      </c>
      <c r="G669" s="10" t="n">
        <v>2026</v>
      </c>
      <c r="H669" s="10" t="n">
        <v>10</v>
      </c>
      <c r="I669" s="19" t="n">
        <v>34200</v>
      </c>
      <c r="J669" s="19" t="n">
        <v>38000</v>
      </c>
      <c r="K669" s="10" t="n">
        <v>0</v>
      </c>
      <c r="L669" s="10" t="n">
        <v>486</v>
      </c>
      <c r="M669" s="10" t="n">
        <v>0</v>
      </c>
      <c r="N669" s="11" t="n">
        <v>0</v>
      </c>
      <c r="O669" s="18" t="s">
        <v>56</v>
      </c>
    </row>
    <row r="670" customFormat="false" ht="15" hidden="false" customHeight="false" outlineLevel="0" collapsed="false">
      <c r="A670" s="18" t="n">
        <v>177864378</v>
      </c>
      <c r="B670" s="10" t="n">
        <v>669</v>
      </c>
      <c r="C670" s="18" t="s">
        <v>43</v>
      </c>
      <c r="D670" s="15" t="s">
        <v>1437</v>
      </c>
      <c r="E670" s="9" t="s">
        <v>1438</v>
      </c>
      <c r="F670" s="15" t="s">
        <v>561</v>
      </c>
      <c r="G670" s="10" t="n">
        <v>2026</v>
      </c>
      <c r="H670" s="10" t="n">
        <v>0</v>
      </c>
      <c r="I670" s="19" t="n">
        <v>19000</v>
      </c>
      <c r="J670" s="19" t="n">
        <v>19000</v>
      </c>
      <c r="K670" s="10" t="n">
        <v>0</v>
      </c>
      <c r="L670" s="10" t="n">
        <v>240</v>
      </c>
      <c r="M670" s="10" t="n">
        <v>0</v>
      </c>
      <c r="N670" s="11" t="n">
        <v>0</v>
      </c>
      <c r="O670" s="18" t="s">
        <v>56</v>
      </c>
    </row>
    <row r="671" customFormat="false" ht="15" hidden="false" customHeight="false" outlineLevel="0" collapsed="false">
      <c r="A671" s="18" t="n">
        <v>177863774</v>
      </c>
      <c r="B671" s="10" t="n">
        <v>670</v>
      </c>
      <c r="C671" s="18" t="s">
        <v>43</v>
      </c>
      <c r="D671" s="9" t="s">
        <v>1439</v>
      </c>
      <c r="E671" s="9" t="s">
        <v>1440</v>
      </c>
      <c r="F671" s="9" t="s">
        <v>422</v>
      </c>
      <c r="G671" s="10" t="n">
        <v>2026</v>
      </c>
      <c r="H671" s="10" t="n">
        <v>10</v>
      </c>
      <c r="I671" s="19" t="n">
        <v>40500</v>
      </c>
      <c r="J671" s="19" t="n">
        <v>45000</v>
      </c>
      <c r="K671" s="10" t="n">
        <v>0</v>
      </c>
      <c r="L671" s="10" t="n">
        <v>321</v>
      </c>
      <c r="M671" s="10" t="n">
        <v>0</v>
      </c>
      <c r="N671" s="11" t="n">
        <v>0</v>
      </c>
      <c r="O671" s="18" t="s">
        <v>56</v>
      </c>
    </row>
    <row r="672" customFormat="false" ht="15" hidden="false" customHeight="false" outlineLevel="0" collapsed="false">
      <c r="A672" s="18" t="n">
        <v>177808924</v>
      </c>
      <c r="B672" s="10" t="n">
        <v>671</v>
      </c>
      <c r="C672" s="18" t="s">
        <v>43</v>
      </c>
      <c r="D672" s="9" t="s">
        <v>1441</v>
      </c>
      <c r="E672" s="9" t="s">
        <v>1442</v>
      </c>
      <c r="F672" s="9" t="s">
        <v>279</v>
      </c>
      <c r="G672" s="10" t="n">
        <v>2026</v>
      </c>
      <c r="H672" s="10" t="n">
        <v>10</v>
      </c>
      <c r="I672" s="19" t="n">
        <v>19800</v>
      </c>
      <c r="J672" s="19" t="n">
        <v>22000</v>
      </c>
      <c r="K672" s="10" t="n">
        <v>1100</v>
      </c>
      <c r="L672" s="10" t="n">
        <v>4971</v>
      </c>
      <c r="M672" s="10" t="n">
        <v>13</v>
      </c>
      <c r="N672" s="11" t="n">
        <v>10</v>
      </c>
      <c r="O672" s="18" t="s">
        <v>56</v>
      </c>
    </row>
    <row r="673" customFormat="false" ht="15" hidden="false" customHeight="false" outlineLevel="0" collapsed="false">
      <c r="A673" s="18" t="n">
        <v>177772931</v>
      </c>
      <c r="B673" s="10" t="n">
        <v>672</v>
      </c>
      <c r="C673" s="18" t="s">
        <v>43</v>
      </c>
      <c r="D673" s="15" t="s">
        <v>1443</v>
      </c>
      <c r="E673" s="9" t="s">
        <v>1444</v>
      </c>
      <c r="F673" s="9" t="s">
        <v>1445</v>
      </c>
      <c r="G673" s="10" t="n">
        <v>2026</v>
      </c>
      <c r="H673" s="10" t="n">
        <v>10</v>
      </c>
      <c r="I673" s="19" t="n">
        <v>24750</v>
      </c>
      <c r="J673" s="19" t="n">
        <v>27500</v>
      </c>
      <c r="K673" s="10" t="n">
        <v>1370</v>
      </c>
      <c r="L673" s="10" t="n">
        <v>84</v>
      </c>
      <c r="M673" s="10" t="n">
        <v>0</v>
      </c>
      <c r="N673" s="11" t="n">
        <v>0</v>
      </c>
      <c r="O673" s="18" t="s">
        <v>56</v>
      </c>
    </row>
    <row r="674" customFormat="false" ht="15" hidden="false" customHeight="false" outlineLevel="0" collapsed="false">
      <c r="A674" s="18" t="n">
        <v>177702125</v>
      </c>
      <c r="B674" s="10" t="n">
        <v>673</v>
      </c>
      <c r="C674" s="18" t="s">
        <v>43</v>
      </c>
      <c r="D674" s="9" t="s">
        <v>1446</v>
      </c>
      <c r="E674" s="9" t="s">
        <v>1447</v>
      </c>
      <c r="F674" s="9" t="s">
        <v>1274</v>
      </c>
      <c r="G674" s="10" t="n">
        <v>2026</v>
      </c>
      <c r="H674" s="10" t="n">
        <v>0</v>
      </c>
      <c r="I674" s="19" t="n">
        <v>33000</v>
      </c>
      <c r="J674" s="19" t="n">
        <v>33000</v>
      </c>
      <c r="K674" s="10" t="n">
        <v>990</v>
      </c>
      <c r="L674" s="10" t="n">
        <v>366</v>
      </c>
      <c r="M674" s="10" t="n">
        <v>0</v>
      </c>
      <c r="N674" s="11" t="n">
        <v>0</v>
      </c>
      <c r="O674" s="18" t="s">
        <v>56</v>
      </c>
    </row>
    <row r="675" customFormat="false" ht="15" hidden="false" customHeight="false" outlineLevel="0" collapsed="false">
      <c r="A675" s="18" t="n">
        <v>177127585</v>
      </c>
      <c r="B675" s="10" t="n">
        <v>674</v>
      </c>
      <c r="C675" s="18" t="s">
        <v>43</v>
      </c>
      <c r="D675" s="9" t="s">
        <v>1448</v>
      </c>
      <c r="E675" s="9" t="s">
        <v>1449</v>
      </c>
      <c r="F675" s="9" t="s">
        <v>982</v>
      </c>
      <c r="G675" s="10" t="n">
        <v>2026</v>
      </c>
      <c r="H675" s="10" t="n">
        <v>10</v>
      </c>
      <c r="I675" s="19" t="n">
        <v>19800</v>
      </c>
      <c r="J675" s="19" t="n">
        <v>22000</v>
      </c>
      <c r="K675" s="10" t="n">
        <v>1100</v>
      </c>
      <c r="L675" s="10" t="n">
        <v>312</v>
      </c>
      <c r="M675" s="10" t="n">
        <v>0</v>
      </c>
      <c r="N675" s="11" t="n">
        <v>0</v>
      </c>
      <c r="O675" s="18" t="s">
        <v>56</v>
      </c>
    </row>
    <row r="676" customFormat="false" ht="15" hidden="false" customHeight="false" outlineLevel="0" collapsed="false">
      <c r="A676" s="18" t="n">
        <v>177123635</v>
      </c>
      <c r="B676" s="10" t="n">
        <v>675</v>
      </c>
      <c r="C676" s="18" t="s">
        <v>43</v>
      </c>
      <c r="D676" s="9" t="s">
        <v>1450</v>
      </c>
      <c r="E676" s="9" t="s">
        <v>1451</v>
      </c>
      <c r="F676" s="9" t="s">
        <v>16</v>
      </c>
      <c r="G676" s="10" t="n">
        <v>2026</v>
      </c>
      <c r="H676" s="10" t="n">
        <v>10</v>
      </c>
      <c r="I676" s="19" t="n">
        <v>19800</v>
      </c>
      <c r="J676" s="19" t="n">
        <v>22000</v>
      </c>
      <c r="K676" s="10" t="n">
        <v>1100</v>
      </c>
      <c r="L676" s="10" t="n">
        <v>912</v>
      </c>
      <c r="M676" s="10" t="n">
        <v>11</v>
      </c>
      <c r="N676" s="11" t="n">
        <v>10</v>
      </c>
      <c r="O676" s="18" t="s">
        <v>56</v>
      </c>
    </row>
    <row r="677" customFormat="false" ht="15" hidden="false" customHeight="false" outlineLevel="0" collapsed="false">
      <c r="A677" s="18" t="n">
        <v>177077802</v>
      </c>
      <c r="B677" s="10" t="n">
        <v>676</v>
      </c>
      <c r="C677" s="18" t="s">
        <v>43</v>
      </c>
      <c r="D677" s="9" t="s">
        <v>1452</v>
      </c>
      <c r="E677" s="9" t="s">
        <v>1453</v>
      </c>
      <c r="F677" s="9" t="s">
        <v>100</v>
      </c>
      <c r="G677" s="10" t="n">
        <v>2026</v>
      </c>
      <c r="H677" s="10" t="n">
        <v>10</v>
      </c>
      <c r="I677" s="19" t="n">
        <v>27000</v>
      </c>
      <c r="J677" s="19" t="n">
        <v>30000</v>
      </c>
      <c r="K677" s="10" t="n">
        <v>1500</v>
      </c>
      <c r="L677" s="10" t="n">
        <v>1182</v>
      </c>
      <c r="M677" s="10" t="n">
        <v>1</v>
      </c>
      <c r="N677" s="11" t="n">
        <v>10</v>
      </c>
      <c r="O677" s="18" t="s">
        <v>46</v>
      </c>
    </row>
    <row r="678" customFormat="false" ht="15" hidden="false" customHeight="false" outlineLevel="0" collapsed="false">
      <c r="A678" s="18" t="n">
        <v>177059661</v>
      </c>
      <c r="B678" s="10" t="n">
        <v>677</v>
      </c>
      <c r="C678" s="18" t="s">
        <v>43</v>
      </c>
      <c r="D678" s="9" t="s">
        <v>1454</v>
      </c>
      <c r="E678" s="9" t="s">
        <v>1455</v>
      </c>
      <c r="F678" s="9" t="s">
        <v>100</v>
      </c>
      <c r="G678" s="10" t="n">
        <v>2026</v>
      </c>
      <c r="H678" s="10" t="n">
        <v>10</v>
      </c>
      <c r="I678" s="19" t="n">
        <v>19800</v>
      </c>
      <c r="J678" s="19" t="n">
        <v>22000</v>
      </c>
      <c r="K678" s="10" t="n">
        <v>1100</v>
      </c>
      <c r="L678" s="10" t="n">
        <v>282</v>
      </c>
      <c r="M678" s="10" t="n">
        <v>2</v>
      </c>
      <c r="N678" s="11" t="n">
        <v>10</v>
      </c>
      <c r="O678" s="18" t="s">
        <v>56</v>
      </c>
    </row>
    <row r="679" customFormat="false" ht="15" hidden="false" customHeight="false" outlineLevel="0" collapsed="false">
      <c r="A679" s="18" t="n">
        <v>176921045</v>
      </c>
      <c r="B679" s="10" t="n">
        <v>678</v>
      </c>
      <c r="C679" s="18" t="s">
        <v>43</v>
      </c>
      <c r="D679" s="9" t="s">
        <v>1456</v>
      </c>
      <c r="E679" s="9" t="s">
        <v>1457</v>
      </c>
      <c r="F679" s="9" t="s">
        <v>1458</v>
      </c>
      <c r="G679" s="10" t="n">
        <v>2026</v>
      </c>
      <c r="H679" s="10" t="n">
        <v>10</v>
      </c>
      <c r="I679" s="19" t="n">
        <v>41130</v>
      </c>
      <c r="J679" s="19" t="n">
        <v>45700</v>
      </c>
      <c r="K679" s="10" t="n">
        <v>2280</v>
      </c>
      <c r="L679" s="10" t="n">
        <v>132</v>
      </c>
      <c r="M679" s="10" t="n">
        <v>1</v>
      </c>
      <c r="N679" s="11" t="n">
        <v>10</v>
      </c>
      <c r="O679" s="18" t="s">
        <v>56</v>
      </c>
    </row>
    <row r="680" customFormat="false" ht="15" hidden="false" customHeight="false" outlineLevel="0" collapsed="false">
      <c r="A680" s="18" t="n">
        <v>176920892</v>
      </c>
      <c r="B680" s="10" t="n">
        <v>679</v>
      </c>
      <c r="C680" s="18" t="s">
        <v>43</v>
      </c>
      <c r="D680" s="9" t="s">
        <v>1459</v>
      </c>
      <c r="E680" s="9" t="s">
        <v>194</v>
      </c>
      <c r="F680" s="9" t="s">
        <v>195</v>
      </c>
      <c r="G680" s="10" t="n">
        <v>2026</v>
      </c>
      <c r="H680" s="10" t="n">
        <v>0</v>
      </c>
      <c r="I680" s="19" t="n">
        <v>39000</v>
      </c>
      <c r="J680" s="19" t="n">
        <v>39000</v>
      </c>
      <c r="K680" s="10" t="n">
        <v>0</v>
      </c>
      <c r="L680" s="10" t="n">
        <v>108</v>
      </c>
      <c r="M680" s="10" t="n">
        <v>0</v>
      </c>
      <c r="N680" s="11" t="n">
        <v>0</v>
      </c>
      <c r="O680" s="18" t="s">
        <v>56</v>
      </c>
    </row>
    <row r="681" customFormat="false" ht="15" hidden="false" customHeight="false" outlineLevel="0" collapsed="false">
      <c r="A681" s="18" t="n">
        <v>176919464</v>
      </c>
      <c r="B681" s="10" t="n">
        <v>680</v>
      </c>
      <c r="C681" s="18" t="s">
        <v>43</v>
      </c>
      <c r="D681" s="9" t="s">
        <v>1460</v>
      </c>
      <c r="E681" s="9" t="s">
        <v>1461</v>
      </c>
      <c r="F681" s="9" t="s">
        <v>17</v>
      </c>
      <c r="G681" s="10" t="n">
        <v>2026</v>
      </c>
      <c r="H681" s="10" t="n">
        <v>10</v>
      </c>
      <c r="I681" s="19" t="n">
        <v>25200</v>
      </c>
      <c r="J681" s="19" t="n">
        <v>28000</v>
      </c>
      <c r="K681" s="10" t="n">
        <v>1400</v>
      </c>
      <c r="L681" s="10" t="n">
        <v>2838</v>
      </c>
      <c r="M681" s="10" t="n">
        <v>27</v>
      </c>
      <c r="N681" s="11" t="n">
        <v>10</v>
      </c>
      <c r="O681" s="18" t="s">
        <v>46</v>
      </c>
    </row>
    <row r="682" customFormat="false" ht="15" hidden="false" customHeight="false" outlineLevel="0" collapsed="false">
      <c r="A682" s="18" t="n">
        <v>176914164</v>
      </c>
      <c r="B682" s="10" t="n">
        <v>681</v>
      </c>
      <c r="C682" s="18" t="s">
        <v>43</v>
      </c>
      <c r="D682" s="9" t="s">
        <v>1462</v>
      </c>
      <c r="E682" s="9" t="s">
        <v>1463</v>
      </c>
      <c r="F682" s="9" t="s">
        <v>311</v>
      </c>
      <c r="G682" s="10" t="n">
        <v>2026</v>
      </c>
      <c r="H682" s="10" t="n">
        <v>10</v>
      </c>
      <c r="I682" s="19" t="n">
        <v>29700</v>
      </c>
      <c r="J682" s="19" t="n">
        <v>33000</v>
      </c>
      <c r="K682" s="10" t="n">
        <v>1650</v>
      </c>
      <c r="L682" s="10" t="n">
        <v>222</v>
      </c>
      <c r="M682" s="10" t="n">
        <v>0</v>
      </c>
      <c r="N682" s="11" t="n">
        <v>0</v>
      </c>
      <c r="O682" s="18" t="s">
        <v>56</v>
      </c>
    </row>
    <row r="683" customFormat="false" ht="15" hidden="false" customHeight="false" outlineLevel="0" collapsed="false">
      <c r="A683" s="18" t="n">
        <v>176548558</v>
      </c>
      <c r="B683" s="10" t="n">
        <v>682</v>
      </c>
      <c r="C683" s="18" t="s">
        <v>43</v>
      </c>
      <c r="D683" s="9" t="s">
        <v>1464</v>
      </c>
      <c r="E683" s="9" t="s">
        <v>1465</v>
      </c>
      <c r="F683" s="9" t="s">
        <v>14</v>
      </c>
      <c r="G683" s="10" t="n">
        <v>2026</v>
      </c>
      <c r="H683" s="10" t="n">
        <v>10</v>
      </c>
      <c r="I683" s="19" t="n">
        <v>27000</v>
      </c>
      <c r="J683" s="19" t="n">
        <v>30000</v>
      </c>
      <c r="K683" s="10" t="n">
        <v>1500</v>
      </c>
      <c r="L683" s="10" t="n">
        <v>1266</v>
      </c>
      <c r="M683" s="10" t="n">
        <v>14</v>
      </c>
      <c r="N683" s="11" t="n">
        <v>10</v>
      </c>
      <c r="O683" s="18" t="s">
        <v>56</v>
      </c>
    </row>
    <row r="684" customFormat="false" ht="15" hidden="false" customHeight="false" outlineLevel="0" collapsed="false">
      <c r="A684" s="18" t="n">
        <v>176506241</v>
      </c>
      <c r="B684" s="10" t="n">
        <v>683</v>
      </c>
      <c r="C684" s="18" t="s">
        <v>43</v>
      </c>
      <c r="D684" s="15" t="s">
        <v>1466</v>
      </c>
      <c r="E684" s="9" t="s">
        <v>1467</v>
      </c>
      <c r="F684" s="9" t="s">
        <v>1468</v>
      </c>
      <c r="G684" s="10" t="n">
        <v>2026</v>
      </c>
      <c r="H684" s="10" t="n">
        <v>10</v>
      </c>
      <c r="I684" s="19" t="n">
        <v>17820</v>
      </c>
      <c r="J684" s="19" t="n">
        <v>19800</v>
      </c>
      <c r="K684" s="10" t="n">
        <v>990</v>
      </c>
      <c r="L684" s="10" t="n">
        <v>420</v>
      </c>
      <c r="M684" s="10" t="n">
        <v>13</v>
      </c>
      <c r="N684" s="11" t="n">
        <v>9.7</v>
      </c>
      <c r="O684" s="18" t="s">
        <v>56</v>
      </c>
    </row>
    <row r="685" customFormat="false" ht="15" hidden="false" customHeight="false" outlineLevel="0" collapsed="false">
      <c r="A685" s="18" t="n">
        <v>176448355</v>
      </c>
      <c r="B685" s="10" t="n">
        <v>684</v>
      </c>
      <c r="C685" s="18" t="s">
        <v>43</v>
      </c>
      <c r="D685" s="9" t="s">
        <v>1469</v>
      </c>
      <c r="E685" s="9" t="s">
        <v>1470</v>
      </c>
      <c r="F685" s="9" t="s">
        <v>259</v>
      </c>
      <c r="G685" s="10" t="n">
        <v>2026</v>
      </c>
      <c r="H685" s="10" t="n">
        <v>10</v>
      </c>
      <c r="I685" s="19" t="n">
        <v>22500</v>
      </c>
      <c r="J685" s="19" t="n">
        <v>25000</v>
      </c>
      <c r="K685" s="10" t="n">
        <v>250</v>
      </c>
      <c r="L685" s="10" t="n">
        <v>390</v>
      </c>
      <c r="M685" s="10" t="n">
        <v>2</v>
      </c>
      <c r="N685" s="11" t="n">
        <v>10</v>
      </c>
      <c r="O685" s="18" t="s">
        <v>56</v>
      </c>
    </row>
    <row r="686" customFormat="false" ht="15" hidden="false" customHeight="false" outlineLevel="0" collapsed="false">
      <c r="A686" s="18" t="n">
        <v>176445563</v>
      </c>
      <c r="B686" s="10" t="n">
        <v>685</v>
      </c>
      <c r="C686" s="18" t="s">
        <v>43</v>
      </c>
      <c r="D686" s="9" t="s">
        <v>1471</v>
      </c>
      <c r="E686" s="9" t="s">
        <v>588</v>
      </c>
      <c r="F686" s="9" t="s">
        <v>589</v>
      </c>
      <c r="G686" s="10" t="n">
        <v>2026</v>
      </c>
      <c r="H686" s="10" t="n">
        <v>10</v>
      </c>
      <c r="I686" s="19" t="n">
        <v>15300</v>
      </c>
      <c r="J686" s="19" t="n">
        <v>17000</v>
      </c>
      <c r="K686" s="10" t="n">
        <v>0</v>
      </c>
      <c r="L686" s="10" t="n">
        <v>1860</v>
      </c>
      <c r="M686" s="10" t="n">
        <v>3</v>
      </c>
      <c r="N686" s="11" t="n">
        <v>10</v>
      </c>
      <c r="O686" s="18" t="s">
        <v>56</v>
      </c>
    </row>
    <row r="687" customFormat="false" ht="15" hidden="false" customHeight="false" outlineLevel="0" collapsed="false">
      <c r="A687" s="18" t="n">
        <v>176445532</v>
      </c>
      <c r="B687" s="10" t="n">
        <v>686</v>
      </c>
      <c r="C687" s="18" t="s">
        <v>43</v>
      </c>
      <c r="D687" s="9" t="s">
        <v>1472</v>
      </c>
      <c r="E687" s="9" t="s">
        <v>588</v>
      </c>
      <c r="F687" s="9" t="s">
        <v>589</v>
      </c>
      <c r="G687" s="10" t="n">
        <v>2026</v>
      </c>
      <c r="H687" s="10" t="n">
        <v>10</v>
      </c>
      <c r="I687" s="19" t="n">
        <v>15300</v>
      </c>
      <c r="J687" s="19" t="n">
        <v>17000</v>
      </c>
      <c r="K687" s="10" t="n">
        <v>0</v>
      </c>
      <c r="L687" s="10" t="n">
        <v>1716</v>
      </c>
      <c r="M687" s="10" t="n">
        <v>3</v>
      </c>
      <c r="N687" s="11" t="n">
        <v>10</v>
      </c>
      <c r="O687" s="18" t="s">
        <v>56</v>
      </c>
    </row>
    <row r="688" customFormat="false" ht="15" hidden="false" customHeight="false" outlineLevel="0" collapsed="false">
      <c r="A688" s="18" t="n">
        <v>176088101</v>
      </c>
      <c r="B688" s="10" t="n">
        <v>687</v>
      </c>
      <c r="C688" s="18" t="s">
        <v>43</v>
      </c>
      <c r="D688" s="15" t="s">
        <v>1473</v>
      </c>
      <c r="E688" s="9" t="s">
        <v>1474</v>
      </c>
      <c r="F688" s="9" t="s">
        <v>422</v>
      </c>
      <c r="G688" s="10" t="n">
        <v>2026</v>
      </c>
      <c r="H688" s="10" t="n">
        <v>10</v>
      </c>
      <c r="I688" s="19" t="n">
        <v>34200</v>
      </c>
      <c r="J688" s="19" t="n">
        <v>38000</v>
      </c>
      <c r="K688" s="10" t="n">
        <v>0</v>
      </c>
      <c r="L688" s="10" t="n">
        <v>258</v>
      </c>
      <c r="M688" s="10" t="n">
        <v>17</v>
      </c>
      <c r="N688" s="11" t="n">
        <v>10</v>
      </c>
      <c r="O688" s="18" t="s">
        <v>56</v>
      </c>
    </row>
    <row r="689" customFormat="false" ht="15" hidden="false" customHeight="false" outlineLevel="0" collapsed="false">
      <c r="A689" s="18" t="n">
        <v>176049282</v>
      </c>
      <c r="B689" s="10" t="n">
        <v>688</v>
      </c>
      <c r="C689" s="18" t="s">
        <v>43</v>
      </c>
      <c r="D689" s="15" t="s">
        <v>1475</v>
      </c>
      <c r="E689" s="9" t="s">
        <v>815</v>
      </c>
      <c r="F689" s="9" t="s">
        <v>511</v>
      </c>
      <c r="G689" s="10" t="n">
        <v>2026</v>
      </c>
      <c r="H689" s="10" t="n">
        <v>10</v>
      </c>
      <c r="I689" s="19" t="n">
        <v>22500</v>
      </c>
      <c r="J689" s="19" t="n">
        <v>25000</v>
      </c>
      <c r="K689" s="10" t="n">
        <v>1250</v>
      </c>
      <c r="L689" s="10" t="n">
        <v>354</v>
      </c>
      <c r="M689" s="10" t="n">
        <v>26</v>
      </c>
      <c r="N689" s="11" t="n">
        <v>10</v>
      </c>
      <c r="O689" s="18" t="s">
        <v>56</v>
      </c>
    </row>
    <row r="690" customFormat="false" ht="15" hidden="false" customHeight="false" outlineLevel="0" collapsed="false">
      <c r="A690" s="18" t="n">
        <v>175912211</v>
      </c>
      <c r="B690" s="10" t="n">
        <v>689</v>
      </c>
      <c r="C690" s="18" t="s">
        <v>43</v>
      </c>
      <c r="D690" s="9" t="s">
        <v>1476</v>
      </c>
      <c r="E690" s="9" t="s">
        <v>601</v>
      </c>
      <c r="F690" s="9" t="s">
        <v>184</v>
      </c>
      <c r="G690" s="10" t="n">
        <v>2026</v>
      </c>
      <c r="H690" s="10" t="n">
        <v>0</v>
      </c>
      <c r="I690" s="19" t="n">
        <v>30000</v>
      </c>
      <c r="J690" s="19" t="n">
        <v>30000</v>
      </c>
      <c r="K690" s="10" t="n">
        <v>0</v>
      </c>
      <c r="L690" s="10" t="n">
        <v>354</v>
      </c>
      <c r="M690" s="10" t="n">
        <v>0</v>
      </c>
      <c r="N690" s="11" t="n">
        <v>0</v>
      </c>
      <c r="O690" s="18" t="s">
        <v>56</v>
      </c>
    </row>
    <row r="691" customFormat="false" ht="15" hidden="false" customHeight="false" outlineLevel="0" collapsed="false">
      <c r="A691" s="18" t="n">
        <v>175903528</v>
      </c>
      <c r="B691" s="10" t="n">
        <v>690</v>
      </c>
      <c r="C691" s="18" t="s">
        <v>43</v>
      </c>
      <c r="D691" s="9" t="s">
        <v>1477</v>
      </c>
      <c r="E691" s="9" t="s">
        <v>1478</v>
      </c>
      <c r="F691" s="9" t="s">
        <v>12</v>
      </c>
      <c r="G691" s="10" t="n">
        <v>2026</v>
      </c>
      <c r="H691" s="10" t="n">
        <v>10</v>
      </c>
      <c r="I691" s="19" t="n">
        <v>31500</v>
      </c>
      <c r="J691" s="19" t="n">
        <v>35000</v>
      </c>
      <c r="K691" s="10" t="n">
        <v>1750</v>
      </c>
      <c r="L691" s="10" t="n">
        <v>120</v>
      </c>
      <c r="M691" s="10" t="n">
        <v>3</v>
      </c>
      <c r="N691" s="11" t="n">
        <v>9.3</v>
      </c>
      <c r="O691" s="18" t="s">
        <v>56</v>
      </c>
    </row>
    <row r="692" customFormat="false" ht="15" hidden="false" customHeight="false" outlineLevel="0" collapsed="false">
      <c r="A692" s="18" t="n">
        <v>175902524</v>
      </c>
      <c r="B692" s="10" t="n">
        <v>691</v>
      </c>
      <c r="C692" s="18" t="s">
        <v>43</v>
      </c>
      <c r="D692" s="15" t="s">
        <v>1479</v>
      </c>
      <c r="E692" s="9" t="s">
        <v>1480</v>
      </c>
      <c r="F692" s="9" t="s">
        <v>12</v>
      </c>
      <c r="G692" s="10" t="n">
        <v>2026</v>
      </c>
      <c r="H692" s="10" t="n">
        <v>10</v>
      </c>
      <c r="I692" s="19" t="n">
        <v>23400</v>
      </c>
      <c r="J692" s="19" t="n">
        <v>26000</v>
      </c>
      <c r="K692" s="10" t="n">
        <v>1300</v>
      </c>
      <c r="L692" s="10" t="n">
        <v>2706</v>
      </c>
      <c r="M692" s="10" t="n">
        <v>65</v>
      </c>
      <c r="N692" s="11" t="n">
        <v>10</v>
      </c>
      <c r="O692" s="18" t="s">
        <v>56</v>
      </c>
    </row>
    <row r="693" customFormat="false" ht="15" hidden="false" customHeight="false" outlineLevel="0" collapsed="false">
      <c r="A693" s="18" t="n">
        <v>175558676</v>
      </c>
      <c r="B693" s="10" t="n">
        <v>692</v>
      </c>
      <c r="C693" s="18" t="s">
        <v>43</v>
      </c>
      <c r="D693" s="9" t="s">
        <v>1481</v>
      </c>
      <c r="E693" s="15" t="s">
        <v>874</v>
      </c>
      <c r="F693" s="9" t="s">
        <v>23</v>
      </c>
      <c r="G693" s="10" t="n">
        <v>2026</v>
      </c>
      <c r="H693" s="10" t="n">
        <v>10</v>
      </c>
      <c r="I693" s="19" t="n">
        <v>15300</v>
      </c>
      <c r="J693" s="19" t="n">
        <v>17000</v>
      </c>
      <c r="K693" s="10" t="n">
        <v>850</v>
      </c>
      <c r="L693" s="10" t="n">
        <v>516</v>
      </c>
      <c r="M693" s="10" t="n">
        <v>7</v>
      </c>
      <c r="N693" s="11" t="n">
        <v>10</v>
      </c>
      <c r="O693" s="18" t="s">
        <v>56</v>
      </c>
    </row>
    <row r="694" customFormat="false" ht="15" hidden="false" customHeight="false" outlineLevel="0" collapsed="false">
      <c r="A694" s="18" t="n">
        <v>175392034</v>
      </c>
      <c r="B694" s="10" t="n">
        <v>693</v>
      </c>
      <c r="C694" s="18" t="s">
        <v>43</v>
      </c>
      <c r="D694" s="9" t="s">
        <v>1482</v>
      </c>
      <c r="E694" s="9" t="s">
        <v>1483</v>
      </c>
      <c r="F694" s="9" t="s">
        <v>23</v>
      </c>
      <c r="G694" s="10" t="n">
        <v>2026</v>
      </c>
      <c r="H694" s="10" t="n">
        <v>10</v>
      </c>
      <c r="I694" s="19" t="n">
        <v>15300</v>
      </c>
      <c r="J694" s="19" t="n">
        <v>17000</v>
      </c>
      <c r="K694" s="10" t="n">
        <v>850</v>
      </c>
      <c r="L694" s="10" t="n">
        <v>390</v>
      </c>
      <c r="M694" s="10" t="n">
        <v>10</v>
      </c>
      <c r="N694" s="11" t="n">
        <v>9.6</v>
      </c>
      <c r="O694" s="18" t="s">
        <v>56</v>
      </c>
    </row>
    <row r="695" customFormat="false" ht="15" hidden="false" customHeight="false" outlineLevel="0" collapsed="false">
      <c r="A695" s="18" t="n">
        <v>175268869</v>
      </c>
      <c r="B695" s="10" t="n">
        <v>694</v>
      </c>
      <c r="C695" s="18" t="s">
        <v>43</v>
      </c>
      <c r="D695" s="15" t="s">
        <v>1484</v>
      </c>
      <c r="E695" s="9" t="s">
        <v>1485</v>
      </c>
      <c r="F695" s="9" t="s">
        <v>311</v>
      </c>
      <c r="G695" s="10" t="n">
        <v>2026</v>
      </c>
      <c r="H695" s="10" t="n">
        <v>10</v>
      </c>
      <c r="I695" s="19" t="n">
        <v>40500</v>
      </c>
      <c r="J695" s="19" t="n">
        <v>45000</v>
      </c>
      <c r="K695" s="10" t="n">
        <v>2250</v>
      </c>
      <c r="L695" s="10" t="n">
        <v>216</v>
      </c>
      <c r="M695" s="10" t="n">
        <v>3</v>
      </c>
      <c r="N695" s="11" t="n">
        <v>10</v>
      </c>
      <c r="O695" s="18" t="s">
        <v>56</v>
      </c>
    </row>
    <row r="696" customFormat="false" ht="15" hidden="false" customHeight="false" outlineLevel="0" collapsed="false">
      <c r="A696" s="18" t="n">
        <v>175226781</v>
      </c>
      <c r="B696" s="10" t="n">
        <v>695</v>
      </c>
      <c r="C696" s="18" t="s">
        <v>43</v>
      </c>
      <c r="D696" s="9" t="s">
        <v>1486</v>
      </c>
      <c r="E696" s="9" t="s">
        <v>1487</v>
      </c>
      <c r="F696" s="9" t="s">
        <v>51</v>
      </c>
      <c r="G696" s="10" t="n">
        <v>2026</v>
      </c>
      <c r="H696" s="10" t="n">
        <v>10</v>
      </c>
      <c r="I696" s="19" t="n">
        <v>19800</v>
      </c>
      <c r="J696" s="19" t="n">
        <v>22000</v>
      </c>
      <c r="K696" s="10" t="n">
        <v>1100</v>
      </c>
      <c r="L696" s="10" t="n">
        <v>1365</v>
      </c>
      <c r="M696" s="10" t="n">
        <v>0</v>
      </c>
      <c r="N696" s="11" t="n">
        <v>0</v>
      </c>
      <c r="O696" s="18" t="s">
        <v>56</v>
      </c>
    </row>
    <row r="697" customFormat="false" ht="15" hidden="false" customHeight="false" outlineLevel="0" collapsed="false">
      <c r="A697" s="18" t="n">
        <v>175122536</v>
      </c>
      <c r="B697" s="10" t="n">
        <v>696</v>
      </c>
      <c r="C697" s="18" t="s">
        <v>43</v>
      </c>
      <c r="D697" s="9" t="s">
        <v>1488</v>
      </c>
      <c r="E697" s="9" t="s">
        <v>1489</v>
      </c>
      <c r="F697" s="9" t="s">
        <v>514</v>
      </c>
      <c r="G697" s="10" t="n">
        <v>2026</v>
      </c>
      <c r="H697" s="10" t="n">
        <v>0</v>
      </c>
      <c r="I697" s="19" t="n">
        <v>38000</v>
      </c>
      <c r="J697" s="19" t="n">
        <v>38000</v>
      </c>
      <c r="K697" s="10" t="n">
        <v>0</v>
      </c>
      <c r="L697" s="10" t="n">
        <v>276</v>
      </c>
      <c r="M697" s="10" t="n">
        <v>0</v>
      </c>
      <c r="N697" s="11" t="n">
        <v>0</v>
      </c>
      <c r="O697" s="18" t="s">
        <v>56</v>
      </c>
    </row>
    <row r="698" customFormat="false" ht="15" hidden="false" customHeight="false" outlineLevel="0" collapsed="false">
      <c r="A698" s="18" t="n">
        <v>174965851</v>
      </c>
      <c r="B698" s="10" t="n">
        <v>697</v>
      </c>
      <c r="C698" s="18" t="s">
        <v>43</v>
      </c>
      <c r="D698" s="15" t="s">
        <v>1490</v>
      </c>
      <c r="E698" s="9" t="s">
        <v>1491</v>
      </c>
      <c r="F698" s="9" t="s">
        <v>336</v>
      </c>
      <c r="G698" s="10" t="n">
        <v>2026</v>
      </c>
      <c r="H698" s="10" t="n">
        <v>10</v>
      </c>
      <c r="I698" s="19" t="n">
        <v>22500</v>
      </c>
      <c r="J698" s="19" t="n">
        <v>25000</v>
      </c>
      <c r="K698" s="10" t="n">
        <v>1250</v>
      </c>
      <c r="L698" s="10" t="n">
        <v>708</v>
      </c>
      <c r="M698" s="10" t="n">
        <v>16</v>
      </c>
      <c r="N698" s="11" t="n">
        <v>9.8</v>
      </c>
      <c r="O698" s="18" t="s">
        <v>56</v>
      </c>
    </row>
    <row r="699" customFormat="false" ht="15" hidden="false" customHeight="false" outlineLevel="0" collapsed="false">
      <c r="A699" s="18" t="n">
        <v>174707316</v>
      </c>
      <c r="B699" s="10" t="n">
        <v>698</v>
      </c>
      <c r="C699" s="18" t="s">
        <v>43</v>
      </c>
      <c r="D699" s="9" t="s">
        <v>1492</v>
      </c>
      <c r="E699" s="9" t="s">
        <v>1493</v>
      </c>
      <c r="F699" s="9" t="s">
        <v>259</v>
      </c>
      <c r="G699" s="10" t="n">
        <v>2026</v>
      </c>
      <c r="H699" s="10" t="n">
        <v>10</v>
      </c>
      <c r="I699" s="19" t="n">
        <v>15120</v>
      </c>
      <c r="J699" s="19" t="n">
        <v>16800</v>
      </c>
      <c r="K699" s="10" t="n">
        <v>840</v>
      </c>
      <c r="L699" s="10" t="n">
        <v>2004</v>
      </c>
      <c r="M699" s="10" t="n">
        <v>40</v>
      </c>
      <c r="N699" s="11" t="n">
        <v>9.8</v>
      </c>
      <c r="O699" s="18" t="s">
        <v>56</v>
      </c>
    </row>
    <row r="700" customFormat="false" ht="15" hidden="false" customHeight="false" outlineLevel="0" collapsed="false">
      <c r="A700" s="18" t="n">
        <v>174304314</v>
      </c>
      <c r="B700" s="10" t="n">
        <v>699</v>
      </c>
      <c r="C700" s="18" t="s">
        <v>43</v>
      </c>
      <c r="D700" s="9" t="s">
        <v>1494</v>
      </c>
      <c r="E700" s="9" t="s">
        <v>580</v>
      </c>
      <c r="F700" s="9" t="s">
        <v>231</v>
      </c>
      <c r="G700" s="10" t="n">
        <v>2026</v>
      </c>
      <c r="H700" s="10" t="n">
        <v>10</v>
      </c>
      <c r="I700" s="19" t="n">
        <v>27000</v>
      </c>
      <c r="J700" s="19" t="n">
        <v>30000</v>
      </c>
      <c r="K700" s="10" t="n">
        <v>1500</v>
      </c>
      <c r="L700" s="10" t="n">
        <v>876</v>
      </c>
      <c r="M700" s="10" t="n">
        <v>1</v>
      </c>
      <c r="N700" s="11" t="n">
        <v>10</v>
      </c>
      <c r="O700" s="18" t="s">
        <v>56</v>
      </c>
    </row>
    <row r="701" customFormat="false" ht="15" hidden="false" customHeight="false" outlineLevel="0" collapsed="false">
      <c r="A701" s="18" t="n">
        <v>174197933</v>
      </c>
      <c r="B701" s="10" t="n">
        <v>700</v>
      </c>
      <c r="C701" s="18" t="s">
        <v>43</v>
      </c>
      <c r="D701" s="9" t="s">
        <v>1495</v>
      </c>
      <c r="E701" s="9" t="s">
        <v>1496</v>
      </c>
      <c r="F701" s="9" t="s">
        <v>1497</v>
      </c>
      <c r="G701" s="10" t="n">
        <v>2026</v>
      </c>
      <c r="H701" s="10" t="n">
        <v>10</v>
      </c>
      <c r="I701" s="19" t="n">
        <v>22950</v>
      </c>
      <c r="J701" s="19" t="n">
        <v>25500</v>
      </c>
      <c r="K701" s="10" t="n">
        <v>1270</v>
      </c>
      <c r="L701" s="10" t="n">
        <v>2337</v>
      </c>
      <c r="M701" s="10" t="n">
        <v>9</v>
      </c>
      <c r="N701" s="11" t="n">
        <v>10</v>
      </c>
      <c r="O701" s="18" t="s">
        <v>56</v>
      </c>
    </row>
    <row r="702" customFormat="false" ht="15" hidden="false" customHeight="false" outlineLevel="0" collapsed="false">
      <c r="A702" s="18" t="n">
        <v>173941742</v>
      </c>
      <c r="B702" s="10" t="n">
        <v>701</v>
      </c>
      <c r="C702" s="18" t="s">
        <v>43</v>
      </c>
      <c r="D702" s="9" t="s">
        <v>1498</v>
      </c>
      <c r="E702" s="9" t="s">
        <v>1247</v>
      </c>
      <c r="F702" s="9" t="s">
        <v>1248</v>
      </c>
      <c r="G702" s="10" t="n">
        <v>2026</v>
      </c>
      <c r="H702" s="10" t="n">
        <v>10</v>
      </c>
      <c r="I702" s="19" t="n">
        <v>21420</v>
      </c>
      <c r="J702" s="19" t="n">
        <v>23800</v>
      </c>
      <c r="K702" s="10" t="n">
        <v>1190</v>
      </c>
      <c r="L702" s="10" t="n">
        <v>426</v>
      </c>
      <c r="M702" s="10" t="n">
        <v>1</v>
      </c>
      <c r="N702" s="11" t="n">
        <v>10</v>
      </c>
      <c r="O702" s="18" t="s">
        <v>56</v>
      </c>
    </row>
    <row r="703" customFormat="false" ht="15" hidden="false" customHeight="false" outlineLevel="0" collapsed="false">
      <c r="A703" s="18" t="n">
        <v>173650021</v>
      </c>
      <c r="B703" s="10" t="n">
        <v>702</v>
      </c>
      <c r="C703" s="18" t="s">
        <v>43</v>
      </c>
      <c r="D703" s="15" t="s">
        <v>1499</v>
      </c>
      <c r="E703" s="9" t="s">
        <v>1500</v>
      </c>
      <c r="F703" s="9" t="s">
        <v>25</v>
      </c>
      <c r="G703" s="10" t="n">
        <v>2026</v>
      </c>
      <c r="H703" s="10" t="n">
        <v>0</v>
      </c>
      <c r="I703" s="19" t="n">
        <v>12000</v>
      </c>
      <c r="J703" s="19" t="n">
        <v>12000</v>
      </c>
      <c r="K703" s="10" t="n">
        <v>0</v>
      </c>
      <c r="L703" s="10" t="n">
        <v>150</v>
      </c>
      <c r="M703" s="10" t="n">
        <v>0</v>
      </c>
      <c r="N703" s="11" t="n">
        <v>0</v>
      </c>
      <c r="O703" s="18" t="s">
        <v>56</v>
      </c>
    </row>
    <row r="704" customFormat="false" ht="15" hidden="false" customHeight="false" outlineLevel="0" collapsed="false">
      <c r="A704" s="18" t="n">
        <v>173235066</v>
      </c>
      <c r="B704" s="10" t="n">
        <v>703</v>
      </c>
      <c r="C704" s="18" t="s">
        <v>43</v>
      </c>
      <c r="D704" s="9" t="s">
        <v>1501</v>
      </c>
      <c r="E704" s="9" t="s">
        <v>1502</v>
      </c>
      <c r="F704" s="9" t="s">
        <v>184</v>
      </c>
      <c r="G704" s="10" t="n">
        <v>2026</v>
      </c>
      <c r="H704" s="10" t="n">
        <v>5</v>
      </c>
      <c r="I704" s="19" t="n">
        <v>18050</v>
      </c>
      <c r="J704" s="19" t="n">
        <v>19000</v>
      </c>
      <c r="K704" s="10" t="n">
        <v>570</v>
      </c>
      <c r="L704" s="10" t="n">
        <v>1572</v>
      </c>
      <c r="M704" s="10" t="n">
        <v>64</v>
      </c>
      <c r="N704" s="11" t="n">
        <v>9.8</v>
      </c>
      <c r="O704" s="18" t="s">
        <v>56</v>
      </c>
    </row>
    <row r="705" customFormat="false" ht="15" hidden="false" customHeight="false" outlineLevel="0" collapsed="false">
      <c r="A705" s="18" t="n">
        <v>172726927</v>
      </c>
      <c r="B705" s="10" t="n">
        <v>704</v>
      </c>
      <c r="C705" s="18" t="s">
        <v>43</v>
      </c>
      <c r="D705" s="9" t="s">
        <v>1503</v>
      </c>
      <c r="E705" s="9" t="s">
        <v>1504</v>
      </c>
      <c r="F705" s="9" t="s">
        <v>16</v>
      </c>
      <c r="G705" s="10" t="n">
        <v>2026</v>
      </c>
      <c r="H705" s="10" t="n">
        <v>10</v>
      </c>
      <c r="I705" s="19" t="n">
        <v>25200</v>
      </c>
      <c r="J705" s="19" t="n">
        <v>28000</v>
      </c>
      <c r="K705" s="10" t="n">
        <v>1400</v>
      </c>
      <c r="L705" s="10" t="n">
        <v>1182</v>
      </c>
      <c r="M705" s="10" t="n">
        <v>4</v>
      </c>
      <c r="N705" s="11" t="n">
        <v>10</v>
      </c>
      <c r="O705" s="18" t="s">
        <v>56</v>
      </c>
    </row>
    <row r="706" customFormat="false" ht="15" hidden="false" customHeight="false" outlineLevel="0" collapsed="false">
      <c r="A706" s="18" t="n">
        <v>172551312</v>
      </c>
      <c r="B706" s="10" t="n">
        <v>705</v>
      </c>
      <c r="C706" s="18" t="s">
        <v>43</v>
      </c>
      <c r="D706" s="9" t="s">
        <v>1505</v>
      </c>
      <c r="E706" s="9" t="s">
        <v>1506</v>
      </c>
      <c r="F706" s="9" t="s">
        <v>552</v>
      </c>
      <c r="G706" s="10" t="n">
        <v>2026</v>
      </c>
      <c r="H706" s="10" t="n">
        <v>10</v>
      </c>
      <c r="I706" s="19" t="n">
        <v>21600</v>
      </c>
      <c r="J706" s="19" t="n">
        <v>24000</v>
      </c>
      <c r="K706" s="10" t="n">
        <v>1200</v>
      </c>
      <c r="L706" s="10" t="n">
        <v>276</v>
      </c>
      <c r="M706" s="10" t="n">
        <v>9</v>
      </c>
      <c r="N706" s="11" t="n">
        <v>10</v>
      </c>
      <c r="O706" s="18" t="s">
        <v>56</v>
      </c>
    </row>
    <row r="707" customFormat="false" ht="15" hidden="false" customHeight="false" outlineLevel="0" collapsed="false">
      <c r="A707" s="18" t="n">
        <v>171532472</v>
      </c>
      <c r="B707" s="10" t="n">
        <v>706</v>
      </c>
      <c r="C707" s="18" t="s">
        <v>43</v>
      </c>
      <c r="D707" s="15" t="s">
        <v>1507</v>
      </c>
      <c r="E707" s="9" t="s">
        <v>1508</v>
      </c>
      <c r="F707" s="9" t="s">
        <v>1509</v>
      </c>
      <c r="G707" s="10" t="n">
        <v>2026</v>
      </c>
      <c r="H707" s="10" t="n">
        <v>10</v>
      </c>
      <c r="I707" s="19" t="n">
        <v>17100</v>
      </c>
      <c r="J707" s="19" t="n">
        <v>19000</v>
      </c>
      <c r="K707" s="10" t="n">
        <v>950</v>
      </c>
      <c r="L707" s="10" t="n">
        <v>828</v>
      </c>
      <c r="M707" s="10" t="n">
        <v>0</v>
      </c>
      <c r="N707" s="11" t="n">
        <v>0</v>
      </c>
      <c r="O707" s="18" t="s">
        <v>56</v>
      </c>
    </row>
    <row r="708" customFormat="false" ht="15" hidden="false" customHeight="false" outlineLevel="0" collapsed="false">
      <c r="A708" s="18" t="n">
        <v>171428416</v>
      </c>
      <c r="B708" s="10" t="n">
        <v>707</v>
      </c>
      <c r="C708" s="18" t="s">
        <v>43</v>
      </c>
      <c r="D708" s="15" t="s">
        <v>1510</v>
      </c>
      <c r="E708" s="9" t="s">
        <v>1511</v>
      </c>
      <c r="F708" s="9" t="s">
        <v>1512</v>
      </c>
      <c r="G708" s="10" t="n">
        <v>2026</v>
      </c>
      <c r="H708" s="10" t="n">
        <v>10</v>
      </c>
      <c r="I708" s="19" t="n">
        <v>17100</v>
      </c>
      <c r="J708" s="19" t="n">
        <v>19000</v>
      </c>
      <c r="K708" s="10" t="n">
        <v>950</v>
      </c>
      <c r="L708" s="10" t="n">
        <v>1455</v>
      </c>
      <c r="M708" s="10" t="n">
        <v>12</v>
      </c>
      <c r="N708" s="11" t="n">
        <v>9.5</v>
      </c>
      <c r="O708" s="18" t="s">
        <v>56</v>
      </c>
    </row>
    <row r="709" customFormat="false" ht="15" hidden="false" customHeight="false" outlineLevel="0" collapsed="false">
      <c r="A709" s="18" t="n">
        <v>171028674</v>
      </c>
      <c r="B709" s="10" t="n">
        <v>708</v>
      </c>
      <c r="C709" s="18" t="s">
        <v>43</v>
      </c>
      <c r="D709" s="9" t="s">
        <v>1513</v>
      </c>
      <c r="E709" s="9" t="s">
        <v>1514</v>
      </c>
      <c r="F709" s="9" t="s">
        <v>21</v>
      </c>
      <c r="G709" s="10" t="n">
        <v>2026</v>
      </c>
      <c r="H709" s="10" t="n">
        <v>10</v>
      </c>
      <c r="I709" s="19" t="n">
        <v>25200</v>
      </c>
      <c r="J709" s="19" t="n">
        <v>28000</v>
      </c>
      <c r="K709" s="10" t="n">
        <v>1400</v>
      </c>
      <c r="L709" s="10" t="n">
        <v>570</v>
      </c>
      <c r="M709" s="10" t="n">
        <v>2</v>
      </c>
      <c r="N709" s="11" t="n">
        <v>10</v>
      </c>
      <c r="O709" s="18" t="s">
        <v>56</v>
      </c>
    </row>
    <row r="710" customFormat="false" ht="15" hidden="false" customHeight="false" outlineLevel="0" collapsed="false">
      <c r="A710" s="18" t="n">
        <v>170473312</v>
      </c>
      <c r="B710" s="10" t="n">
        <v>709</v>
      </c>
      <c r="C710" s="18" t="s">
        <v>43</v>
      </c>
      <c r="D710" s="9" t="s">
        <v>1515</v>
      </c>
      <c r="E710" s="9" t="s">
        <v>1516</v>
      </c>
      <c r="F710" s="9" t="s">
        <v>1517</v>
      </c>
      <c r="G710" s="10" t="n">
        <v>2025</v>
      </c>
      <c r="H710" s="10" t="n">
        <v>10</v>
      </c>
      <c r="I710" s="19" t="n">
        <v>16200</v>
      </c>
      <c r="J710" s="19" t="n">
        <v>18000</v>
      </c>
      <c r="K710" s="10" t="n">
        <v>900</v>
      </c>
      <c r="L710" s="10" t="n">
        <v>366</v>
      </c>
      <c r="M710" s="10" t="n">
        <v>2</v>
      </c>
      <c r="N710" s="11" t="n">
        <v>10</v>
      </c>
      <c r="O710" s="18" t="s">
        <v>56</v>
      </c>
    </row>
    <row r="711" customFormat="false" ht="15" hidden="false" customHeight="false" outlineLevel="0" collapsed="false">
      <c r="A711" s="18" t="n">
        <v>170430984</v>
      </c>
      <c r="B711" s="10" t="n">
        <v>710</v>
      </c>
      <c r="C711" s="18" t="s">
        <v>43</v>
      </c>
      <c r="D711" s="9" t="s">
        <v>1518</v>
      </c>
      <c r="E711" s="9" t="s">
        <v>1519</v>
      </c>
      <c r="F711" s="9" t="s">
        <v>747</v>
      </c>
      <c r="G711" s="10" t="n">
        <v>2026</v>
      </c>
      <c r="H711" s="10" t="n">
        <v>10</v>
      </c>
      <c r="I711" s="19" t="n">
        <v>30600</v>
      </c>
      <c r="J711" s="19" t="n">
        <v>34000</v>
      </c>
      <c r="K711" s="10" t="n">
        <v>1700</v>
      </c>
      <c r="L711" s="10" t="n">
        <v>636</v>
      </c>
      <c r="M711" s="10" t="n">
        <v>0</v>
      </c>
      <c r="N711" s="11" t="n">
        <v>0</v>
      </c>
      <c r="O711" s="18" t="s">
        <v>56</v>
      </c>
    </row>
    <row r="712" customFormat="false" ht="15" hidden="false" customHeight="false" outlineLevel="0" collapsed="false">
      <c r="A712" s="18" t="n">
        <v>170374556</v>
      </c>
      <c r="B712" s="10" t="n">
        <v>711</v>
      </c>
      <c r="C712" s="18" t="s">
        <v>43</v>
      </c>
      <c r="D712" s="15" t="s">
        <v>1520</v>
      </c>
      <c r="E712" s="9" t="s">
        <v>1521</v>
      </c>
      <c r="F712" s="9" t="s">
        <v>16</v>
      </c>
      <c r="G712" s="10" t="n">
        <v>2026</v>
      </c>
      <c r="H712" s="10" t="n">
        <v>10</v>
      </c>
      <c r="I712" s="19" t="n">
        <v>25200</v>
      </c>
      <c r="J712" s="19" t="n">
        <v>28000</v>
      </c>
      <c r="K712" s="10" t="n">
        <v>1400</v>
      </c>
      <c r="L712" s="10" t="n">
        <v>1056</v>
      </c>
      <c r="M712" s="10" t="n">
        <v>1</v>
      </c>
      <c r="N712" s="11" t="n">
        <v>10</v>
      </c>
      <c r="O712" s="18" t="s">
        <v>56</v>
      </c>
    </row>
    <row r="713" customFormat="false" ht="15" hidden="false" customHeight="false" outlineLevel="0" collapsed="false">
      <c r="A713" s="18" t="n">
        <v>169407614</v>
      </c>
      <c r="B713" s="10" t="n">
        <v>712</v>
      </c>
      <c r="C713" s="18" t="s">
        <v>43</v>
      </c>
      <c r="D713" s="15" t="s">
        <v>1522</v>
      </c>
      <c r="E713" s="9" t="s">
        <v>1523</v>
      </c>
      <c r="F713" s="9" t="s">
        <v>12</v>
      </c>
      <c r="G713" s="10" t="n">
        <v>2025</v>
      </c>
      <c r="H713" s="10" t="n">
        <v>10</v>
      </c>
      <c r="I713" s="19" t="n">
        <v>29700</v>
      </c>
      <c r="J713" s="19" t="n">
        <v>33000</v>
      </c>
      <c r="K713" s="10" t="n">
        <v>1650</v>
      </c>
      <c r="L713" s="10" t="n">
        <v>2310</v>
      </c>
      <c r="M713" s="10" t="n">
        <v>19</v>
      </c>
      <c r="N713" s="11" t="n">
        <v>10</v>
      </c>
      <c r="O713" s="18" t="s">
        <v>56</v>
      </c>
    </row>
    <row r="714" customFormat="false" ht="15" hidden="false" customHeight="false" outlineLevel="0" collapsed="false">
      <c r="A714" s="18" t="n">
        <v>168840675</v>
      </c>
      <c r="B714" s="10" t="n">
        <v>713</v>
      </c>
      <c r="C714" s="18" t="s">
        <v>43</v>
      </c>
      <c r="D714" s="9" t="s">
        <v>1524</v>
      </c>
      <c r="E714" s="9" t="s">
        <v>1525</v>
      </c>
      <c r="F714" s="9" t="s">
        <v>511</v>
      </c>
      <c r="G714" s="10" t="n">
        <v>2025</v>
      </c>
      <c r="H714" s="10" t="n">
        <v>10</v>
      </c>
      <c r="I714" s="19" t="n">
        <v>17100</v>
      </c>
      <c r="J714" s="19" t="n">
        <v>19000</v>
      </c>
      <c r="K714" s="10" t="n">
        <v>950</v>
      </c>
      <c r="L714" s="10" t="n">
        <v>450</v>
      </c>
      <c r="M714" s="10" t="n">
        <v>31</v>
      </c>
      <c r="N714" s="11" t="n">
        <v>9.9</v>
      </c>
      <c r="O714" s="18" t="s">
        <v>56</v>
      </c>
    </row>
    <row r="715" customFormat="false" ht="15" hidden="false" customHeight="false" outlineLevel="0" collapsed="false">
      <c r="A715" s="18" t="n">
        <v>168648560</v>
      </c>
      <c r="B715" s="10" t="n">
        <v>714</v>
      </c>
      <c r="C715" s="18" t="s">
        <v>43</v>
      </c>
      <c r="D715" s="9" t="s">
        <v>1526</v>
      </c>
      <c r="E715" s="9" t="s">
        <v>895</v>
      </c>
      <c r="F715" s="9" t="s">
        <v>322</v>
      </c>
      <c r="G715" s="10" t="n">
        <v>2025</v>
      </c>
      <c r="H715" s="10" t="n">
        <v>10</v>
      </c>
      <c r="I715" s="19" t="n">
        <v>11700</v>
      </c>
      <c r="J715" s="19" t="n">
        <v>13000</v>
      </c>
      <c r="K715" s="10" t="n">
        <v>0</v>
      </c>
      <c r="L715" s="10" t="n">
        <v>402</v>
      </c>
      <c r="M715" s="10" t="n">
        <v>10</v>
      </c>
      <c r="N715" s="11" t="n">
        <v>10</v>
      </c>
      <c r="O715" s="18" t="s">
        <v>56</v>
      </c>
    </row>
    <row r="716" customFormat="false" ht="15" hidden="false" customHeight="false" outlineLevel="0" collapsed="false">
      <c r="A716" s="18" t="n">
        <v>168635560</v>
      </c>
      <c r="B716" s="10" t="n">
        <v>715</v>
      </c>
      <c r="C716" s="18" t="s">
        <v>43</v>
      </c>
      <c r="D716" s="15" t="s">
        <v>1527</v>
      </c>
      <c r="E716" s="9" t="s">
        <v>1528</v>
      </c>
      <c r="F716" s="9" t="s">
        <v>25</v>
      </c>
      <c r="G716" s="10" t="n">
        <v>2025</v>
      </c>
      <c r="H716" s="10" t="n">
        <v>0</v>
      </c>
      <c r="I716" s="19" t="n">
        <v>12000</v>
      </c>
      <c r="J716" s="19" t="n">
        <v>12000</v>
      </c>
      <c r="K716" s="10" t="n">
        <v>0</v>
      </c>
      <c r="L716" s="10" t="n">
        <v>108</v>
      </c>
      <c r="M716" s="10" t="n">
        <v>0</v>
      </c>
      <c r="N716" s="11" t="n">
        <v>0</v>
      </c>
      <c r="O716" s="18" t="s">
        <v>56</v>
      </c>
    </row>
    <row r="717" customFormat="false" ht="15" hidden="false" customHeight="false" outlineLevel="0" collapsed="false">
      <c r="A717" s="18" t="n">
        <v>168430324</v>
      </c>
      <c r="B717" s="10" t="n">
        <v>716</v>
      </c>
      <c r="C717" s="18" t="s">
        <v>43</v>
      </c>
      <c r="D717" s="9" t="s">
        <v>1529</v>
      </c>
      <c r="E717" s="9" t="s">
        <v>1530</v>
      </c>
      <c r="F717" s="9" t="s">
        <v>23</v>
      </c>
      <c r="G717" s="10" t="n">
        <v>2025</v>
      </c>
      <c r="H717" s="10" t="n">
        <v>10</v>
      </c>
      <c r="I717" s="19" t="n">
        <v>12600</v>
      </c>
      <c r="J717" s="19" t="n">
        <v>14000</v>
      </c>
      <c r="K717" s="10" t="n">
        <v>700</v>
      </c>
      <c r="L717" s="10" t="n">
        <v>222</v>
      </c>
      <c r="M717" s="10" t="n">
        <v>0</v>
      </c>
      <c r="N717" s="11" t="n">
        <v>0</v>
      </c>
      <c r="O717" s="18" t="s">
        <v>56</v>
      </c>
    </row>
    <row r="718" customFormat="false" ht="15" hidden="false" customHeight="false" outlineLevel="0" collapsed="false">
      <c r="A718" s="18" t="n">
        <v>168396615</v>
      </c>
      <c r="B718" s="10" t="n">
        <v>717</v>
      </c>
      <c r="C718" s="18" t="s">
        <v>43</v>
      </c>
      <c r="D718" s="15" t="s">
        <v>1531</v>
      </c>
      <c r="E718" s="9" t="s">
        <v>1532</v>
      </c>
      <c r="F718" s="9" t="s">
        <v>23</v>
      </c>
      <c r="G718" s="10" t="n">
        <v>2025</v>
      </c>
      <c r="H718" s="10" t="n">
        <v>10</v>
      </c>
      <c r="I718" s="19" t="n">
        <v>19800</v>
      </c>
      <c r="J718" s="19" t="n">
        <v>22000</v>
      </c>
      <c r="K718" s="10" t="n">
        <v>1100</v>
      </c>
      <c r="L718" s="10" t="n">
        <v>1164</v>
      </c>
      <c r="M718" s="10" t="n">
        <v>3</v>
      </c>
      <c r="N718" s="11" t="n">
        <v>10</v>
      </c>
      <c r="O718" s="18" t="s">
        <v>56</v>
      </c>
    </row>
    <row r="719" customFormat="false" ht="15" hidden="false" customHeight="false" outlineLevel="0" collapsed="false">
      <c r="A719" s="18" t="n">
        <v>168228070</v>
      </c>
      <c r="B719" s="10" t="n">
        <v>718</v>
      </c>
      <c r="C719" s="18" t="s">
        <v>43</v>
      </c>
      <c r="D719" s="9" t="s">
        <v>1533</v>
      </c>
      <c r="E719" s="9" t="s">
        <v>1534</v>
      </c>
      <c r="F719" s="9" t="s">
        <v>21</v>
      </c>
      <c r="G719" s="10" t="n">
        <v>2026</v>
      </c>
      <c r="H719" s="10" t="n">
        <v>10</v>
      </c>
      <c r="I719" s="19" t="n">
        <v>31500</v>
      </c>
      <c r="J719" s="19" t="n">
        <v>35000</v>
      </c>
      <c r="K719" s="10" t="n">
        <v>1750</v>
      </c>
      <c r="L719" s="10" t="n">
        <v>930</v>
      </c>
      <c r="M719" s="10" t="n">
        <v>0</v>
      </c>
      <c r="N719" s="11" t="n">
        <v>0</v>
      </c>
      <c r="O719" s="18" t="s">
        <v>56</v>
      </c>
    </row>
    <row r="720" customFormat="false" ht="15" hidden="false" customHeight="false" outlineLevel="0" collapsed="false">
      <c r="A720" s="18" t="n">
        <v>167694445</v>
      </c>
      <c r="B720" s="10" t="n">
        <v>719</v>
      </c>
      <c r="C720" s="18" t="s">
        <v>43</v>
      </c>
      <c r="D720" s="9" t="s">
        <v>1535</v>
      </c>
      <c r="E720" s="9" t="s">
        <v>825</v>
      </c>
      <c r="F720" s="9" t="s">
        <v>12</v>
      </c>
      <c r="G720" s="10" t="n">
        <v>2025</v>
      </c>
      <c r="H720" s="10" t="n">
        <v>10</v>
      </c>
      <c r="I720" s="19" t="n">
        <v>22500</v>
      </c>
      <c r="J720" s="19" t="n">
        <v>25000</v>
      </c>
      <c r="K720" s="10" t="n">
        <v>1250</v>
      </c>
      <c r="L720" s="10" t="n">
        <v>1866</v>
      </c>
      <c r="M720" s="10" t="n">
        <v>12</v>
      </c>
      <c r="N720" s="11" t="n">
        <v>10</v>
      </c>
      <c r="O720" s="18" t="s">
        <v>56</v>
      </c>
    </row>
    <row r="721" customFormat="false" ht="15" hidden="false" customHeight="false" outlineLevel="0" collapsed="false">
      <c r="A721" s="18" t="n">
        <v>167649586</v>
      </c>
      <c r="B721" s="10" t="n">
        <v>720</v>
      </c>
      <c r="C721" s="18" t="s">
        <v>43</v>
      </c>
      <c r="D721" s="9" t="s">
        <v>1536</v>
      </c>
      <c r="E721" s="9" t="s">
        <v>1537</v>
      </c>
      <c r="F721" s="9" t="s">
        <v>1538</v>
      </c>
      <c r="G721" s="10" t="n">
        <v>2026</v>
      </c>
      <c r="H721" s="10" t="n">
        <v>0</v>
      </c>
      <c r="I721" s="19" t="n">
        <v>36000</v>
      </c>
      <c r="J721" s="19" t="n">
        <v>36000</v>
      </c>
      <c r="K721" s="10" t="n">
        <v>0</v>
      </c>
      <c r="L721" s="10" t="n">
        <v>426</v>
      </c>
      <c r="M721" s="10" t="n">
        <v>0</v>
      </c>
      <c r="N721" s="11" t="n">
        <v>0</v>
      </c>
      <c r="O721" s="18" t="s">
        <v>56</v>
      </c>
    </row>
    <row r="722" customFormat="false" ht="15" hidden="false" customHeight="false" outlineLevel="0" collapsed="false">
      <c r="A722" s="18" t="n">
        <v>167584729</v>
      </c>
      <c r="B722" s="10" t="n">
        <v>721</v>
      </c>
      <c r="C722" s="18" t="s">
        <v>43</v>
      </c>
      <c r="D722" s="15" t="s">
        <v>1539</v>
      </c>
      <c r="E722" s="9" t="s">
        <v>1540</v>
      </c>
      <c r="F722" s="9" t="s">
        <v>14</v>
      </c>
      <c r="G722" s="10" t="n">
        <v>2025</v>
      </c>
      <c r="H722" s="10" t="n">
        <v>10</v>
      </c>
      <c r="I722" s="19" t="n">
        <v>21600</v>
      </c>
      <c r="J722" s="19" t="n">
        <v>24000</v>
      </c>
      <c r="K722" s="10" t="n">
        <v>1200</v>
      </c>
      <c r="L722" s="10" t="n">
        <v>1782</v>
      </c>
      <c r="M722" s="10" t="n">
        <v>20</v>
      </c>
      <c r="N722" s="11" t="n">
        <v>9.6</v>
      </c>
      <c r="O722" s="18" t="s">
        <v>56</v>
      </c>
    </row>
    <row r="723" customFormat="false" ht="15" hidden="false" customHeight="false" outlineLevel="0" collapsed="false">
      <c r="A723" s="18" t="n">
        <v>167584726</v>
      </c>
      <c r="B723" s="10" t="n">
        <v>722</v>
      </c>
      <c r="C723" s="18" t="s">
        <v>43</v>
      </c>
      <c r="D723" s="15" t="s">
        <v>1541</v>
      </c>
      <c r="E723" s="9" t="s">
        <v>269</v>
      </c>
      <c r="F723" s="9" t="s">
        <v>14</v>
      </c>
      <c r="G723" s="10" t="n">
        <v>2025</v>
      </c>
      <c r="H723" s="10" t="n">
        <v>10</v>
      </c>
      <c r="I723" s="19" t="n">
        <v>21600</v>
      </c>
      <c r="J723" s="19" t="n">
        <v>24000</v>
      </c>
      <c r="K723" s="10" t="n">
        <v>1200</v>
      </c>
      <c r="L723" s="10" t="n">
        <v>2004</v>
      </c>
      <c r="M723" s="10" t="n">
        <v>28</v>
      </c>
      <c r="N723" s="11" t="n">
        <v>9.9</v>
      </c>
      <c r="O723" s="18" t="s">
        <v>56</v>
      </c>
    </row>
    <row r="724" customFormat="false" ht="15" hidden="false" customHeight="false" outlineLevel="0" collapsed="false">
      <c r="A724" s="18" t="n">
        <v>167550771</v>
      </c>
      <c r="B724" s="10" t="n">
        <v>723</v>
      </c>
      <c r="C724" s="18" t="s">
        <v>43</v>
      </c>
      <c r="D724" s="9" t="s">
        <v>1542</v>
      </c>
      <c r="E724" s="9" t="s">
        <v>1543</v>
      </c>
      <c r="F724" s="9" t="s">
        <v>1544</v>
      </c>
      <c r="G724" s="10" t="n">
        <v>2025</v>
      </c>
      <c r="H724" s="10" t="n">
        <v>10</v>
      </c>
      <c r="I724" s="19" t="n">
        <v>16200</v>
      </c>
      <c r="J724" s="19" t="n">
        <v>18000</v>
      </c>
      <c r="K724" s="10" t="n">
        <v>900</v>
      </c>
      <c r="L724" s="10" t="n">
        <v>2382</v>
      </c>
      <c r="M724" s="10" t="n">
        <v>22</v>
      </c>
      <c r="N724" s="11" t="n">
        <v>9.5</v>
      </c>
      <c r="O724" s="18" t="s">
        <v>56</v>
      </c>
    </row>
    <row r="725" customFormat="false" ht="15" hidden="false" customHeight="false" outlineLevel="0" collapsed="false">
      <c r="A725" s="18" t="n">
        <v>167548416</v>
      </c>
      <c r="B725" s="10" t="n">
        <v>724</v>
      </c>
      <c r="C725" s="18" t="s">
        <v>43</v>
      </c>
      <c r="D725" s="15" t="s">
        <v>1545</v>
      </c>
      <c r="E725" s="9" t="s">
        <v>1546</v>
      </c>
      <c r="F725" s="9" t="s">
        <v>544</v>
      </c>
      <c r="G725" s="10" t="n">
        <v>2025</v>
      </c>
      <c r="H725" s="10" t="n">
        <v>10</v>
      </c>
      <c r="I725" s="19" t="n">
        <v>10800</v>
      </c>
      <c r="J725" s="19" t="n">
        <v>12000</v>
      </c>
      <c r="K725" s="10" t="n">
        <v>600</v>
      </c>
      <c r="L725" s="10" t="n">
        <v>702</v>
      </c>
      <c r="M725" s="10" t="n">
        <v>12</v>
      </c>
      <c r="N725" s="11" t="n">
        <v>10</v>
      </c>
      <c r="O725" s="18" t="s">
        <v>56</v>
      </c>
    </row>
    <row r="726" customFormat="false" ht="15" hidden="false" customHeight="false" outlineLevel="0" collapsed="false">
      <c r="A726" s="18" t="n">
        <v>167537897</v>
      </c>
      <c r="B726" s="10" t="n">
        <v>725</v>
      </c>
      <c r="C726" s="18" t="s">
        <v>43</v>
      </c>
      <c r="D726" s="9" t="s">
        <v>1547</v>
      </c>
      <c r="E726" s="9" t="s">
        <v>1548</v>
      </c>
      <c r="F726" s="9" t="s">
        <v>16</v>
      </c>
      <c r="G726" s="10" t="n">
        <v>2025</v>
      </c>
      <c r="H726" s="10" t="n">
        <v>10</v>
      </c>
      <c r="I726" s="19" t="n">
        <v>29700</v>
      </c>
      <c r="J726" s="19" t="n">
        <v>33000</v>
      </c>
      <c r="K726" s="10" t="n">
        <v>1650</v>
      </c>
      <c r="L726" s="10" t="n">
        <v>264</v>
      </c>
      <c r="M726" s="10" t="n">
        <v>0</v>
      </c>
      <c r="N726" s="11" t="n">
        <v>0</v>
      </c>
      <c r="O726" s="18" t="s">
        <v>56</v>
      </c>
    </row>
    <row r="727" customFormat="false" ht="15" hidden="false" customHeight="false" outlineLevel="0" collapsed="false">
      <c r="A727" s="18" t="n">
        <v>167466393</v>
      </c>
      <c r="B727" s="10" t="n">
        <v>726</v>
      </c>
      <c r="C727" s="18" t="s">
        <v>43</v>
      </c>
      <c r="D727" s="9" t="s">
        <v>1549</v>
      </c>
      <c r="E727" s="9" t="s">
        <v>713</v>
      </c>
      <c r="F727" s="9" t="s">
        <v>12</v>
      </c>
      <c r="G727" s="10" t="n">
        <v>2025</v>
      </c>
      <c r="H727" s="10" t="n">
        <v>10</v>
      </c>
      <c r="I727" s="19" t="n">
        <v>27000</v>
      </c>
      <c r="J727" s="19" t="n">
        <v>30000</v>
      </c>
      <c r="K727" s="10" t="n">
        <v>1500</v>
      </c>
      <c r="L727" s="10" t="n">
        <v>738</v>
      </c>
      <c r="M727" s="10" t="n">
        <v>20</v>
      </c>
      <c r="N727" s="11" t="n">
        <v>9.4</v>
      </c>
      <c r="O727" s="18" t="s">
        <v>56</v>
      </c>
    </row>
    <row r="728" customFormat="false" ht="15" hidden="false" customHeight="false" outlineLevel="0" collapsed="false">
      <c r="A728" s="18" t="n">
        <v>167465671</v>
      </c>
      <c r="B728" s="10" t="n">
        <v>727</v>
      </c>
      <c r="C728" s="18" t="s">
        <v>43</v>
      </c>
      <c r="D728" s="15" t="s">
        <v>1550</v>
      </c>
      <c r="E728" s="9" t="s">
        <v>1551</v>
      </c>
      <c r="F728" s="9" t="s">
        <v>1552</v>
      </c>
      <c r="G728" s="10" t="n">
        <v>2025</v>
      </c>
      <c r="H728" s="10" t="n">
        <v>10</v>
      </c>
      <c r="I728" s="19" t="n">
        <v>22320</v>
      </c>
      <c r="J728" s="19" t="n">
        <v>24800</v>
      </c>
      <c r="K728" s="10" t="n">
        <v>1240</v>
      </c>
      <c r="L728" s="10" t="n">
        <v>9108</v>
      </c>
      <c r="M728" s="10" t="n">
        <v>49</v>
      </c>
      <c r="N728" s="11" t="n">
        <v>9.8</v>
      </c>
      <c r="O728" s="18" t="s">
        <v>56</v>
      </c>
    </row>
    <row r="729" customFormat="false" ht="15" hidden="false" customHeight="false" outlineLevel="0" collapsed="false">
      <c r="A729" s="18" t="n">
        <v>167459218</v>
      </c>
      <c r="B729" s="10" t="n">
        <v>728</v>
      </c>
      <c r="C729" s="18" t="s">
        <v>43</v>
      </c>
      <c r="D729" s="9" t="s">
        <v>1553</v>
      </c>
      <c r="E729" s="9" t="s">
        <v>1554</v>
      </c>
      <c r="F729" s="9" t="s">
        <v>23</v>
      </c>
      <c r="G729" s="10" t="n">
        <v>2025</v>
      </c>
      <c r="H729" s="10" t="n">
        <v>10</v>
      </c>
      <c r="I729" s="19" t="n">
        <v>31500</v>
      </c>
      <c r="J729" s="19" t="n">
        <v>35000</v>
      </c>
      <c r="K729" s="10" t="n">
        <v>1750</v>
      </c>
      <c r="L729" s="10" t="n">
        <v>612</v>
      </c>
      <c r="M729" s="10" t="n">
        <v>16</v>
      </c>
      <c r="N729" s="11" t="n">
        <v>9.9</v>
      </c>
      <c r="O729" s="18" t="s">
        <v>56</v>
      </c>
    </row>
    <row r="730" customFormat="false" ht="15" hidden="false" customHeight="false" outlineLevel="0" collapsed="false">
      <c r="A730" s="18" t="n">
        <v>167431026</v>
      </c>
      <c r="B730" s="10" t="n">
        <v>729</v>
      </c>
      <c r="C730" s="18" t="s">
        <v>43</v>
      </c>
      <c r="D730" s="9" t="s">
        <v>1555</v>
      </c>
      <c r="E730" s="9" t="s">
        <v>1556</v>
      </c>
      <c r="F730" s="9" t="s">
        <v>12</v>
      </c>
      <c r="G730" s="10" t="n">
        <v>2025</v>
      </c>
      <c r="H730" s="10" t="n">
        <v>10</v>
      </c>
      <c r="I730" s="19" t="n">
        <v>38700</v>
      </c>
      <c r="J730" s="19" t="n">
        <v>43000</v>
      </c>
      <c r="K730" s="10" t="n">
        <v>2150</v>
      </c>
      <c r="L730" s="10" t="n">
        <v>1833</v>
      </c>
      <c r="M730" s="10" t="n">
        <v>15</v>
      </c>
      <c r="N730" s="11" t="n">
        <v>9.9</v>
      </c>
      <c r="O730" s="18" t="s">
        <v>56</v>
      </c>
    </row>
    <row r="731" customFormat="false" ht="15" hidden="false" customHeight="false" outlineLevel="0" collapsed="false">
      <c r="A731" s="18" t="n">
        <v>166394010</v>
      </c>
      <c r="B731" s="10" t="n">
        <v>730</v>
      </c>
      <c r="C731" s="18" t="s">
        <v>43</v>
      </c>
      <c r="D731" s="15" t="s">
        <v>1557</v>
      </c>
      <c r="E731" s="9" t="s">
        <v>1558</v>
      </c>
      <c r="F731" s="9" t="s">
        <v>422</v>
      </c>
      <c r="G731" s="10" t="n">
        <v>2025</v>
      </c>
      <c r="H731" s="10" t="n">
        <v>10</v>
      </c>
      <c r="I731" s="19" t="n">
        <v>37800</v>
      </c>
      <c r="J731" s="19" t="n">
        <v>42000</v>
      </c>
      <c r="K731" s="10" t="n">
        <v>2100</v>
      </c>
      <c r="L731" s="10" t="n">
        <v>576</v>
      </c>
      <c r="M731" s="10" t="n">
        <v>5</v>
      </c>
      <c r="N731" s="11" t="n">
        <v>6.4</v>
      </c>
      <c r="O731" s="18" t="s">
        <v>56</v>
      </c>
    </row>
    <row r="732" customFormat="false" ht="15" hidden="false" customHeight="false" outlineLevel="0" collapsed="false">
      <c r="A732" s="18" t="n">
        <v>166382462</v>
      </c>
      <c r="B732" s="10" t="n">
        <v>731</v>
      </c>
      <c r="C732" s="18" t="s">
        <v>43</v>
      </c>
      <c r="D732" s="15" t="s">
        <v>1559</v>
      </c>
      <c r="E732" s="9" t="s">
        <v>1560</v>
      </c>
      <c r="F732" s="9" t="s">
        <v>21</v>
      </c>
      <c r="G732" s="10" t="n">
        <v>2025</v>
      </c>
      <c r="H732" s="10" t="n">
        <v>10</v>
      </c>
      <c r="I732" s="19" t="n">
        <v>31500</v>
      </c>
      <c r="J732" s="19" t="n">
        <v>35000</v>
      </c>
      <c r="K732" s="10" t="n">
        <v>1750</v>
      </c>
      <c r="L732" s="10" t="n">
        <v>546</v>
      </c>
      <c r="M732" s="10" t="n">
        <v>0</v>
      </c>
      <c r="N732" s="11" t="n">
        <v>0</v>
      </c>
      <c r="O732" s="18" t="s">
        <v>56</v>
      </c>
    </row>
    <row r="733" customFormat="false" ht="15" hidden="false" customHeight="false" outlineLevel="0" collapsed="false">
      <c r="A733" s="18" t="n">
        <v>166370769</v>
      </c>
      <c r="B733" s="10" t="n">
        <v>732</v>
      </c>
      <c r="C733" s="18" t="s">
        <v>43</v>
      </c>
      <c r="D733" s="9" t="s">
        <v>1561</v>
      </c>
      <c r="E733" s="9" t="s">
        <v>1562</v>
      </c>
      <c r="F733" s="9" t="s">
        <v>1563</v>
      </c>
      <c r="G733" s="10" t="n">
        <v>2025</v>
      </c>
      <c r="H733" s="10" t="n">
        <v>10</v>
      </c>
      <c r="I733" s="19" t="n">
        <v>15750</v>
      </c>
      <c r="J733" s="19" t="n">
        <v>17500</v>
      </c>
      <c r="K733" s="10" t="n">
        <v>870</v>
      </c>
      <c r="L733" s="10" t="n">
        <v>726</v>
      </c>
      <c r="M733" s="10" t="n">
        <v>10</v>
      </c>
      <c r="N733" s="11" t="n">
        <v>10</v>
      </c>
      <c r="O733" s="18" t="s">
        <v>56</v>
      </c>
    </row>
    <row r="734" customFormat="false" ht="15" hidden="false" customHeight="false" outlineLevel="0" collapsed="false">
      <c r="A734" s="18" t="n">
        <v>165600168</v>
      </c>
      <c r="B734" s="10" t="n">
        <v>733</v>
      </c>
      <c r="C734" s="18" t="s">
        <v>43</v>
      </c>
      <c r="D734" s="15" t="s">
        <v>1564</v>
      </c>
      <c r="E734" s="9" t="s">
        <v>1565</v>
      </c>
      <c r="F734" s="9" t="s">
        <v>25</v>
      </c>
      <c r="G734" s="10" t="n">
        <v>2025</v>
      </c>
      <c r="H734" s="10" t="n">
        <v>0</v>
      </c>
      <c r="I734" s="19" t="n">
        <v>12000</v>
      </c>
      <c r="J734" s="19" t="n">
        <v>12000</v>
      </c>
      <c r="K734" s="10" t="n">
        <v>0</v>
      </c>
      <c r="L734" s="10" t="n">
        <v>84</v>
      </c>
      <c r="M734" s="10" t="n">
        <v>0</v>
      </c>
      <c r="N734" s="11" t="n">
        <v>0</v>
      </c>
      <c r="O734" s="18" t="s">
        <v>56</v>
      </c>
    </row>
    <row r="735" customFormat="false" ht="15" hidden="false" customHeight="false" outlineLevel="0" collapsed="false">
      <c r="A735" s="18" t="n">
        <v>165483454</v>
      </c>
      <c r="B735" s="10" t="n">
        <v>734</v>
      </c>
      <c r="C735" s="18" t="s">
        <v>43</v>
      </c>
      <c r="D735" s="9" t="s">
        <v>1566</v>
      </c>
      <c r="E735" s="9" t="s">
        <v>1567</v>
      </c>
      <c r="F735" s="9" t="s">
        <v>16</v>
      </c>
      <c r="G735" s="10" t="n">
        <v>2025</v>
      </c>
      <c r="H735" s="10" t="n">
        <v>10</v>
      </c>
      <c r="I735" s="19" t="n">
        <v>31500</v>
      </c>
      <c r="J735" s="19" t="n">
        <v>35000</v>
      </c>
      <c r="K735" s="10" t="n">
        <v>1750</v>
      </c>
      <c r="L735" s="10" t="n">
        <v>1425</v>
      </c>
      <c r="M735" s="10" t="n">
        <v>1</v>
      </c>
      <c r="N735" s="11" t="n">
        <v>10</v>
      </c>
      <c r="O735" s="18" t="s">
        <v>56</v>
      </c>
    </row>
    <row r="736" customFormat="false" ht="15" hidden="false" customHeight="false" outlineLevel="0" collapsed="false">
      <c r="A736" s="18" t="n">
        <v>165275154</v>
      </c>
      <c r="B736" s="10" t="n">
        <v>735</v>
      </c>
      <c r="C736" s="18" t="s">
        <v>43</v>
      </c>
      <c r="D736" s="9" t="s">
        <v>1568</v>
      </c>
      <c r="E736" s="9" t="s">
        <v>1569</v>
      </c>
      <c r="F736" s="9" t="s">
        <v>511</v>
      </c>
      <c r="G736" s="10" t="n">
        <v>2025</v>
      </c>
      <c r="H736" s="10" t="n">
        <v>10</v>
      </c>
      <c r="I736" s="19" t="n">
        <v>16200</v>
      </c>
      <c r="J736" s="19" t="n">
        <v>18000</v>
      </c>
      <c r="K736" s="10" t="n">
        <v>900</v>
      </c>
      <c r="L736" s="10" t="n">
        <v>2136</v>
      </c>
      <c r="M736" s="10" t="n">
        <v>24</v>
      </c>
      <c r="N736" s="11" t="n">
        <v>10</v>
      </c>
      <c r="O736" s="18" t="s">
        <v>56</v>
      </c>
    </row>
    <row r="737" customFormat="false" ht="15" hidden="false" customHeight="false" outlineLevel="0" collapsed="false">
      <c r="A737" s="18" t="n">
        <v>163582447</v>
      </c>
      <c r="B737" s="10" t="n">
        <v>736</v>
      </c>
      <c r="C737" s="18" t="s">
        <v>43</v>
      </c>
      <c r="D737" s="15" t="s">
        <v>1570</v>
      </c>
      <c r="E737" s="9" t="s">
        <v>1571</v>
      </c>
      <c r="F737" s="9" t="s">
        <v>1572</v>
      </c>
      <c r="G737" s="10" t="n">
        <v>2025</v>
      </c>
      <c r="H737" s="10" t="n">
        <v>10</v>
      </c>
      <c r="I737" s="19" t="n">
        <v>16200</v>
      </c>
      <c r="J737" s="19" t="n">
        <v>18000</v>
      </c>
      <c r="K737" s="10" t="n">
        <v>900</v>
      </c>
      <c r="L737" s="10" t="n">
        <v>126</v>
      </c>
      <c r="M737" s="10" t="n">
        <v>45</v>
      </c>
      <c r="N737" s="11" t="n">
        <v>9.6</v>
      </c>
      <c r="O737" s="18" t="s">
        <v>56</v>
      </c>
    </row>
    <row r="738" customFormat="false" ht="15" hidden="false" customHeight="false" outlineLevel="0" collapsed="false">
      <c r="A738" s="18" t="n">
        <v>163108270</v>
      </c>
      <c r="B738" s="10" t="n">
        <v>737</v>
      </c>
      <c r="C738" s="18" t="s">
        <v>43</v>
      </c>
      <c r="D738" s="9" t="s">
        <v>1573</v>
      </c>
      <c r="E738" s="9" t="s">
        <v>1574</v>
      </c>
      <c r="F738" s="15" t="s">
        <v>680</v>
      </c>
      <c r="G738" s="10" t="n">
        <v>2025</v>
      </c>
      <c r="H738" s="10" t="n">
        <v>5</v>
      </c>
      <c r="I738" s="19" t="n">
        <v>27550</v>
      </c>
      <c r="J738" s="19" t="n">
        <v>29000</v>
      </c>
      <c r="K738" s="10" t="n">
        <v>0</v>
      </c>
      <c r="L738" s="10" t="n">
        <v>240</v>
      </c>
      <c r="M738" s="10" t="n">
        <v>0</v>
      </c>
      <c r="N738" s="11" t="n">
        <v>0</v>
      </c>
      <c r="O738" s="18" t="s">
        <v>56</v>
      </c>
    </row>
    <row r="739" customFormat="false" ht="15" hidden="false" customHeight="false" outlineLevel="0" collapsed="false">
      <c r="A739" s="18" t="n">
        <v>162993187</v>
      </c>
      <c r="B739" s="10" t="n">
        <v>738</v>
      </c>
      <c r="C739" s="18" t="s">
        <v>43</v>
      </c>
      <c r="D739" s="9" t="s">
        <v>1575</v>
      </c>
      <c r="E739" s="9" t="s">
        <v>333</v>
      </c>
      <c r="F739" s="9" t="s">
        <v>514</v>
      </c>
      <c r="G739" s="10" t="n">
        <v>2025</v>
      </c>
      <c r="H739" s="10" t="n">
        <v>0</v>
      </c>
      <c r="I739" s="19" t="n">
        <v>26000</v>
      </c>
      <c r="J739" s="19" t="n">
        <v>26000</v>
      </c>
      <c r="K739" s="10" t="n">
        <v>780</v>
      </c>
      <c r="L739" s="10" t="n">
        <v>2997</v>
      </c>
      <c r="M739" s="10" t="n">
        <v>2</v>
      </c>
      <c r="N739" s="11" t="n">
        <v>9</v>
      </c>
      <c r="O739" s="18" t="s">
        <v>56</v>
      </c>
    </row>
    <row r="740" customFormat="false" ht="15" hidden="false" customHeight="false" outlineLevel="0" collapsed="false">
      <c r="A740" s="18" t="n">
        <v>162329199</v>
      </c>
      <c r="B740" s="10" t="n">
        <v>739</v>
      </c>
      <c r="C740" s="18" t="s">
        <v>43</v>
      </c>
      <c r="D740" s="9" t="s">
        <v>1576</v>
      </c>
      <c r="E740" s="9" t="s">
        <v>1577</v>
      </c>
      <c r="F740" s="9" t="s">
        <v>14</v>
      </c>
      <c r="G740" s="10" t="n">
        <v>2025</v>
      </c>
      <c r="H740" s="10" t="n">
        <v>10</v>
      </c>
      <c r="I740" s="19" t="n">
        <v>37800</v>
      </c>
      <c r="J740" s="19" t="n">
        <v>42000</v>
      </c>
      <c r="K740" s="10" t="n">
        <v>2100</v>
      </c>
      <c r="L740" s="10" t="n">
        <v>822</v>
      </c>
      <c r="M740" s="10" t="n">
        <v>26</v>
      </c>
      <c r="N740" s="11" t="n">
        <v>9.8</v>
      </c>
      <c r="O740" s="18" t="s">
        <v>56</v>
      </c>
    </row>
    <row r="741" customFormat="false" ht="15" hidden="false" customHeight="false" outlineLevel="0" collapsed="false">
      <c r="A741" s="18" t="n">
        <v>162116171</v>
      </c>
      <c r="B741" s="10" t="n">
        <v>740</v>
      </c>
      <c r="C741" s="18" t="s">
        <v>43</v>
      </c>
      <c r="D741" s="9" t="s">
        <v>1578</v>
      </c>
      <c r="E741" s="9" t="s">
        <v>1579</v>
      </c>
      <c r="F741" s="9" t="s">
        <v>14</v>
      </c>
      <c r="G741" s="10" t="n">
        <v>2025</v>
      </c>
      <c r="H741" s="10" t="n">
        <v>10</v>
      </c>
      <c r="I741" s="19" t="n">
        <v>21600</v>
      </c>
      <c r="J741" s="19" t="n">
        <v>24000</v>
      </c>
      <c r="K741" s="10" t="n">
        <v>1200</v>
      </c>
      <c r="L741" s="10" t="n">
        <v>1512</v>
      </c>
      <c r="M741" s="10" t="n">
        <v>19</v>
      </c>
      <c r="N741" s="11" t="n">
        <v>9.9</v>
      </c>
      <c r="O741" s="18" t="s">
        <v>56</v>
      </c>
    </row>
    <row r="742" customFormat="false" ht="15" hidden="false" customHeight="false" outlineLevel="0" collapsed="false">
      <c r="A742" s="18" t="n">
        <v>161420414</v>
      </c>
      <c r="B742" s="10" t="n">
        <v>741</v>
      </c>
      <c r="C742" s="18" t="s">
        <v>43</v>
      </c>
      <c r="D742" s="9" t="s">
        <v>1580</v>
      </c>
      <c r="E742" s="9" t="s">
        <v>1581</v>
      </c>
      <c r="F742" s="9" t="s">
        <v>12</v>
      </c>
      <c r="G742" s="10" t="n">
        <v>2025</v>
      </c>
      <c r="H742" s="10" t="n">
        <v>10</v>
      </c>
      <c r="I742" s="19" t="n">
        <v>28800</v>
      </c>
      <c r="J742" s="19" t="n">
        <v>32000</v>
      </c>
      <c r="K742" s="10" t="n">
        <v>1600</v>
      </c>
      <c r="L742" s="10" t="n">
        <v>1710</v>
      </c>
      <c r="M742" s="10" t="n">
        <v>27</v>
      </c>
      <c r="N742" s="11" t="n">
        <v>10</v>
      </c>
      <c r="O742" s="18" t="s">
        <v>56</v>
      </c>
    </row>
    <row r="743" customFormat="false" ht="15" hidden="false" customHeight="false" outlineLevel="0" collapsed="false">
      <c r="A743" s="18" t="n">
        <v>161395973</v>
      </c>
      <c r="B743" s="10" t="n">
        <v>742</v>
      </c>
      <c r="C743" s="18" t="s">
        <v>43</v>
      </c>
      <c r="D743" s="9" t="s">
        <v>1582</v>
      </c>
      <c r="E743" s="9" t="s">
        <v>1583</v>
      </c>
      <c r="F743" s="9" t="s">
        <v>16</v>
      </c>
      <c r="G743" s="10" t="n">
        <v>2025</v>
      </c>
      <c r="H743" s="10" t="n">
        <v>10</v>
      </c>
      <c r="I743" s="19" t="n">
        <v>24300</v>
      </c>
      <c r="J743" s="19" t="n">
        <v>27000</v>
      </c>
      <c r="K743" s="10" t="n">
        <v>1350</v>
      </c>
      <c r="L743" s="10" t="n">
        <v>876</v>
      </c>
      <c r="M743" s="10" t="n">
        <v>0</v>
      </c>
      <c r="N743" s="11" t="n">
        <v>0</v>
      </c>
      <c r="O743" s="18" t="s">
        <v>56</v>
      </c>
    </row>
    <row r="744" customFormat="false" ht="15" hidden="false" customHeight="false" outlineLevel="0" collapsed="false">
      <c r="A744" s="18" t="n">
        <v>160465401</v>
      </c>
      <c r="B744" s="10" t="n">
        <v>743</v>
      </c>
      <c r="C744" s="18" t="s">
        <v>43</v>
      </c>
      <c r="D744" s="15" t="s">
        <v>1584</v>
      </c>
      <c r="E744" s="9" t="s">
        <v>1585</v>
      </c>
      <c r="F744" s="9" t="s">
        <v>21</v>
      </c>
      <c r="G744" s="10" t="n">
        <v>2025</v>
      </c>
      <c r="H744" s="10" t="n">
        <v>10</v>
      </c>
      <c r="I744" s="19" t="n">
        <v>22500</v>
      </c>
      <c r="J744" s="19" t="n">
        <v>25000</v>
      </c>
      <c r="K744" s="10" t="n">
        <v>1250</v>
      </c>
      <c r="L744" s="10" t="n">
        <v>780</v>
      </c>
      <c r="M744" s="10" t="n">
        <v>0</v>
      </c>
      <c r="N744" s="11" t="n">
        <v>0</v>
      </c>
      <c r="O744" s="18" t="s">
        <v>56</v>
      </c>
    </row>
    <row r="745" customFormat="false" ht="15" hidden="false" customHeight="false" outlineLevel="0" collapsed="false">
      <c r="A745" s="18" t="n">
        <v>160217631</v>
      </c>
      <c r="B745" s="10" t="n">
        <v>744</v>
      </c>
      <c r="C745" s="18" t="s">
        <v>43</v>
      </c>
      <c r="D745" s="9" t="s">
        <v>1586</v>
      </c>
      <c r="E745" s="9" t="s">
        <v>1587</v>
      </c>
      <c r="F745" s="9" t="s">
        <v>1588</v>
      </c>
      <c r="G745" s="10" t="n">
        <v>2025</v>
      </c>
      <c r="H745" s="10" t="n">
        <v>10</v>
      </c>
      <c r="I745" s="19" t="n">
        <v>17820</v>
      </c>
      <c r="J745" s="19" t="n">
        <v>19800</v>
      </c>
      <c r="K745" s="10" t="n">
        <v>990</v>
      </c>
      <c r="L745" s="10" t="n">
        <v>8352</v>
      </c>
      <c r="M745" s="10" t="n">
        <v>270</v>
      </c>
      <c r="N745" s="11" t="n">
        <v>10</v>
      </c>
      <c r="O745" s="18" t="s">
        <v>56</v>
      </c>
    </row>
    <row r="746" customFormat="false" ht="15" hidden="false" customHeight="false" outlineLevel="0" collapsed="false">
      <c r="A746" s="18" t="n">
        <v>160153189</v>
      </c>
      <c r="B746" s="10" t="n">
        <v>745</v>
      </c>
      <c r="C746" s="18" t="s">
        <v>43</v>
      </c>
      <c r="D746" s="9" t="s">
        <v>1589</v>
      </c>
      <c r="E746" s="9" t="s">
        <v>1590</v>
      </c>
      <c r="F746" s="9" t="s">
        <v>17</v>
      </c>
      <c r="G746" s="10" t="n">
        <v>2025</v>
      </c>
      <c r="H746" s="10" t="n">
        <v>10</v>
      </c>
      <c r="I746" s="19" t="n">
        <v>16200</v>
      </c>
      <c r="J746" s="19" t="n">
        <v>18000</v>
      </c>
      <c r="K746" s="10" t="n">
        <v>900</v>
      </c>
      <c r="L746" s="10" t="n">
        <v>864</v>
      </c>
      <c r="M746" s="10" t="n">
        <v>19</v>
      </c>
      <c r="N746" s="11" t="n">
        <v>9.9</v>
      </c>
      <c r="O746" s="18" t="s">
        <v>56</v>
      </c>
    </row>
    <row r="747" customFormat="false" ht="15" hidden="false" customHeight="false" outlineLevel="0" collapsed="false">
      <c r="A747" s="18" t="n">
        <v>159636881</v>
      </c>
      <c r="B747" s="10" t="n">
        <v>746</v>
      </c>
      <c r="C747" s="18" t="s">
        <v>43</v>
      </c>
      <c r="D747" s="15" t="s">
        <v>1591</v>
      </c>
      <c r="E747" s="9" t="s">
        <v>1592</v>
      </c>
      <c r="F747" s="9" t="s">
        <v>25</v>
      </c>
      <c r="G747" s="10" t="n">
        <v>2025</v>
      </c>
      <c r="H747" s="10" t="n">
        <v>0</v>
      </c>
      <c r="I747" s="19" t="n">
        <v>12000</v>
      </c>
      <c r="J747" s="19" t="n">
        <v>12000</v>
      </c>
      <c r="K747" s="10" t="n">
        <v>0</v>
      </c>
      <c r="L747" s="10" t="n">
        <v>198</v>
      </c>
      <c r="M747" s="10" t="n">
        <v>0</v>
      </c>
      <c r="N747" s="11" t="n">
        <v>0</v>
      </c>
      <c r="O747" s="18" t="s">
        <v>56</v>
      </c>
    </row>
    <row r="748" customFormat="false" ht="15" hidden="false" customHeight="false" outlineLevel="0" collapsed="false">
      <c r="A748" s="18" t="n">
        <v>159566794</v>
      </c>
      <c r="B748" s="10" t="n">
        <v>747</v>
      </c>
      <c r="C748" s="18" t="s">
        <v>43</v>
      </c>
      <c r="D748" s="9" t="s">
        <v>1593</v>
      </c>
      <c r="E748" s="9" t="s">
        <v>1594</v>
      </c>
      <c r="F748" s="9" t="s">
        <v>311</v>
      </c>
      <c r="G748" s="10" t="n">
        <v>2025</v>
      </c>
      <c r="H748" s="10" t="n">
        <v>10</v>
      </c>
      <c r="I748" s="19" t="n">
        <v>21600</v>
      </c>
      <c r="J748" s="19" t="n">
        <v>24000</v>
      </c>
      <c r="K748" s="10" t="n">
        <v>1200</v>
      </c>
      <c r="L748" s="10" t="n">
        <v>990</v>
      </c>
      <c r="M748" s="10" t="n">
        <v>1</v>
      </c>
      <c r="N748" s="11" t="n">
        <v>10</v>
      </c>
      <c r="O748" s="18" t="s">
        <v>56</v>
      </c>
    </row>
    <row r="749" customFormat="false" ht="15" hidden="false" customHeight="false" outlineLevel="0" collapsed="false">
      <c r="A749" s="18" t="n">
        <v>159565758</v>
      </c>
      <c r="B749" s="10" t="n">
        <v>748</v>
      </c>
      <c r="C749" s="18" t="s">
        <v>43</v>
      </c>
      <c r="D749" s="9" t="s">
        <v>1595</v>
      </c>
      <c r="E749" s="9" t="s">
        <v>1596</v>
      </c>
      <c r="F749" s="9" t="s">
        <v>422</v>
      </c>
      <c r="G749" s="10" t="n">
        <v>2025</v>
      </c>
      <c r="H749" s="10" t="n">
        <v>10</v>
      </c>
      <c r="I749" s="19" t="n">
        <v>18000</v>
      </c>
      <c r="J749" s="19" t="n">
        <v>20000</v>
      </c>
      <c r="K749" s="10" t="n">
        <v>1000</v>
      </c>
      <c r="L749" s="10" t="n">
        <v>564</v>
      </c>
      <c r="M749" s="10" t="n">
        <v>0</v>
      </c>
      <c r="N749" s="11" t="n">
        <v>0</v>
      </c>
      <c r="O749" s="18" t="s">
        <v>56</v>
      </c>
    </row>
    <row r="750" customFormat="false" ht="15" hidden="false" customHeight="false" outlineLevel="0" collapsed="false">
      <c r="A750" s="18" t="n">
        <v>159499737</v>
      </c>
      <c r="B750" s="10" t="n">
        <v>749</v>
      </c>
      <c r="C750" s="18" t="s">
        <v>43</v>
      </c>
      <c r="D750" s="15" t="s">
        <v>1597</v>
      </c>
      <c r="E750" s="9" t="s">
        <v>1598</v>
      </c>
      <c r="F750" s="9" t="s">
        <v>25</v>
      </c>
      <c r="G750" s="10" t="n">
        <v>2025</v>
      </c>
      <c r="H750" s="10" t="n">
        <v>0</v>
      </c>
      <c r="I750" s="19" t="n">
        <v>12000</v>
      </c>
      <c r="J750" s="19" t="n">
        <v>12000</v>
      </c>
      <c r="K750" s="10" t="n">
        <v>0</v>
      </c>
      <c r="L750" s="10" t="n">
        <v>120</v>
      </c>
      <c r="M750" s="10" t="n">
        <v>0</v>
      </c>
      <c r="N750" s="11" t="n">
        <v>0</v>
      </c>
      <c r="O750" s="18" t="s">
        <v>56</v>
      </c>
    </row>
    <row r="751" customFormat="false" ht="15" hidden="false" customHeight="false" outlineLevel="0" collapsed="false">
      <c r="A751" s="18" t="n">
        <v>158925915</v>
      </c>
      <c r="B751" s="10" t="n">
        <v>750</v>
      </c>
      <c r="C751" s="18" t="s">
        <v>43</v>
      </c>
      <c r="D751" s="15" t="s">
        <v>1599</v>
      </c>
      <c r="E751" s="9" t="s">
        <v>1600</v>
      </c>
      <c r="F751" s="9" t="s">
        <v>25</v>
      </c>
      <c r="G751" s="10" t="n">
        <v>2025</v>
      </c>
      <c r="H751" s="10" t="n">
        <v>0</v>
      </c>
      <c r="I751" s="19" t="n">
        <v>12000</v>
      </c>
      <c r="J751" s="19" t="n">
        <v>12000</v>
      </c>
      <c r="K751" s="10" t="n">
        <v>0</v>
      </c>
      <c r="L751" s="10" t="n">
        <v>210</v>
      </c>
      <c r="M751" s="10" t="n">
        <v>0</v>
      </c>
      <c r="N751" s="11" t="n">
        <v>0</v>
      </c>
      <c r="O751" s="18" t="s">
        <v>56</v>
      </c>
    </row>
    <row r="752" customFormat="false" ht="15" hidden="false" customHeight="false" outlineLevel="0" collapsed="false">
      <c r="A752" s="18" t="n">
        <v>158678739</v>
      </c>
      <c r="B752" s="10" t="n">
        <v>751</v>
      </c>
      <c r="C752" s="18" t="s">
        <v>43</v>
      </c>
      <c r="D752" s="9" t="s">
        <v>1601</v>
      </c>
      <c r="E752" s="9" t="s">
        <v>1602</v>
      </c>
      <c r="F752" s="9" t="s">
        <v>12</v>
      </c>
      <c r="G752" s="10" t="n">
        <v>2025</v>
      </c>
      <c r="H752" s="10" t="n">
        <v>10</v>
      </c>
      <c r="I752" s="19" t="n">
        <v>29700</v>
      </c>
      <c r="J752" s="19" t="n">
        <v>33000</v>
      </c>
      <c r="K752" s="10" t="n">
        <v>1650</v>
      </c>
      <c r="L752" s="10" t="n">
        <v>1002</v>
      </c>
      <c r="M752" s="10" t="n">
        <v>7</v>
      </c>
      <c r="N752" s="11" t="n">
        <v>10</v>
      </c>
      <c r="O752" s="18" t="s">
        <v>56</v>
      </c>
    </row>
    <row r="753" customFormat="false" ht="15" hidden="false" customHeight="false" outlineLevel="0" collapsed="false">
      <c r="A753" s="18" t="n">
        <v>157808384</v>
      </c>
      <c r="B753" s="10" t="n">
        <v>752</v>
      </c>
      <c r="C753" s="18" t="s">
        <v>43</v>
      </c>
      <c r="D753" s="9" t="s">
        <v>1603</v>
      </c>
      <c r="E753" s="9" t="s">
        <v>1604</v>
      </c>
      <c r="F753" s="9" t="s">
        <v>1605</v>
      </c>
      <c r="G753" s="10" t="n">
        <v>2025</v>
      </c>
      <c r="H753" s="10" t="n">
        <v>0</v>
      </c>
      <c r="I753" s="19" t="n">
        <v>39000</v>
      </c>
      <c r="J753" s="19" t="n">
        <v>39000</v>
      </c>
      <c r="K753" s="10" t="n">
        <v>0</v>
      </c>
      <c r="L753" s="10" t="n">
        <v>204</v>
      </c>
      <c r="M753" s="10" t="n">
        <v>0</v>
      </c>
      <c r="N753" s="11" t="n">
        <v>0</v>
      </c>
      <c r="O753" s="18" t="s">
        <v>56</v>
      </c>
    </row>
    <row r="754" customFormat="false" ht="15" hidden="false" customHeight="false" outlineLevel="0" collapsed="false">
      <c r="A754" s="18" t="n">
        <v>157774663</v>
      </c>
      <c r="B754" s="10" t="n">
        <v>753</v>
      </c>
      <c r="C754" s="18" t="s">
        <v>43</v>
      </c>
      <c r="D754" s="9" t="s">
        <v>1606</v>
      </c>
      <c r="E754" s="9" t="s">
        <v>1607</v>
      </c>
      <c r="F754" s="9" t="s">
        <v>544</v>
      </c>
      <c r="G754" s="10" t="n">
        <v>2025</v>
      </c>
      <c r="H754" s="10" t="n">
        <v>10</v>
      </c>
      <c r="I754" s="19" t="n">
        <v>25200</v>
      </c>
      <c r="J754" s="19" t="n">
        <v>28000</v>
      </c>
      <c r="K754" s="10" t="n">
        <v>1400</v>
      </c>
      <c r="L754" s="10" t="n">
        <v>975</v>
      </c>
      <c r="M754" s="10" t="n">
        <v>13</v>
      </c>
      <c r="N754" s="11" t="n">
        <v>9.8</v>
      </c>
      <c r="O754" s="18" t="s">
        <v>56</v>
      </c>
    </row>
    <row r="755" customFormat="false" ht="15" hidden="false" customHeight="false" outlineLevel="0" collapsed="false">
      <c r="A755" s="18" t="n">
        <v>155310155</v>
      </c>
      <c r="B755" s="10" t="n">
        <v>754</v>
      </c>
      <c r="C755" s="18" t="s">
        <v>43</v>
      </c>
      <c r="D755" s="9" t="s">
        <v>1608</v>
      </c>
      <c r="E755" s="9" t="s">
        <v>793</v>
      </c>
      <c r="F755" s="9" t="s">
        <v>732</v>
      </c>
      <c r="G755" s="10" t="n">
        <v>2025</v>
      </c>
      <c r="H755" s="10" t="n">
        <v>0</v>
      </c>
      <c r="I755" s="19" t="n">
        <v>67000</v>
      </c>
      <c r="J755" s="19" t="n">
        <v>67000</v>
      </c>
      <c r="K755" s="10" t="n">
        <v>0</v>
      </c>
      <c r="L755" s="10" t="n">
        <v>96</v>
      </c>
      <c r="M755" s="10" t="n">
        <v>0</v>
      </c>
      <c r="N755" s="11" t="n">
        <v>0</v>
      </c>
      <c r="O755" s="18" t="s">
        <v>56</v>
      </c>
    </row>
    <row r="756" customFormat="false" ht="15" hidden="false" customHeight="false" outlineLevel="0" collapsed="false">
      <c r="A756" s="18" t="n">
        <v>154935866</v>
      </c>
      <c r="B756" s="10" t="n">
        <v>755</v>
      </c>
      <c r="C756" s="18" t="s">
        <v>43</v>
      </c>
      <c r="D756" s="15" t="s">
        <v>1609</v>
      </c>
      <c r="E756" s="9" t="s">
        <v>1610</v>
      </c>
      <c r="F756" s="9" t="s">
        <v>25</v>
      </c>
      <c r="G756" s="10" t="n">
        <v>2025</v>
      </c>
      <c r="H756" s="10" t="n">
        <v>0</v>
      </c>
      <c r="I756" s="19" t="n">
        <v>12000</v>
      </c>
      <c r="J756" s="19" t="n">
        <v>12000</v>
      </c>
      <c r="K756" s="10" t="n">
        <v>0</v>
      </c>
      <c r="L756" s="10" t="n">
        <v>108</v>
      </c>
      <c r="M756" s="10" t="n">
        <v>0</v>
      </c>
      <c r="N756" s="11" t="n">
        <v>0</v>
      </c>
      <c r="O756" s="18" t="s">
        <v>56</v>
      </c>
    </row>
    <row r="757" customFormat="false" ht="15" hidden="false" customHeight="false" outlineLevel="0" collapsed="false">
      <c r="A757" s="18" t="n">
        <v>154918142</v>
      </c>
      <c r="B757" s="10" t="n">
        <v>756</v>
      </c>
      <c r="C757" s="18" t="s">
        <v>43</v>
      </c>
      <c r="D757" s="15" t="s">
        <v>1611</v>
      </c>
      <c r="E757" s="9" t="s">
        <v>1612</v>
      </c>
      <c r="F757" s="9" t="s">
        <v>12</v>
      </c>
      <c r="G757" s="10" t="n">
        <v>2025</v>
      </c>
      <c r="H757" s="10" t="n">
        <v>10</v>
      </c>
      <c r="I757" s="19" t="n">
        <v>19800</v>
      </c>
      <c r="J757" s="19" t="n">
        <v>22000</v>
      </c>
      <c r="K757" s="10" t="n">
        <v>1100</v>
      </c>
      <c r="L757" s="10" t="n">
        <v>1782</v>
      </c>
      <c r="M757" s="10" t="n">
        <v>8</v>
      </c>
      <c r="N757" s="11" t="n">
        <v>9.8</v>
      </c>
      <c r="O757" s="18" t="s">
        <v>56</v>
      </c>
    </row>
    <row r="758" customFormat="false" ht="15" hidden="false" customHeight="false" outlineLevel="0" collapsed="false">
      <c r="A758" s="18" t="n">
        <v>154744705</v>
      </c>
      <c r="B758" s="10" t="n">
        <v>757</v>
      </c>
      <c r="C758" s="18" t="s">
        <v>43</v>
      </c>
      <c r="D758" s="9" t="s">
        <v>1613</v>
      </c>
      <c r="E758" s="9" t="s">
        <v>1614</v>
      </c>
      <c r="F758" s="9" t="s">
        <v>1615</v>
      </c>
      <c r="G758" s="10" t="n">
        <v>2025</v>
      </c>
      <c r="H758" s="10" t="n">
        <v>10</v>
      </c>
      <c r="I758" s="19" t="n">
        <v>30600</v>
      </c>
      <c r="J758" s="19" t="n">
        <v>34000</v>
      </c>
      <c r="K758" s="10" t="n">
        <v>1700</v>
      </c>
      <c r="L758" s="10" t="n">
        <v>744</v>
      </c>
      <c r="M758" s="10" t="n">
        <v>23</v>
      </c>
      <c r="N758" s="11" t="n">
        <v>9.9</v>
      </c>
      <c r="O758" s="18" t="s">
        <v>56</v>
      </c>
    </row>
    <row r="759" customFormat="false" ht="15" hidden="false" customHeight="false" outlineLevel="0" collapsed="false">
      <c r="A759" s="18" t="n">
        <v>154647261</v>
      </c>
      <c r="B759" s="10" t="n">
        <v>758</v>
      </c>
      <c r="C759" s="18" t="s">
        <v>43</v>
      </c>
      <c r="D759" s="9" t="s">
        <v>1616</v>
      </c>
      <c r="E759" s="9" t="s">
        <v>1617</v>
      </c>
      <c r="F759" s="9" t="s">
        <v>14</v>
      </c>
      <c r="G759" s="10" t="n">
        <v>2025</v>
      </c>
      <c r="H759" s="10" t="n">
        <v>5</v>
      </c>
      <c r="I759" s="19" t="n">
        <v>22800</v>
      </c>
      <c r="J759" s="19" t="n">
        <v>24000</v>
      </c>
      <c r="K759" s="10" t="n">
        <v>1200</v>
      </c>
      <c r="L759" s="10" t="n">
        <v>516</v>
      </c>
      <c r="M759" s="10" t="n">
        <v>11</v>
      </c>
      <c r="N759" s="11" t="n">
        <v>10</v>
      </c>
      <c r="O759" s="18" t="s">
        <v>56</v>
      </c>
    </row>
    <row r="760" customFormat="false" ht="15" hidden="false" customHeight="false" outlineLevel="0" collapsed="false">
      <c r="A760" s="18" t="n">
        <v>154639992</v>
      </c>
      <c r="B760" s="10" t="n">
        <v>759</v>
      </c>
      <c r="C760" s="18" t="s">
        <v>43</v>
      </c>
      <c r="D760" s="9" t="s">
        <v>1618</v>
      </c>
      <c r="E760" s="9" t="s">
        <v>1619</v>
      </c>
      <c r="F760" s="9" t="s">
        <v>615</v>
      </c>
      <c r="G760" s="10" t="n">
        <v>2025</v>
      </c>
      <c r="H760" s="10" t="n">
        <v>10</v>
      </c>
      <c r="I760" s="19" t="n">
        <v>18000</v>
      </c>
      <c r="J760" s="19" t="n">
        <v>20000</v>
      </c>
      <c r="K760" s="10" t="n">
        <v>1000</v>
      </c>
      <c r="L760" s="10" t="n">
        <v>639</v>
      </c>
      <c r="M760" s="10" t="n">
        <v>0</v>
      </c>
      <c r="N760" s="11" t="n">
        <v>0</v>
      </c>
      <c r="O760" s="18" t="s">
        <v>56</v>
      </c>
    </row>
    <row r="761" customFormat="false" ht="15" hidden="false" customHeight="false" outlineLevel="0" collapsed="false">
      <c r="A761" s="18" t="n">
        <v>154367308</v>
      </c>
      <c r="B761" s="10" t="n">
        <v>760</v>
      </c>
      <c r="C761" s="18" t="s">
        <v>43</v>
      </c>
      <c r="D761" s="15" t="s">
        <v>1620</v>
      </c>
      <c r="E761" s="9" t="s">
        <v>1621</v>
      </c>
      <c r="F761" s="9" t="s">
        <v>25</v>
      </c>
      <c r="G761" s="10" t="n">
        <v>2025</v>
      </c>
      <c r="H761" s="10" t="n">
        <v>0</v>
      </c>
      <c r="I761" s="19" t="n">
        <v>12000</v>
      </c>
      <c r="J761" s="19" t="n">
        <v>12000</v>
      </c>
      <c r="K761" s="10" t="n">
        <v>0</v>
      </c>
      <c r="L761" s="10" t="n">
        <v>60</v>
      </c>
      <c r="M761" s="10" t="n">
        <v>0</v>
      </c>
      <c r="N761" s="11" t="n">
        <v>0</v>
      </c>
      <c r="O761" s="18" t="s">
        <v>56</v>
      </c>
    </row>
    <row r="762" customFormat="false" ht="15" hidden="false" customHeight="false" outlineLevel="0" collapsed="false">
      <c r="A762" s="18" t="n">
        <v>154286556</v>
      </c>
      <c r="B762" s="10" t="n">
        <v>761</v>
      </c>
      <c r="C762" s="18" t="s">
        <v>43</v>
      </c>
      <c r="D762" s="15" t="s">
        <v>1622</v>
      </c>
      <c r="E762" s="9" t="s">
        <v>1041</v>
      </c>
      <c r="F762" s="9" t="s">
        <v>17</v>
      </c>
      <c r="G762" s="10" t="n">
        <v>2025</v>
      </c>
      <c r="H762" s="10" t="n">
        <v>10</v>
      </c>
      <c r="I762" s="19" t="n">
        <v>20700</v>
      </c>
      <c r="J762" s="19" t="n">
        <v>23000</v>
      </c>
      <c r="K762" s="10" t="n">
        <v>1150</v>
      </c>
      <c r="L762" s="10" t="n">
        <v>4440</v>
      </c>
      <c r="M762" s="10" t="n">
        <v>20</v>
      </c>
      <c r="N762" s="11" t="n">
        <v>9.9</v>
      </c>
      <c r="O762" s="18" t="s">
        <v>56</v>
      </c>
    </row>
    <row r="763" customFormat="false" ht="15" hidden="false" customHeight="false" outlineLevel="0" collapsed="false">
      <c r="A763" s="18" t="n">
        <v>154152862</v>
      </c>
      <c r="B763" s="10" t="n">
        <v>762</v>
      </c>
      <c r="C763" s="18" t="s">
        <v>43</v>
      </c>
      <c r="D763" s="15" t="s">
        <v>1623</v>
      </c>
      <c r="E763" s="9" t="s">
        <v>1624</v>
      </c>
      <c r="F763" s="9" t="s">
        <v>19</v>
      </c>
      <c r="G763" s="10" t="n">
        <v>2025</v>
      </c>
      <c r="H763" s="10" t="n">
        <v>10</v>
      </c>
      <c r="I763" s="19" t="n">
        <v>36000</v>
      </c>
      <c r="J763" s="19" t="n">
        <v>40000</v>
      </c>
      <c r="K763" s="10" t="n">
        <v>2000</v>
      </c>
      <c r="L763" s="10" t="n">
        <v>1182</v>
      </c>
      <c r="M763" s="10" t="n">
        <v>0</v>
      </c>
      <c r="N763" s="11" t="n">
        <v>0</v>
      </c>
      <c r="O763" s="18" t="s">
        <v>56</v>
      </c>
    </row>
    <row r="764" customFormat="false" ht="15" hidden="false" customHeight="false" outlineLevel="0" collapsed="false">
      <c r="A764" s="18" t="n">
        <v>154150551</v>
      </c>
      <c r="B764" s="10" t="n">
        <v>763</v>
      </c>
      <c r="C764" s="18" t="s">
        <v>43</v>
      </c>
      <c r="D764" s="9" t="s">
        <v>1625</v>
      </c>
      <c r="E764" s="9" t="s">
        <v>1626</v>
      </c>
      <c r="F764" s="9" t="s">
        <v>12</v>
      </c>
      <c r="G764" s="10" t="n">
        <v>2025</v>
      </c>
      <c r="H764" s="10" t="n">
        <v>10</v>
      </c>
      <c r="I764" s="19" t="n">
        <v>32400</v>
      </c>
      <c r="J764" s="19" t="n">
        <v>36000</v>
      </c>
      <c r="K764" s="10" t="n">
        <v>1800</v>
      </c>
      <c r="L764" s="10" t="n">
        <v>594</v>
      </c>
      <c r="M764" s="10" t="n">
        <v>9</v>
      </c>
      <c r="N764" s="11" t="n">
        <v>10</v>
      </c>
      <c r="O764" s="18" t="s">
        <v>56</v>
      </c>
    </row>
    <row r="765" customFormat="false" ht="15" hidden="false" customHeight="false" outlineLevel="0" collapsed="false">
      <c r="A765" s="18" t="n">
        <v>153848263</v>
      </c>
      <c r="B765" s="10" t="n">
        <v>764</v>
      </c>
      <c r="C765" s="18" t="s">
        <v>43</v>
      </c>
      <c r="D765" s="9" t="s">
        <v>1627</v>
      </c>
      <c r="E765" s="9" t="s">
        <v>1628</v>
      </c>
      <c r="F765" s="9" t="s">
        <v>23</v>
      </c>
      <c r="G765" s="10" t="n">
        <v>2025</v>
      </c>
      <c r="H765" s="10" t="n">
        <v>10</v>
      </c>
      <c r="I765" s="19" t="n">
        <v>18000</v>
      </c>
      <c r="J765" s="19" t="n">
        <v>20000</v>
      </c>
      <c r="K765" s="10" t="n">
        <v>1000</v>
      </c>
      <c r="L765" s="10" t="n">
        <v>1128</v>
      </c>
      <c r="M765" s="10" t="n">
        <v>14</v>
      </c>
      <c r="N765" s="11" t="n">
        <v>9.9</v>
      </c>
      <c r="O765" s="18" t="s">
        <v>56</v>
      </c>
    </row>
    <row r="766" customFormat="false" ht="15" hidden="false" customHeight="false" outlineLevel="0" collapsed="false">
      <c r="A766" s="18" t="n">
        <v>153842214</v>
      </c>
      <c r="B766" s="10" t="n">
        <v>765</v>
      </c>
      <c r="C766" s="18" t="s">
        <v>43</v>
      </c>
      <c r="D766" s="9" t="s">
        <v>1629</v>
      </c>
      <c r="E766" s="9" t="s">
        <v>1630</v>
      </c>
      <c r="F766" s="15" t="s">
        <v>1631</v>
      </c>
      <c r="G766" s="10" t="n">
        <v>2025</v>
      </c>
      <c r="H766" s="10" t="n">
        <v>10</v>
      </c>
      <c r="I766" s="19" t="n">
        <v>12600</v>
      </c>
      <c r="J766" s="19" t="n">
        <v>14000</v>
      </c>
      <c r="K766" s="10" t="n">
        <v>700</v>
      </c>
      <c r="L766" s="10" t="n">
        <v>162</v>
      </c>
      <c r="M766" s="10" t="n">
        <v>0</v>
      </c>
      <c r="N766" s="11" t="n">
        <v>0</v>
      </c>
      <c r="O766" s="18" t="s">
        <v>56</v>
      </c>
    </row>
    <row r="767" customFormat="false" ht="15" hidden="false" customHeight="false" outlineLevel="0" collapsed="false">
      <c r="A767" s="18" t="n">
        <v>153827070</v>
      </c>
      <c r="B767" s="10" t="n">
        <v>766</v>
      </c>
      <c r="C767" s="18" t="s">
        <v>43</v>
      </c>
      <c r="D767" s="9" t="s">
        <v>1632</v>
      </c>
      <c r="E767" s="9" t="s">
        <v>1633</v>
      </c>
      <c r="F767" s="9" t="s">
        <v>14</v>
      </c>
      <c r="G767" s="10" t="n">
        <v>2025</v>
      </c>
      <c r="H767" s="10" t="n">
        <v>10</v>
      </c>
      <c r="I767" s="19" t="n">
        <v>25200</v>
      </c>
      <c r="J767" s="19" t="n">
        <v>28000</v>
      </c>
      <c r="K767" s="10" t="n">
        <v>1400</v>
      </c>
      <c r="L767" s="10" t="n">
        <v>993</v>
      </c>
      <c r="M767" s="10" t="n">
        <v>14</v>
      </c>
      <c r="N767" s="11" t="n">
        <v>9.1</v>
      </c>
      <c r="O767" s="18" t="s">
        <v>56</v>
      </c>
    </row>
    <row r="768" customFormat="false" ht="15" hidden="false" customHeight="false" outlineLevel="0" collapsed="false">
      <c r="A768" s="18" t="n">
        <v>153613588</v>
      </c>
      <c r="B768" s="10" t="n">
        <v>767</v>
      </c>
      <c r="C768" s="18" t="s">
        <v>43</v>
      </c>
      <c r="D768" s="9" t="s">
        <v>1634</v>
      </c>
      <c r="E768" s="9" t="s">
        <v>1635</v>
      </c>
      <c r="F768" s="9" t="s">
        <v>12</v>
      </c>
      <c r="G768" s="10" t="n">
        <v>2025</v>
      </c>
      <c r="H768" s="10" t="n">
        <v>10</v>
      </c>
      <c r="I768" s="19" t="n">
        <v>33300</v>
      </c>
      <c r="J768" s="19" t="n">
        <v>37000</v>
      </c>
      <c r="K768" s="10" t="n">
        <v>1850</v>
      </c>
      <c r="L768" s="10" t="n">
        <v>1518</v>
      </c>
      <c r="M768" s="10" t="n">
        <v>26</v>
      </c>
      <c r="N768" s="11" t="n">
        <v>9.2</v>
      </c>
      <c r="O768" s="18" t="s">
        <v>56</v>
      </c>
    </row>
    <row r="769" customFormat="false" ht="15" hidden="false" customHeight="false" outlineLevel="0" collapsed="false">
      <c r="A769" s="18" t="n">
        <v>153156828</v>
      </c>
      <c r="B769" s="10" t="n">
        <v>768</v>
      </c>
      <c r="C769" s="18" t="s">
        <v>43</v>
      </c>
      <c r="D769" s="9" t="s">
        <v>1636</v>
      </c>
      <c r="E769" s="9" t="s">
        <v>1637</v>
      </c>
      <c r="F769" s="9" t="s">
        <v>16</v>
      </c>
      <c r="G769" s="10" t="n">
        <v>2025</v>
      </c>
      <c r="H769" s="10" t="n">
        <v>10</v>
      </c>
      <c r="I769" s="19" t="n">
        <v>18000</v>
      </c>
      <c r="J769" s="19" t="n">
        <v>20000</v>
      </c>
      <c r="K769" s="10" t="n">
        <v>1000</v>
      </c>
      <c r="L769" s="10" t="n">
        <v>1368</v>
      </c>
      <c r="M769" s="10" t="n">
        <v>12</v>
      </c>
      <c r="N769" s="11" t="n">
        <v>9.3</v>
      </c>
      <c r="O769" s="18" t="s">
        <v>56</v>
      </c>
    </row>
    <row r="770" customFormat="false" ht="15" hidden="false" customHeight="false" outlineLevel="0" collapsed="false">
      <c r="A770" s="18" t="n">
        <v>153085270</v>
      </c>
      <c r="B770" s="10" t="n">
        <v>769</v>
      </c>
      <c r="C770" s="18" t="s">
        <v>43</v>
      </c>
      <c r="D770" s="15" t="s">
        <v>1638</v>
      </c>
      <c r="E770" s="9" t="s">
        <v>1639</v>
      </c>
      <c r="F770" s="9" t="s">
        <v>1640</v>
      </c>
      <c r="G770" s="10" t="n">
        <v>2025</v>
      </c>
      <c r="H770" s="10" t="n">
        <v>10</v>
      </c>
      <c r="I770" s="19" t="n">
        <v>16200</v>
      </c>
      <c r="J770" s="19" t="n">
        <v>18000</v>
      </c>
      <c r="K770" s="10" t="n">
        <v>0</v>
      </c>
      <c r="L770" s="10" t="n">
        <v>786</v>
      </c>
      <c r="M770" s="10" t="n">
        <v>0</v>
      </c>
      <c r="N770" s="11" t="n">
        <v>0</v>
      </c>
      <c r="O770" s="18" t="s">
        <v>56</v>
      </c>
    </row>
    <row r="771" customFormat="false" ht="15" hidden="false" customHeight="false" outlineLevel="0" collapsed="false">
      <c r="A771" s="18" t="n">
        <v>153063596</v>
      </c>
      <c r="B771" s="10" t="n">
        <v>770</v>
      </c>
      <c r="C771" s="18" t="s">
        <v>43</v>
      </c>
      <c r="D771" s="9" t="s">
        <v>1641</v>
      </c>
      <c r="E771" s="9" t="s">
        <v>1642</v>
      </c>
      <c r="F771" s="9" t="s">
        <v>16</v>
      </c>
      <c r="G771" s="10" t="n">
        <v>2025</v>
      </c>
      <c r="H771" s="10" t="n">
        <v>10</v>
      </c>
      <c r="I771" s="19" t="n">
        <v>25200</v>
      </c>
      <c r="J771" s="19" t="n">
        <v>28000</v>
      </c>
      <c r="K771" s="10" t="n">
        <v>1400</v>
      </c>
      <c r="L771" s="10" t="n">
        <v>624</v>
      </c>
      <c r="M771" s="10" t="n">
        <v>4</v>
      </c>
      <c r="N771" s="11" t="n">
        <v>10</v>
      </c>
      <c r="O771" s="18" t="s">
        <v>56</v>
      </c>
    </row>
    <row r="772" customFormat="false" ht="15" hidden="false" customHeight="false" outlineLevel="0" collapsed="false">
      <c r="A772" s="18" t="n">
        <v>153061112</v>
      </c>
      <c r="B772" s="10" t="n">
        <v>771</v>
      </c>
      <c r="C772" s="18" t="s">
        <v>43</v>
      </c>
      <c r="D772" s="9" t="s">
        <v>1643</v>
      </c>
      <c r="E772" s="9" t="s">
        <v>471</v>
      </c>
      <c r="F772" s="9" t="s">
        <v>64</v>
      </c>
      <c r="G772" s="10" t="n">
        <v>2025</v>
      </c>
      <c r="H772" s="10" t="n">
        <v>10</v>
      </c>
      <c r="I772" s="19" t="n">
        <v>18900</v>
      </c>
      <c r="J772" s="19" t="n">
        <v>21000</v>
      </c>
      <c r="K772" s="10" t="n">
        <v>1050</v>
      </c>
      <c r="L772" s="10" t="n">
        <v>2991</v>
      </c>
      <c r="M772" s="10" t="n">
        <v>11</v>
      </c>
      <c r="N772" s="11" t="n">
        <v>10</v>
      </c>
      <c r="O772" s="18" t="s">
        <v>56</v>
      </c>
    </row>
    <row r="773" customFormat="false" ht="15" hidden="false" customHeight="false" outlineLevel="0" collapsed="false">
      <c r="A773" s="18" t="n">
        <v>153044896</v>
      </c>
      <c r="B773" s="10" t="n">
        <v>772</v>
      </c>
      <c r="C773" s="18" t="s">
        <v>43</v>
      </c>
      <c r="D773" s="9" t="s">
        <v>1644</v>
      </c>
      <c r="E773" s="9" t="s">
        <v>1645</v>
      </c>
      <c r="F773" s="9" t="s">
        <v>100</v>
      </c>
      <c r="G773" s="10" t="n">
        <v>2025</v>
      </c>
      <c r="H773" s="10" t="n">
        <v>10</v>
      </c>
      <c r="I773" s="19" t="n">
        <v>22500</v>
      </c>
      <c r="J773" s="19" t="n">
        <v>25000</v>
      </c>
      <c r="K773" s="10" t="n">
        <v>1250</v>
      </c>
      <c r="L773" s="10" t="n">
        <v>270</v>
      </c>
      <c r="M773" s="10" t="n">
        <v>0</v>
      </c>
      <c r="N773" s="11" t="n">
        <v>0</v>
      </c>
      <c r="O773" s="18" t="s">
        <v>56</v>
      </c>
    </row>
    <row r="774" customFormat="false" ht="15" hidden="false" customHeight="false" outlineLevel="0" collapsed="false">
      <c r="A774" s="18" t="n">
        <v>152814420</v>
      </c>
      <c r="B774" s="10" t="n">
        <v>773</v>
      </c>
      <c r="C774" s="18" t="s">
        <v>43</v>
      </c>
      <c r="D774" s="9" t="s">
        <v>1646</v>
      </c>
      <c r="E774" s="9" t="s">
        <v>92</v>
      </c>
      <c r="F774" s="9" t="s">
        <v>93</v>
      </c>
      <c r="G774" s="10" t="n">
        <v>2025</v>
      </c>
      <c r="H774" s="10" t="n">
        <v>10</v>
      </c>
      <c r="I774" s="19" t="n">
        <v>24300</v>
      </c>
      <c r="J774" s="19" t="n">
        <v>27000</v>
      </c>
      <c r="K774" s="10" t="n">
        <v>1350</v>
      </c>
      <c r="L774" s="10" t="n">
        <v>3906</v>
      </c>
      <c r="M774" s="10" t="n">
        <v>24</v>
      </c>
      <c r="N774" s="11" t="n">
        <v>10</v>
      </c>
      <c r="O774" s="18" t="s">
        <v>56</v>
      </c>
    </row>
    <row r="775" customFormat="false" ht="15" hidden="false" customHeight="false" outlineLevel="0" collapsed="false">
      <c r="A775" s="18" t="n">
        <v>152649327</v>
      </c>
      <c r="B775" s="10" t="n">
        <v>774</v>
      </c>
      <c r="C775" s="18" t="s">
        <v>43</v>
      </c>
      <c r="D775" s="9" t="s">
        <v>1647</v>
      </c>
      <c r="E775" s="9" t="s">
        <v>1648</v>
      </c>
      <c r="F775" s="9" t="s">
        <v>109</v>
      </c>
      <c r="G775" s="10" t="n">
        <v>2025</v>
      </c>
      <c r="H775" s="10" t="n">
        <v>10</v>
      </c>
      <c r="I775" s="19" t="n">
        <v>29700</v>
      </c>
      <c r="J775" s="19" t="n">
        <v>33000</v>
      </c>
      <c r="K775" s="10" t="n">
        <v>1650</v>
      </c>
      <c r="L775" s="10" t="n">
        <v>2154</v>
      </c>
      <c r="M775" s="10" t="n">
        <v>2</v>
      </c>
      <c r="N775" s="11" t="n">
        <v>10</v>
      </c>
      <c r="O775" s="18" t="s">
        <v>56</v>
      </c>
    </row>
    <row r="776" customFormat="false" ht="15" hidden="false" customHeight="false" outlineLevel="0" collapsed="false">
      <c r="A776" s="18" t="n">
        <v>152595587</v>
      </c>
      <c r="B776" s="10" t="n">
        <v>775</v>
      </c>
      <c r="C776" s="18" t="s">
        <v>43</v>
      </c>
      <c r="D776" s="15" t="s">
        <v>1649</v>
      </c>
      <c r="E776" s="15" t="s">
        <v>1650</v>
      </c>
      <c r="F776" s="9" t="s">
        <v>1651</v>
      </c>
      <c r="G776" s="10" t="n">
        <v>2025</v>
      </c>
      <c r="H776" s="10" t="n">
        <v>10</v>
      </c>
      <c r="I776" s="19" t="n">
        <v>17820</v>
      </c>
      <c r="J776" s="19" t="n">
        <v>19800</v>
      </c>
      <c r="K776" s="10" t="n">
        <v>990</v>
      </c>
      <c r="L776" s="10" t="n">
        <v>216</v>
      </c>
      <c r="M776" s="10" t="n">
        <v>0</v>
      </c>
      <c r="N776" s="11" t="n">
        <v>0</v>
      </c>
      <c r="O776" s="18" t="s">
        <v>56</v>
      </c>
    </row>
    <row r="777" customFormat="false" ht="15" hidden="false" customHeight="false" outlineLevel="0" collapsed="false">
      <c r="A777" s="18" t="n">
        <v>152573276</v>
      </c>
      <c r="B777" s="10" t="n">
        <v>776</v>
      </c>
      <c r="C777" s="18" t="s">
        <v>43</v>
      </c>
      <c r="D777" s="9" t="s">
        <v>1652</v>
      </c>
      <c r="E777" s="15" t="s">
        <v>1653</v>
      </c>
      <c r="F777" s="9" t="s">
        <v>1654</v>
      </c>
      <c r="G777" s="10" t="n">
        <v>2025</v>
      </c>
      <c r="H777" s="10" t="n">
        <v>10</v>
      </c>
      <c r="I777" s="19" t="n">
        <v>12600</v>
      </c>
      <c r="J777" s="19" t="n">
        <v>14000</v>
      </c>
      <c r="K777" s="10" t="n">
        <v>700</v>
      </c>
      <c r="L777" s="10" t="n">
        <v>492</v>
      </c>
      <c r="M777" s="10" t="n">
        <v>0</v>
      </c>
      <c r="N777" s="11" t="n">
        <v>0</v>
      </c>
      <c r="O777" s="18" t="s">
        <v>56</v>
      </c>
    </row>
    <row r="778" customFormat="false" ht="15" hidden="false" customHeight="false" outlineLevel="0" collapsed="false">
      <c r="A778" s="18" t="n">
        <v>152572637</v>
      </c>
      <c r="B778" s="10" t="n">
        <v>777</v>
      </c>
      <c r="C778" s="18" t="s">
        <v>43</v>
      </c>
      <c r="D778" s="9" t="s">
        <v>1655</v>
      </c>
      <c r="E778" s="15" t="s">
        <v>1653</v>
      </c>
      <c r="F778" s="9" t="s">
        <v>1654</v>
      </c>
      <c r="G778" s="10" t="n">
        <v>2025</v>
      </c>
      <c r="H778" s="10" t="n">
        <v>10</v>
      </c>
      <c r="I778" s="19" t="n">
        <v>12600</v>
      </c>
      <c r="J778" s="19" t="n">
        <v>14000</v>
      </c>
      <c r="K778" s="10" t="n">
        <v>700</v>
      </c>
      <c r="L778" s="10" t="n">
        <v>330</v>
      </c>
      <c r="M778" s="10" t="n">
        <v>1</v>
      </c>
      <c r="N778" s="11" t="n">
        <v>10</v>
      </c>
      <c r="O778" s="18" t="s">
        <v>56</v>
      </c>
    </row>
    <row r="779" customFormat="false" ht="15" hidden="false" customHeight="false" outlineLevel="0" collapsed="false">
      <c r="A779" s="18" t="n">
        <v>152498115</v>
      </c>
      <c r="B779" s="10" t="n">
        <v>778</v>
      </c>
      <c r="C779" s="18" t="s">
        <v>43</v>
      </c>
      <c r="D779" s="15" t="s">
        <v>1656</v>
      </c>
      <c r="E779" s="9" t="s">
        <v>1585</v>
      </c>
      <c r="F779" s="9" t="s">
        <v>552</v>
      </c>
      <c r="G779" s="10" t="n">
        <v>2025</v>
      </c>
      <c r="H779" s="10" t="n">
        <v>10</v>
      </c>
      <c r="I779" s="19" t="n">
        <v>21600</v>
      </c>
      <c r="J779" s="19" t="n">
        <v>24000</v>
      </c>
      <c r="K779" s="10" t="n">
        <v>0</v>
      </c>
      <c r="L779" s="10" t="n">
        <v>450</v>
      </c>
      <c r="M779" s="10" t="n">
        <v>18</v>
      </c>
      <c r="N779" s="11" t="n">
        <v>10</v>
      </c>
      <c r="O779" s="18" t="s">
        <v>56</v>
      </c>
    </row>
    <row r="780" customFormat="false" ht="15" hidden="false" customHeight="false" outlineLevel="0" collapsed="false">
      <c r="A780" s="18" t="n">
        <v>152369808</v>
      </c>
      <c r="B780" s="10" t="n">
        <v>779</v>
      </c>
      <c r="C780" s="18" t="s">
        <v>43</v>
      </c>
      <c r="D780" s="15" t="s">
        <v>1657</v>
      </c>
      <c r="E780" s="9" t="s">
        <v>817</v>
      </c>
      <c r="F780" s="9" t="s">
        <v>259</v>
      </c>
      <c r="G780" s="10" t="n">
        <v>2025</v>
      </c>
      <c r="H780" s="10" t="n">
        <v>10</v>
      </c>
      <c r="I780" s="19" t="n">
        <v>23400</v>
      </c>
      <c r="J780" s="19" t="n">
        <v>26000</v>
      </c>
      <c r="K780" s="10" t="n">
        <v>1300</v>
      </c>
      <c r="L780" s="10" t="n">
        <v>8586</v>
      </c>
      <c r="M780" s="10" t="n">
        <v>41</v>
      </c>
      <c r="N780" s="11" t="n">
        <v>9.9</v>
      </c>
      <c r="O780" s="18" t="s">
        <v>46</v>
      </c>
    </row>
    <row r="781" customFormat="false" ht="15" hidden="false" customHeight="false" outlineLevel="0" collapsed="false">
      <c r="A781" s="18" t="n">
        <v>152352105</v>
      </c>
      <c r="B781" s="10" t="n">
        <v>780</v>
      </c>
      <c r="C781" s="18" t="s">
        <v>43</v>
      </c>
      <c r="D781" s="9" t="s">
        <v>1658</v>
      </c>
      <c r="E781" s="9" t="s">
        <v>1659</v>
      </c>
      <c r="F781" s="9" t="s">
        <v>1660</v>
      </c>
      <c r="G781" s="10" t="n">
        <v>2025</v>
      </c>
      <c r="H781" s="10" t="n">
        <v>0</v>
      </c>
      <c r="I781" s="19" t="n">
        <v>9000</v>
      </c>
      <c r="J781" s="19" t="n">
        <v>9000</v>
      </c>
      <c r="K781" s="10" t="n">
        <v>0</v>
      </c>
      <c r="L781" s="10" t="n">
        <v>390</v>
      </c>
      <c r="M781" s="10" t="n">
        <v>0</v>
      </c>
      <c r="N781" s="11" t="n">
        <v>0</v>
      </c>
      <c r="O781" s="18" t="s">
        <v>56</v>
      </c>
    </row>
    <row r="782" customFormat="false" ht="15" hidden="false" customHeight="false" outlineLevel="0" collapsed="false">
      <c r="A782" s="18" t="n">
        <v>151980353</v>
      </c>
      <c r="B782" s="10" t="n">
        <v>781</v>
      </c>
      <c r="C782" s="18" t="s">
        <v>43</v>
      </c>
      <c r="D782" s="15" t="s">
        <v>1661</v>
      </c>
      <c r="E782" s="9" t="s">
        <v>1662</v>
      </c>
      <c r="F782" s="9" t="s">
        <v>14</v>
      </c>
      <c r="G782" s="10" t="n">
        <v>2025</v>
      </c>
      <c r="H782" s="10" t="n">
        <v>10</v>
      </c>
      <c r="I782" s="19" t="n">
        <v>24300</v>
      </c>
      <c r="J782" s="19" t="n">
        <v>27000</v>
      </c>
      <c r="K782" s="10" t="n">
        <v>1350</v>
      </c>
      <c r="L782" s="10" t="n">
        <v>2634</v>
      </c>
      <c r="M782" s="10" t="n">
        <v>41</v>
      </c>
      <c r="N782" s="11" t="n">
        <v>9.8</v>
      </c>
      <c r="O782" s="18" t="s">
        <v>46</v>
      </c>
    </row>
    <row r="783" customFormat="false" ht="15" hidden="false" customHeight="false" outlineLevel="0" collapsed="false">
      <c r="A783" s="18" t="n">
        <v>151884453</v>
      </c>
      <c r="B783" s="10" t="n">
        <v>782</v>
      </c>
      <c r="C783" s="18" t="s">
        <v>43</v>
      </c>
      <c r="D783" s="9" t="s">
        <v>1663</v>
      </c>
      <c r="E783" s="9" t="s">
        <v>1664</v>
      </c>
      <c r="F783" s="9" t="s">
        <v>12</v>
      </c>
      <c r="G783" s="10" t="n">
        <v>2025</v>
      </c>
      <c r="H783" s="10" t="n">
        <v>10</v>
      </c>
      <c r="I783" s="19" t="n">
        <v>56700</v>
      </c>
      <c r="J783" s="19" t="n">
        <v>63000</v>
      </c>
      <c r="K783" s="10" t="n">
        <v>3150</v>
      </c>
      <c r="L783" s="10" t="n">
        <v>252</v>
      </c>
      <c r="M783" s="10" t="n">
        <v>9</v>
      </c>
      <c r="N783" s="11" t="n">
        <v>9.6</v>
      </c>
      <c r="O783" s="18" t="s">
        <v>56</v>
      </c>
    </row>
    <row r="784" customFormat="false" ht="15" hidden="false" customHeight="false" outlineLevel="0" collapsed="false">
      <c r="A784" s="18" t="n">
        <v>151871280</v>
      </c>
      <c r="B784" s="10" t="n">
        <v>783</v>
      </c>
      <c r="C784" s="18" t="s">
        <v>43</v>
      </c>
      <c r="D784" s="9" t="s">
        <v>1665</v>
      </c>
      <c r="E784" s="9" t="s">
        <v>1666</v>
      </c>
      <c r="F784" s="9" t="s">
        <v>1654</v>
      </c>
      <c r="G784" s="10" t="n">
        <v>2025</v>
      </c>
      <c r="H784" s="10" t="n">
        <v>10</v>
      </c>
      <c r="I784" s="19" t="n">
        <v>12600</v>
      </c>
      <c r="J784" s="19" t="n">
        <v>14000</v>
      </c>
      <c r="K784" s="10" t="n">
        <v>700</v>
      </c>
      <c r="L784" s="10" t="n">
        <v>60</v>
      </c>
      <c r="M784" s="10" t="n">
        <v>0</v>
      </c>
      <c r="N784" s="11" t="n">
        <v>0</v>
      </c>
      <c r="O784" s="18" t="s">
        <v>56</v>
      </c>
    </row>
    <row r="785" customFormat="false" ht="15" hidden="false" customHeight="false" outlineLevel="0" collapsed="false">
      <c r="A785" s="18" t="n">
        <v>151794835</v>
      </c>
      <c r="B785" s="10" t="n">
        <v>784</v>
      </c>
      <c r="C785" s="18" t="s">
        <v>43</v>
      </c>
      <c r="D785" s="15" t="s">
        <v>1667</v>
      </c>
      <c r="E785" s="9" t="s">
        <v>1668</v>
      </c>
      <c r="F785" s="9" t="s">
        <v>1669</v>
      </c>
      <c r="G785" s="10" t="n">
        <v>2025</v>
      </c>
      <c r="H785" s="10" t="n">
        <v>10</v>
      </c>
      <c r="I785" s="19" t="n">
        <v>33300</v>
      </c>
      <c r="J785" s="19" t="n">
        <v>37000</v>
      </c>
      <c r="K785" s="10" t="n">
        <v>370</v>
      </c>
      <c r="L785" s="10" t="n">
        <v>264</v>
      </c>
      <c r="M785" s="10" t="n">
        <v>0</v>
      </c>
      <c r="N785" s="11" t="n">
        <v>0</v>
      </c>
      <c r="O785" s="18" t="s">
        <v>56</v>
      </c>
    </row>
    <row r="786" customFormat="false" ht="15" hidden="false" customHeight="false" outlineLevel="0" collapsed="false">
      <c r="A786" s="18" t="n">
        <v>151686248</v>
      </c>
      <c r="B786" s="10" t="n">
        <v>785</v>
      </c>
      <c r="C786" s="18" t="s">
        <v>43</v>
      </c>
      <c r="D786" s="9" t="s">
        <v>1670</v>
      </c>
      <c r="E786" s="9" t="s">
        <v>1671</v>
      </c>
      <c r="F786" s="9" t="s">
        <v>879</v>
      </c>
      <c r="G786" s="10" t="n">
        <v>2025</v>
      </c>
      <c r="H786" s="10" t="n">
        <v>10</v>
      </c>
      <c r="I786" s="19" t="n">
        <v>22500</v>
      </c>
      <c r="J786" s="19" t="n">
        <v>25000</v>
      </c>
      <c r="K786" s="10" t="n">
        <v>1250</v>
      </c>
      <c r="L786" s="10" t="n">
        <v>666</v>
      </c>
      <c r="M786" s="10" t="n">
        <v>16</v>
      </c>
      <c r="N786" s="11" t="n">
        <v>9.8</v>
      </c>
      <c r="O786" s="18" t="s">
        <v>56</v>
      </c>
    </row>
    <row r="787" customFormat="false" ht="15" hidden="false" customHeight="false" outlineLevel="0" collapsed="false">
      <c r="A787" s="18" t="n">
        <v>151667493</v>
      </c>
      <c r="B787" s="10" t="n">
        <v>786</v>
      </c>
      <c r="C787" s="18" t="s">
        <v>43</v>
      </c>
      <c r="D787" s="9" t="s">
        <v>1672</v>
      </c>
      <c r="E787" s="9" t="s">
        <v>1673</v>
      </c>
      <c r="F787" s="9" t="s">
        <v>14</v>
      </c>
      <c r="G787" s="10" t="n">
        <v>2025</v>
      </c>
      <c r="H787" s="10" t="n">
        <v>10</v>
      </c>
      <c r="I787" s="19" t="n">
        <v>37800</v>
      </c>
      <c r="J787" s="19" t="n">
        <v>42000</v>
      </c>
      <c r="K787" s="10" t="n">
        <v>2100</v>
      </c>
      <c r="L787" s="10" t="n">
        <v>2172</v>
      </c>
      <c r="M787" s="10" t="n">
        <v>21</v>
      </c>
      <c r="N787" s="11" t="n">
        <v>9.9</v>
      </c>
      <c r="O787" s="18" t="s">
        <v>56</v>
      </c>
    </row>
    <row r="788" customFormat="false" ht="15" hidden="false" customHeight="false" outlineLevel="0" collapsed="false">
      <c r="A788" s="18" t="n">
        <v>151381888</v>
      </c>
      <c r="B788" s="10" t="n">
        <v>787</v>
      </c>
      <c r="C788" s="18" t="s">
        <v>43</v>
      </c>
      <c r="D788" s="9" t="s">
        <v>1674</v>
      </c>
      <c r="E788" s="9" t="s">
        <v>1675</v>
      </c>
      <c r="F788" s="9" t="s">
        <v>16</v>
      </c>
      <c r="G788" s="10" t="n">
        <v>2025</v>
      </c>
      <c r="H788" s="10" t="n">
        <v>10</v>
      </c>
      <c r="I788" s="19" t="n">
        <v>25200</v>
      </c>
      <c r="J788" s="19" t="n">
        <v>28000</v>
      </c>
      <c r="K788" s="10" t="n">
        <v>1400</v>
      </c>
      <c r="L788" s="10" t="n">
        <v>3108</v>
      </c>
      <c r="M788" s="10" t="n">
        <v>3</v>
      </c>
      <c r="N788" s="11" t="n">
        <v>10</v>
      </c>
      <c r="O788" s="18" t="s">
        <v>56</v>
      </c>
    </row>
    <row r="789" customFormat="false" ht="15" hidden="false" customHeight="false" outlineLevel="0" collapsed="false">
      <c r="A789" s="18" t="n">
        <v>151379311</v>
      </c>
      <c r="B789" s="10" t="n">
        <v>788</v>
      </c>
      <c r="C789" s="18" t="s">
        <v>43</v>
      </c>
      <c r="D789" s="9" t="s">
        <v>1676</v>
      </c>
      <c r="E789" s="15" t="s">
        <v>1653</v>
      </c>
      <c r="F789" s="9" t="s">
        <v>1654</v>
      </c>
      <c r="G789" s="10" t="n">
        <v>2025</v>
      </c>
      <c r="H789" s="10" t="n">
        <v>10</v>
      </c>
      <c r="I789" s="19" t="n">
        <v>12600</v>
      </c>
      <c r="J789" s="19" t="n">
        <v>14000</v>
      </c>
      <c r="K789" s="10" t="n">
        <v>700</v>
      </c>
      <c r="L789" s="10" t="n">
        <v>1272</v>
      </c>
      <c r="M789" s="10" t="n">
        <v>0</v>
      </c>
      <c r="N789" s="11" t="n">
        <v>0</v>
      </c>
      <c r="O789" s="18" t="s">
        <v>56</v>
      </c>
    </row>
    <row r="790" customFormat="false" ht="15" hidden="false" customHeight="false" outlineLevel="0" collapsed="false">
      <c r="A790" s="18" t="n">
        <v>151378811</v>
      </c>
      <c r="B790" s="10" t="n">
        <v>789</v>
      </c>
      <c r="C790" s="18" t="s">
        <v>43</v>
      </c>
      <c r="D790" s="9" t="s">
        <v>1677</v>
      </c>
      <c r="E790" s="15" t="s">
        <v>1678</v>
      </c>
      <c r="F790" s="9" t="s">
        <v>1654</v>
      </c>
      <c r="G790" s="10" t="n">
        <v>2025</v>
      </c>
      <c r="H790" s="10" t="n">
        <v>10</v>
      </c>
      <c r="I790" s="19" t="n">
        <v>12600</v>
      </c>
      <c r="J790" s="19" t="n">
        <v>14000</v>
      </c>
      <c r="K790" s="10" t="n">
        <v>700</v>
      </c>
      <c r="L790" s="10" t="n">
        <v>840</v>
      </c>
      <c r="M790" s="10" t="n">
        <v>0</v>
      </c>
      <c r="N790" s="11" t="n">
        <v>0</v>
      </c>
      <c r="O790" s="18" t="s">
        <v>56</v>
      </c>
    </row>
    <row r="791" customFormat="false" ht="15" hidden="false" customHeight="false" outlineLevel="0" collapsed="false">
      <c r="A791" s="18" t="n">
        <v>151291357</v>
      </c>
      <c r="B791" s="10" t="n">
        <v>790</v>
      </c>
      <c r="C791" s="18" t="s">
        <v>43</v>
      </c>
      <c r="D791" s="9" t="s">
        <v>1679</v>
      </c>
      <c r="E791" s="9" t="s">
        <v>1680</v>
      </c>
      <c r="F791" s="9" t="s">
        <v>1681</v>
      </c>
      <c r="G791" s="10" t="n">
        <v>2025</v>
      </c>
      <c r="H791" s="10" t="n">
        <v>10</v>
      </c>
      <c r="I791" s="19" t="n">
        <v>17100</v>
      </c>
      <c r="J791" s="19" t="n">
        <v>19000</v>
      </c>
      <c r="K791" s="10" t="n">
        <v>950</v>
      </c>
      <c r="L791" s="10" t="n">
        <v>342</v>
      </c>
      <c r="M791" s="10" t="n">
        <v>0</v>
      </c>
      <c r="N791" s="11" t="n">
        <v>0</v>
      </c>
      <c r="O791" s="18" t="s">
        <v>56</v>
      </c>
    </row>
    <row r="792" customFormat="false" ht="15" hidden="false" customHeight="false" outlineLevel="0" collapsed="false">
      <c r="A792" s="18" t="n">
        <v>151270068</v>
      </c>
      <c r="B792" s="10" t="n">
        <v>791</v>
      </c>
      <c r="C792" s="18" t="s">
        <v>43</v>
      </c>
      <c r="D792" s="15" t="s">
        <v>1682</v>
      </c>
      <c r="E792" s="9" t="s">
        <v>1683</v>
      </c>
      <c r="F792" s="9" t="s">
        <v>967</v>
      </c>
      <c r="G792" s="10" t="n">
        <v>2025</v>
      </c>
      <c r="H792" s="10" t="n">
        <v>10</v>
      </c>
      <c r="I792" s="19" t="n">
        <v>18900</v>
      </c>
      <c r="J792" s="19" t="n">
        <v>21000</v>
      </c>
      <c r="K792" s="10" t="n">
        <v>1050</v>
      </c>
      <c r="L792" s="10" t="n">
        <v>2160</v>
      </c>
      <c r="M792" s="10" t="n">
        <v>4</v>
      </c>
      <c r="N792" s="11" t="n">
        <v>10</v>
      </c>
      <c r="O792" s="18" t="s">
        <v>56</v>
      </c>
    </row>
    <row r="793" customFormat="false" ht="15" hidden="false" customHeight="false" outlineLevel="0" collapsed="false">
      <c r="A793" s="18" t="n">
        <v>151260269</v>
      </c>
      <c r="B793" s="10" t="n">
        <v>792</v>
      </c>
      <c r="C793" s="18" t="s">
        <v>43</v>
      </c>
      <c r="D793" s="15" t="s">
        <v>1684</v>
      </c>
      <c r="E793" s="9" t="s">
        <v>1685</v>
      </c>
      <c r="F793" s="9" t="s">
        <v>511</v>
      </c>
      <c r="G793" s="10" t="n">
        <v>2025</v>
      </c>
      <c r="H793" s="10" t="n">
        <v>10</v>
      </c>
      <c r="I793" s="19" t="n">
        <v>22500</v>
      </c>
      <c r="J793" s="19" t="n">
        <v>25000</v>
      </c>
      <c r="K793" s="10" t="n">
        <v>1250</v>
      </c>
      <c r="L793" s="10" t="n">
        <v>354</v>
      </c>
      <c r="M793" s="10" t="n">
        <v>33</v>
      </c>
      <c r="N793" s="11" t="n">
        <v>9.7</v>
      </c>
      <c r="O793" s="18" t="s">
        <v>56</v>
      </c>
    </row>
    <row r="794" customFormat="false" ht="15" hidden="false" customHeight="false" outlineLevel="0" collapsed="false">
      <c r="A794" s="18" t="n">
        <v>151253343</v>
      </c>
      <c r="B794" s="10" t="n">
        <v>793</v>
      </c>
      <c r="C794" s="18" t="s">
        <v>43</v>
      </c>
      <c r="D794" s="9" t="s">
        <v>1686</v>
      </c>
      <c r="E794" s="9" t="s">
        <v>1687</v>
      </c>
      <c r="F794" s="9" t="s">
        <v>311</v>
      </c>
      <c r="G794" s="10" t="n">
        <v>2025</v>
      </c>
      <c r="H794" s="10" t="n">
        <v>10</v>
      </c>
      <c r="I794" s="19" t="n">
        <v>34200</v>
      </c>
      <c r="J794" s="19" t="n">
        <v>38000</v>
      </c>
      <c r="K794" s="10" t="n">
        <v>1900</v>
      </c>
      <c r="L794" s="10" t="n">
        <v>360</v>
      </c>
      <c r="M794" s="10" t="n">
        <v>0</v>
      </c>
      <c r="N794" s="11" t="n">
        <v>0</v>
      </c>
      <c r="O794" s="18" t="s">
        <v>56</v>
      </c>
    </row>
    <row r="795" customFormat="false" ht="15" hidden="false" customHeight="false" outlineLevel="0" collapsed="false">
      <c r="A795" s="18" t="n">
        <v>151171136</v>
      </c>
      <c r="B795" s="10" t="n">
        <v>794</v>
      </c>
      <c r="C795" s="18" t="s">
        <v>43</v>
      </c>
      <c r="D795" s="9" t="s">
        <v>1688</v>
      </c>
      <c r="E795" s="9" t="s">
        <v>1689</v>
      </c>
      <c r="F795" s="9" t="s">
        <v>1690</v>
      </c>
      <c r="G795" s="10" t="n">
        <v>2025</v>
      </c>
      <c r="H795" s="10" t="n">
        <v>0</v>
      </c>
      <c r="I795" s="19" t="n">
        <v>18000</v>
      </c>
      <c r="J795" s="19" t="n">
        <v>18000</v>
      </c>
      <c r="K795" s="10" t="n">
        <v>0</v>
      </c>
      <c r="L795" s="10" t="n">
        <v>186</v>
      </c>
      <c r="M795" s="10" t="n">
        <v>0</v>
      </c>
      <c r="N795" s="11" t="n">
        <v>0</v>
      </c>
      <c r="O795" s="18" t="s">
        <v>56</v>
      </c>
    </row>
    <row r="796" customFormat="false" ht="15" hidden="false" customHeight="false" outlineLevel="0" collapsed="false">
      <c r="A796" s="18" t="n">
        <v>151170115</v>
      </c>
      <c r="B796" s="10" t="n">
        <v>795</v>
      </c>
      <c r="C796" s="18" t="s">
        <v>43</v>
      </c>
      <c r="D796" s="9" t="s">
        <v>1691</v>
      </c>
      <c r="E796" s="9" t="s">
        <v>1692</v>
      </c>
      <c r="F796" s="9" t="s">
        <v>16</v>
      </c>
      <c r="G796" s="10" t="n">
        <v>2025</v>
      </c>
      <c r="H796" s="10" t="n">
        <v>10</v>
      </c>
      <c r="I796" s="19" t="n">
        <v>22500</v>
      </c>
      <c r="J796" s="19" t="n">
        <v>25000</v>
      </c>
      <c r="K796" s="10" t="n">
        <v>1250</v>
      </c>
      <c r="L796" s="10" t="n">
        <v>2544</v>
      </c>
      <c r="M796" s="10" t="n">
        <v>8</v>
      </c>
      <c r="N796" s="11" t="n">
        <v>10</v>
      </c>
      <c r="O796" s="18" t="s">
        <v>56</v>
      </c>
    </row>
    <row r="797" customFormat="false" ht="15" hidden="false" customHeight="false" outlineLevel="0" collapsed="false">
      <c r="A797" s="18" t="n">
        <v>151152657</v>
      </c>
      <c r="B797" s="10" t="n">
        <v>796</v>
      </c>
      <c r="C797" s="18" t="s">
        <v>43</v>
      </c>
      <c r="D797" s="15" t="s">
        <v>1693</v>
      </c>
      <c r="E797" s="9" t="s">
        <v>1694</v>
      </c>
      <c r="F797" s="9" t="s">
        <v>14</v>
      </c>
      <c r="G797" s="10" t="n">
        <v>2025</v>
      </c>
      <c r="H797" s="10" t="n">
        <v>10</v>
      </c>
      <c r="I797" s="19" t="n">
        <v>23400</v>
      </c>
      <c r="J797" s="19" t="n">
        <v>26000</v>
      </c>
      <c r="K797" s="10" t="n">
        <v>1300</v>
      </c>
      <c r="L797" s="10" t="n">
        <v>4026</v>
      </c>
      <c r="M797" s="10" t="n">
        <v>16</v>
      </c>
      <c r="N797" s="11" t="n">
        <v>9.6</v>
      </c>
      <c r="O797" s="18" t="s">
        <v>56</v>
      </c>
    </row>
    <row r="798" customFormat="false" ht="15" hidden="false" customHeight="false" outlineLevel="0" collapsed="false">
      <c r="A798" s="18" t="n">
        <v>151041989</v>
      </c>
      <c r="B798" s="10" t="n">
        <v>797</v>
      </c>
      <c r="C798" s="18" t="s">
        <v>43</v>
      </c>
      <c r="D798" s="9" t="s">
        <v>1695</v>
      </c>
      <c r="E798" s="9" t="s">
        <v>1696</v>
      </c>
      <c r="F798" s="9" t="s">
        <v>259</v>
      </c>
      <c r="G798" s="10" t="n">
        <v>2025</v>
      </c>
      <c r="H798" s="10" t="n">
        <v>10</v>
      </c>
      <c r="I798" s="19" t="n">
        <v>22500</v>
      </c>
      <c r="J798" s="19" t="n">
        <v>25000</v>
      </c>
      <c r="K798" s="10" t="n">
        <v>250</v>
      </c>
      <c r="L798" s="10" t="n">
        <v>1776</v>
      </c>
      <c r="M798" s="10" t="n">
        <v>3</v>
      </c>
      <c r="N798" s="11" t="n">
        <v>9.3</v>
      </c>
      <c r="O798" s="18" t="s">
        <v>56</v>
      </c>
    </row>
    <row r="799" customFormat="false" ht="15" hidden="false" customHeight="false" outlineLevel="0" collapsed="false">
      <c r="A799" s="18" t="n">
        <v>150795058</v>
      </c>
      <c r="B799" s="10" t="n">
        <v>798</v>
      </c>
      <c r="C799" s="18" t="s">
        <v>43</v>
      </c>
      <c r="D799" s="9" t="s">
        <v>1697</v>
      </c>
      <c r="E799" s="9" t="s">
        <v>1698</v>
      </c>
      <c r="F799" s="9" t="s">
        <v>16</v>
      </c>
      <c r="G799" s="10" t="n">
        <v>2025</v>
      </c>
      <c r="H799" s="10" t="n">
        <v>10</v>
      </c>
      <c r="I799" s="19" t="n">
        <v>34200</v>
      </c>
      <c r="J799" s="19" t="n">
        <v>38000</v>
      </c>
      <c r="K799" s="10" t="n">
        <v>1900</v>
      </c>
      <c r="L799" s="10" t="n">
        <v>2772</v>
      </c>
      <c r="M799" s="10" t="n">
        <v>7</v>
      </c>
      <c r="N799" s="11" t="n">
        <v>9.7</v>
      </c>
      <c r="O799" s="18" t="s">
        <v>56</v>
      </c>
    </row>
    <row r="800" customFormat="false" ht="15" hidden="false" customHeight="false" outlineLevel="0" collapsed="false">
      <c r="A800" s="18" t="n">
        <v>150709449</v>
      </c>
      <c r="B800" s="10" t="n">
        <v>799</v>
      </c>
      <c r="C800" s="18" t="s">
        <v>43</v>
      </c>
      <c r="D800" s="9" t="s">
        <v>1699</v>
      </c>
      <c r="E800" s="9" t="s">
        <v>1700</v>
      </c>
      <c r="F800" s="9" t="s">
        <v>64</v>
      </c>
      <c r="G800" s="10" t="n">
        <v>2025</v>
      </c>
      <c r="H800" s="10" t="n">
        <v>10</v>
      </c>
      <c r="I800" s="19" t="n">
        <v>15930</v>
      </c>
      <c r="J800" s="19" t="n">
        <v>17700</v>
      </c>
      <c r="K800" s="10" t="n">
        <v>880</v>
      </c>
      <c r="L800" s="10" t="n">
        <v>2988</v>
      </c>
      <c r="M800" s="10" t="n">
        <v>19</v>
      </c>
      <c r="N800" s="11" t="n">
        <v>9.8</v>
      </c>
      <c r="O800" s="18" t="s">
        <v>56</v>
      </c>
    </row>
    <row r="801" customFormat="false" ht="15" hidden="false" customHeight="false" outlineLevel="0" collapsed="false">
      <c r="A801" s="18" t="n">
        <v>150698238</v>
      </c>
      <c r="B801" s="10" t="n">
        <v>800</v>
      </c>
      <c r="C801" s="18" t="s">
        <v>43</v>
      </c>
      <c r="D801" s="9" t="s">
        <v>1701</v>
      </c>
      <c r="E801" s="9" t="s">
        <v>432</v>
      </c>
      <c r="F801" s="9" t="s">
        <v>1274</v>
      </c>
      <c r="G801" s="10" t="n">
        <v>2025</v>
      </c>
      <c r="H801" s="10" t="n">
        <v>0</v>
      </c>
      <c r="I801" s="19" t="n">
        <v>27000</v>
      </c>
      <c r="J801" s="19" t="n">
        <v>27000</v>
      </c>
      <c r="K801" s="10" t="n">
        <v>0</v>
      </c>
      <c r="L801" s="10" t="n">
        <v>888</v>
      </c>
      <c r="M801" s="10" t="n">
        <v>4</v>
      </c>
      <c r="N801" s="11" t="n">
        <v>10</v>
      </c>
      <c r="O801" s="18" t="s">
        <v>56</v>
      </c>
    </row>
    <row r="802" customFormat="false" ht="15" hidden="false" customHeight="false" outlineLevel="0" collapsed="false">
      <c r="A802" s="18" t="n">
        <v>150389633</v>
      </c>
      <c r="B802" s="10" t="n">
        <v>801</v>
      </c>
      <c r="C802" s="18" t="s">
        <v>43</v>
      </c>
      <c r="D802" s="15" t="s">
        <v>1702</v>
      </c>
      <c r="E802" s="9" t="s">
        <v>1703</v>
      </c>
      <c r="F802" s="15" t="s">
        <v>561</v>
      </c>
      <c r="G802" s="10" t="n">
        <v>2025</v>
      </c>
      <c r="H802" s="10" t="n">
        <v>0</v>
      </c>
      <c r="I802" s="19" t="n">
        <v>18400</v>
      </c>
      <c r="J802" s="19" t="n">
        <v>18400</v>
      </c>
      <c r="K802" s="10" t="n">
        <v>0</v>
      </c>
      <c r="L802" s="10" t="n">
        <v>132</v>
      </c>
      <c r="M802" s="10" t="n">
        <v>0</v>
      </c>
      <c r="N802" s="11" t="n">
        <v>0</v>
      </c>
      <c r="O802" s="18" t="s">
        <v>56</v>
      </c>
    </row>
    <row r="803" customFormat="false" ht="15" hidden="false" customHeight="false" outlineLevel="0" collapsed="false">
      <c r="A803" s="18" t="n">
        <v>150321457</v>
      </c>
      <c r="B803" s="10" t="n">
        <v>802</v>
      </c>
      <c r="C803" s="18" t="s">
        <v>43</v>
      </c>
      <c r="D803" s="15" t="s">
        <v>1704</v>
      </c>
      <c r="E803" s="9" t="s">
        <v>1703</v>
      </c>
      <c r="F803" s="15" t="s">
        <v>561</v>
      </c>
      <c r="G803" s="10" t="n">
        <v>2025</v>
      </c>
      <c r="H803" s="10" t="n">
        <v>0</v>
      </c>
      <c r="I803" s="19" t="n">
        <v>28900</v>
      </c>
      <c r="J803" s="19" t="n">
        <v>28900</v>
      </c>
      <c r="K803" s="10" t="n">
        <v>0</v>
      </c>
      <c r="L803" s="10" t="n">
        <v>192</v>
      </c>
      <c r="M803" s="10" t="n">
        <v>0</v>
      </c>
      <c r="N803" s="11" t="n">
        <v>0</v>
      </c>
      <c r="O803" s="18" t="s">
        <v>56</v>
      </c>
    </row>
    <row r="804" customFormat="false" ht="15" hidden="false" customHeight="false" outlineLevel="0" collapsed="false">
      <c r="A804" s="18" t="n">
        <v>150240159</v>
      </c>
      <c r="B804" s="10" t="n">
        <v>803</v>
      </c>
      <c r="C804" s="18" t="s">
        <v>43</v>
      </c>
      <c r="D804" s="15" t="s">
        <v>1705</v>
      </c>
      <c r="E804" s="9" t="s">
        <v>1706</v>
      </c>
      <c r="F804" s="9" t="s">
        <v>17</v>
      </c>
      <c r="G804" s="10" t="n">
        <v>2025</v>
      </c>
      <c r="H804" s="10" t="n">
        <v>10</v>
      </c>
      <c r="I804" s="19" t="n">
        <v>35100</v>
      </c>
      <c r="J804" s="19" t="n">
        <v>39000</v>
      </c>
      <c r="K804" s="10" t="n">
        <v>1950</v>
      </c>
      <c r="L804" s="10" t="n">
        <v>1476</v>
      </c>
      <c r="M804" s="10" t="n">
        <v>6</v>
      </c>
      <c r="N804" s="11" t="n">
        <v>10</v>
      </c>
      <c r="O804" s="18" t="s">
        <v>56</v>
      </c>
    </row>
    <row r="805" customFormat="false" ht="15" hidden="false" customHeight="false" outlineLevel="0" collapsed="false">
      <c r="A805" s="18" t="n">
        <v>150118066</v>
      </c>
      <c r="B805" s="10" t="n">
        <v>804</v>
      </c>
      <c r="C805" s="18" t="s">
        <v>43</v>
      </c>
      <c r="D805" s="9" t="s">
        <v>1707</v>
      </c>
      <c r="E805" s="9" t="s">
        <v>1708</v>
      </c>
      <c r="F805" s="9" t="s">
        <v>1274</v>
      </c>
      <c r="G805" s="10" t="n">
        <v>2025</v>
      </c>
      <c r="H805" s="10" t="n">
        <v>0</v>
      </c>
      <c r="I805" s="19" t="n">
        <v>38000</v>
      </c>
      <c r="J805" s="19" t="n">
        <v>38000</v>
      </c>
      <c r="K805" s="10" t="n">
        <v>0</v>
      </c>
      <c r="L805" s="10" t="n">
        <v>540</v>
      </c>
      <c r="M805" s="10" t="n">
        <v>1</v>
      </c>
      <c r="N805" s="11" t="n">
        <v>4</v>
      </c>
      <c r="O805" s="18" t="s">
        <v>56</v>
      </c>
    </row>
    <row r="806" customFormat="false" ht="15" hidden="false" customHeight="false" outlineLevel="0" collapsed="false">
      <c r="A806" s="18" t="n">
        <v>150030416</v>
      </c>
      <c r="B806" s="10" t="n">
        <v>805</v>
      </c>
      <c r="C806" s="18" t="s">
        <v>43</v>
      </c>
      <c r="D806" s="15" t="s">
        <v>1709</v>
      </c>
      <c r="E806" s="9" t="s">
        <v>1343</v>
      </c>
      <c r="F806" s="9" t="s">
        <v>544</v>
      </c>
      <c r="G806" s="10" t="n">
        <v>2025</v>
      </c>
      <c r="H806" s="10" t="n">
        <v>10</v>
      </c>
      <c r="I806" s="19" t="n">
        <v>10800</v>
      </c>
      <c r="J806" s="19" t="n">
        <v>12000</v>
      </c>
      <c r="K806" s="10" t="n">
        <v>600</v>
      </c>
      <c r="L806" s="10" t="n">
        <v>297</v>
      </c>
      <c r="M806" s="10" t="n">
        <v>8</v>
      </c>
      <c r="N806" s="11" t="n">
        <v>9.8</v>
      </c>
      <c r="O806" s="18" t="s">
        <v>56</v>
      </c>
    </row>
    <row r="807" customFormat="false" ht="15" hidden="false" customHeight="false" outlineLevel="0" collapsed="false">
      <c r="A807" s="18" t="n">
        <v>150027797</v>
      </c>
      <c r="B807" s="10" t="n">
        <v>806</v>
      </c>
      <c r="C807" s="18" t="s">
        <v>43</v>
      </c>
      <c r="D807" s="9" t="s">
        <v>1710</v>
      </c>
      <c r="E807" s="9" t="s">
        <v>1711</v>
      </c>
      <c r="F807" s="9" t="s">
        <v>88</v>
      </c>
      <c r="G807" s="10" t="n">
        <v>2025</v>
      </c>
      <c r="H807" s="10" t="n">
        <v>10</v>
      </c>
      <c r="I807" s="19" t="n">
        <v>29700</v>
      </c>
      <c r="J807" s="19" t="n">
        <v>33000</v>
      </c>
      <c r="K807" s="10" t="n">
        <v>1650</v>
      </c>
      <c r="L807" s="10" t="n">
        <v>2022</v>
      </c>
      <c r="M807" s="10" t="n">
        <v>6</v>
      </c>
      <c r="N807" s="11" t="n">
        <v>10</v>
      </c>
      <c r="O807" s="18" t="s">
        <v>56</v>
      </c>
    </row>
    <row r="808" customFormat="false" ht="15" hidden="false" customHeight="false" outlineLevel="0" collapsed="false">
      <c r="A808" s="18" t="n">
        <v>150011529</v>
      </c>
      <c r="B808" s="10" t="n">
        <v>807</v>
      </c>
      <c r="C808" s="18" t="s">
        <v>43</v>
      </c>
      <c r="D808" s="9" t="s">
        <v>1712</v>
      </c>
      <c r="E808" s="9" t="s">
        <v>1713</v>
      </c>
      <c r="F808" s="9" t="s">
        <v>12</v>
      </c>
      <c r="G808" s="10" t="n">
        <v>2025</v>
      </c>
      <c r="H808" s="10" t="n">
        <v>10</v>
      </c>
      <c r="I808" s="19" t="n">
        <v>23400</v>
      </c>
      <c r="J808" s="19" t="n">
        <v>26000</v>
      </c>
      <c r="K808" s="10" t="n">
        <v>1300</v>
      </c>
      <c r="L808" s="10" t="n">
        <v>3360</v>
      </c>
      <c r="M808" s="10" t="n">
        <v>27</v>
      </c>
      <c r="N808" s="11" t="n">
        <v>9.8</v>
      </c>
      <c r="O808" s="18" t="s">
        <v>56</v>
      </c>
    </row>
    <row r="809" customFormat="false" ht="15" hidden="false" customHeight="false" outlineLevel="0" collapsed="false">
      <c r="A809" s="18" t="n">
        <v>149680614</v>
      </c>
      <c r="B809" s="10" t="n">
        <v>808</v>
      </c>
      <c r="C809" s="18" t="s">
        <v>43</v>
      </c>
      <c r="D809" s="9" t="s">
        <v>1714</v>
      </c>
      <c r="E809" s="9" t="s">
        <v>1715</v>
      </c>
      <c r="F809" s="9" t="s">
        <v>14</v>
      </c>
      <c r="G809" s="10" t="n">
        <v>2025</v>
      </c>
      <c r="H809" s="10" t="n">
        <v>10</v>
      </c>
      <c r="I809" s="19" t="n">
        <v>19800</v>
      </c>
      <c r="J809" s="19" t="n">
        <v>22000</v>
      </c>
      <c r="K809" s="10" t="n">
        <v>1100</v>
      </c>
      <c r="L809" s="10" t="n">
        <v>1692</v>
      </c>
      <c r="M809" s="10" t="n">
        <v>26</v>
      </c>
      <c r="N809" s="11" t="n">
        <v>9.7</v>
      </c>
      <c r="O809" s="18" t="s">
        <v>56</v>
      </c>
    </row>
    <row r="810" customFormat="false" ht="15" hidden="false" customHeight="false" outlineLevel="0" collapsed="false">
      <c r="A810" s="18" t="n">
        <v>149677992</v>
      </c>
      <c r="B810" s="10" t="n">
        <v>809</v>
      </c>
      <c r="C810" s="18" t="s">
        <v>43</v>
      </c>
      <c r="D810" s="9" t="s">
        <v>1716</v>
      </c>
      <c r="E810" s="9" t="s">
        <v>717</v>
      </c>
      <c r="F810" s="9" t="s">
        <v>514</v>
      </c>
      <c r="G810" s="10" t="n">
        <v>2025</v>
      </c>
      <c r="H810" s="10" t="n">
        <v>0</v>
      </c>
      <c r="I810" s="19" t="n">
        <v>38000</v>
      </c>
      <c r="J810" s="19" t="n">
        <v>38000</v>
      </c>
      <c r="K810" s="10" t="n">
        <v>0</v>
      </c>
      <c r="L810" s="10" t="n">
        <v>660</v>
      </c>
      <c r="M810" s="10" t="n">
        <v>0</v>
      </c>
      <c r="N810" s="11" t="n">
        <v>0</v>
      </c>
      <c r="O810" s="18" t="s">
        <v>56</v>
      </c>
    </row>
    <row r="811" customFormat="false" ht="15" hidden="false" customHeight="false" outlineLevel="0" collapsed="false">
      <c r="A811" s="18" t="n">
        <v>149659316</v>
      </c>
      <c r="B811" s="10" t="n">
        <v>810</v>
      </c>
      <c r="C811" s="18" t="s">
        <v>43</v>
      </c>
      <c r="D811" s="9" t="s">
        <v>1717</v>
      </c>
      <c r="E811" s="9" t="s">
        <v>1718</v>
      </c>
      <c r="F811" s="9" t="s">
        <v>735</v>
      </c>
      <c r="G811" s="10" t="n">
        <v>2025</v>
      </c>
      <c r="H811" s="10" t="n">
        <v>10</v>
      </c>
      <c r="I811" s="19" t="n">
        <v>24750</v>
      </c>
      <c r="J811" s="19" t="n">
        <v>27500</v>
      </c>
      <c r="K811" s="10" t="n">
        <v>1370</v>
      </c>
      <c r="L811" s="10" t="n">
        <v>1440</v>
      </c>
      <c r="M811" s="10" t="n">
        <v>23</v>
      </c>
      <c r="N811" s="11" t="n">
        <v>9.9</v>
      </c>
      <c r="O811" s="18" t="s">
        <v>56</v>
      </c>
    </row>
    <row r="812" customFormat="false" ht="15" hidden="false" customHeight="false" outlineLevel="0" collapsed="false">
      <c r="A812" s="18" t="n">
        <v>149607439</v>
      </c>
      <c r="B812" s="10" t="n">
        <v>811</v>
      </c>
      <c r="C812" s="18" t="s">
        <v>43</v>
      </c>
      <c r="D812" s="9" t="s">
        <v>1719</v>
      </c>
      <c r="E812" s="9" t="s">
        <v>1720</v>
      </c>
      <c r="F812" s="9" t="s">
        <v>747</v>
      </c>
      <c r="G812" s="10" t="n">
        <v>2025</v>
      </c>
      <c r="H812" s="10" t="n">
        <v>10</v>
      </c>
      <c r="I812" s="19" t="n">
        <v>13500</v>
      </c>
      <c r="J812" s="19" t="n">
        <v>15000</v>
      </c>
      <c r="K812" s="10" t="n">
        <v>750</v>
      </c>
      <c r="L812" s="10" t="n">
        <v>774</v>
      </c>
      <c r="M812" s="10" t="n">
        <v>2</v>
      </c>
      <c r="N812" s="11" t="n">
        <v>9</v>
      </c>
      <c r="O812" s="18" t="s">
        <v>56</v>
      </c>
    </row>
    <row r="813" customFormat="false" ht="15" hidden="false" customHeight="false" outlineLevel="0" collapsed="false">
      <c r="A813" s="18" t="n">
        <v>149597633</v>
      </c>
      <c r="B813" s="10" t="n">
        <v>812</v>
      </c>
      <c r="C813" s="18" t="s">
        <v>43</v>
      </c>
      <c r="D813" s="9" t="s">
        <v>1721</v>
      </c>
      <c r="E813" s="9" t="s">
        <v>1722</v>
      </c>
      <c r="F813" s="9" t="s">
        <v>322</v>
      </c>
      <c r="G813" s="10" t="n">
        <v>2025</v>
      </c>
      <c r="H813" s="10" t="n">
        <v>3</v>
      </c>
      <c r="I813" s="19" t="n">
        <v>32980</v>
      </c>
      <c r="J813" s="19" t="n">
        <v>34000</v>
      </c>
      <c r="K813" s="10" t="n">
        <v>0</v>
      </c>
      <c r="L813" s="10" t="n">
        <v>4110</v>
      </c>
      <c r="M813" s="10" t="n">
        <v>0</v>
      </c>
      <c r="N813" s="11" t="n">
        <v>0</v>
      </c>
      <c r="O813" s="18" t="s">
        <v>46</v>
      </c>
    </row>
    <row r="814" customFormat="false" ht="15" hidden="false" customHeight="false" outlineLevel="0" collapsed="false">
      <c r="A814" s="18" t="n">
        <v>149371895</v>
      </c>
      <c r="B814" s="10" t="n">
        <v>813</v>
      </c>
      <c r="C814" s="18" t="s">
        <v>43</v>
      </c>
      <c r="D814" s="15" t="s">
        <v>1723</v>
      </c>
      <c r="E814" s="9" t="s">
        <v>1724</v>
      </c>
      <c r="F814" s="9" t="s">
        <v>1725</v>
      </c>
      <c r="G814" s="10" t="n">
        <v>2025</v>
      </c>
      <c r="H814" s="10" t="n">
        <v>10</v>
      </c>
      <c r="I814" s="19" t="n">
        <v>16200</v>
      </c>
      <c r="J814" s="19" t="n">
        <v>18000</v>
      </c>
      <c r="K814" s="10" t="n">
        <v>900</v>
      </c>
      <c r="L814" s="10" t="n">
        <v>2040</v>
      </c>
      <c r="M814" s="10" t="n">
        <v>8</v>
      </c>
      <c r="N814" s="11" t="n">
        <v>10</v>
      </c>
      <c r="O814" s="18" t="s">
        <v>56</v>
      </c>
    </row>
    <row r="815" customFormat="false" ht="15" hidden="false" customHeight="false" outlineLevel="0" collapsed="false">
      <c r="A815" s="18" t="n">
        <v>149367930</v>
      </c>
      <c r="B815" s="10" t="n">
        <v>814</v>
      </c>
      <c r="C815" s="18" t="s">
        <v>43</v>
      </c>
      <c r="D815" s="9" t="s">
        <v>1726</v>
      </c>
      <c r="E815" s="9" t="s">
        <v>1727</v>
      </c>
      <c r="F815" s="9" t="s">
        <v>64</v>
      </c>
      <c r="G815" s="10" t="n">
        <v>2025</v>
      </c>
      <c r="H815" s="10" t="n">
        <v>10</v>
      </c>
      <c r="I815" s="19" t="n">
        <v>19800</v>
      </c>
      <c r="J815" s="19" t="n">
        <v>22000</v>
      </c>
      <c r="K815" s="10" t="n">
        <v>1100</v>
      </c>
      <c r="L815" s="10" t="n">
        <v>408</v>
      </c>
      <c r="M815" s="10" t="n">
        <v>0</v>
      </c>
      <c r="N815" s="11" t="n">
        <v>0</v>
      </c>
      <c r="O815" s="18" t="s">
        <v>56</v>
      </c>
    </row>
    <row r="816" customFormat="false" ht="15" hidden="false" customHeight="false" outlineLevel="0" collapsed="false">
      <c r="A816" s="18" t="n">
        <v>149201698</v>
      </c>
      <c r="B816" s="10" t="n">
        <v>815</v>
      </c>
      <c r="C816" s="18" t="s">
        <v>43</v>
      </c>
      <c r="D816" s="9" t="s">
        <v>1728</v>
      </c>
      <c r="E816" s="9" t="s">
        <v>1729</v>
      </c>
      <c r="F816" s="9" t="s">
        <v>12</v>
      </c>
      <c r="G816" s="10" t="n">
        <v>2025</v>
      </c>
      <c r="H816" s="10" t="n">
        <v>10</v>
      </c>
      <c r="I816" s="19" t="n">
        <v>28800</v>
      </c>
      <c r="J816" s="19" t="n">
        <v>32000</v>
      </c>
      <c r="K816" s="10" t="n">
        <v>1600</v>
      </c>
      <c r="L816" s="10" t="n">
        <v>3036</v>
      </c>
      <c r="M816" s="10" t="n">
        <v>14</v>
      </c>
      <c r="N816" s="11" t="n">
        <v>8.6</v>
      </c>
      <c r="O816" s="18" t="s">
        <v>56</v>
      </c>
    </row>
    <row r="817" customFormat="false" ht="15" hidden="false" customHeight="false" outlineLevel="0" collapsed="false">
      <c r="A817" s="18" t="n">
        <v>148696678</v>
      </c>
      <c r="B817" s="10" t="n">
        <v>816</v>
      </c>
      <c r="C817" s="18" t="s">
        <v>43</v>
      </c>
      <c r="D817" s="15" t="s">
        <v>1730</v>
      </c>
      <c r="E817" s="9" t="s">
        <v>1731</v>
      </c>
      <c r="F817" s="9" t="s">
        <v>25</v>
      </c>
      <c r="G817" s="10" t="n">
        <v>2025</v>
      </c>
      <c r="H817" s="10" t="n">
        <v>0</v>
      </c>
      <c r="I817" s="19" t="n">
        <v>12000</v>
      </c>
      <c r="J817" s="19" t="n">
        <v>12000</v>
      </c>
      <c r="K817" s="10" t="n">
        <v>0</v>
      </c>
      <c r="L817" s="10" t="n">
        <v>108</v>
      </c>
      <c r="M817" s="10" t="n">
        <v>0</v>
      </c>
      <c r="N817" s="11" t="n">
        <v>0</v>
      </c>
      <c r="O817" s="18" t="s">
        <v>56</v>
      </c>
    </row>
    <row r="818" customFormat="false" ht="15" hidden="false" customHeight="false" outlineLevel="0" collapsed="false">
      <c r="A818" s="18" t="n">
        <v>148684384</v>
      </c>
      <c r="B818" s="10" t="n">
        <v>817</v>
      </c>
      <c r="C818" s="18" t="s">
        <v>43</v>
      </c>
      <c r="D818" s="15" t="s">
        <v>1732</v>
      </c>
      <c r="E818" s="9" t="s">
        <v>825</v>
      </c>
      <c r="F818" s="9" t="s">
        <v>12</v>
      </c>
      <c r="G818" s="10" t="n">
        <v>2025</v>
      </c>
      <c r="H818" s="10" t="n">
        <v>10</v>
      </c>
      <c r="I818" s="19" t="n">
        <v>25200</v>
      </c>
      <c r="J818" s="19" t="n">
        <v>28000</v>
      </c>
      <c r="K818" s="10" t="n">
        <v>1400</v>
      </c>
      <c r="L818" s="10" t="n">
        <v>1704</v>
      </c>
      <c r="M818" s="10" t="n">
        <v>17</v>
      </c>
      <c r="N818" s="11" t="n">
        <v>9.8</v>
      </c>
      <c r="O818" s="18" t="s">
        <v>56</v>
      </c>
    </row>
    <row r="819" customFormat="false" ht="15" hidden="false" customHeight="false" outlineLevel="0" collapsed="false">
      <c r="A819" s="18" t="n">
        <v>148412805</v>
      </c>
      <c r="B819" s="10" t="n">
        <v>818</v>
      </c>
      <c r="C819" s="18" t="s">
        <v>43</v>
      </c>
      <c r="D819" s="15" t="s">
        <v>1733</v>
      </c>
      <c r="E819" s="9" t="s">
        <v>1734</v>
      </c>
      <c r="F819" s="9" t="s">
        <v>21</v>
      </c>
      <c r="G819" s="10" t="n">
        <v>2025</v>
      </c>
      <c r="H819" s="10" t="n">
        <v>10</v>
      </c>
      <c r="I819" s="19" t="n">
        <v>27000</v>
      </c>
      <c r="J819" s="19" t="n">
        <v>30000</v>
      </c>
      <c r="K819" s="10" t="n">
        <v>1500</v>
      </c>
      <c r="L819" s="10" t="n">
        <v>1416</v>
      </c>
      <c r="M819" s="10" t="n">
        <v>1</v>
      </c>
      <c r="N819" s="11" t="n">
        <v>10</v>
      </c>
      <c r="O819" s="18" t="s">
        <v>56</v>
      </c>
    </row>
    <row r="820" customFormat="false" ht="15" hidden="false" customHeight="false" outlineLevel="0" collapsed="false">
      <c r="A820" s="18" t="n">
        <v>148412688</v>
      </c>
      <c r="B820" s="10" t="n">
        <v>819</v>
      </c>
      <c r="C820" s="18" t="s">
        <v>43</v>
      </c>
      <c r="D820" s="15" t="s">
        <v>1735</v>
      </c>
      <c r="E820" s="9" t="s">
        <v>1736</v>
      </c>
      <c r="F820" s="9" t="s">
        <v>25</v>
      </c>
      <c r="G820" s="10" t="n">
        <v>2025</v>
      </c>
      <c r="H820" s="10" t="n">
        <v>0</v>
      </c>
      <c r="I820" s="19" t="n">
        <v>12000</v>
      </c>
      <c r="J820" s="19" t="n">
        <v>12000</v>
      </c>
      <c r="K820" s="10" t="n">
        <v>0</v>
      </c>
      <c r="L820" s="10" t="n">
        <v>96</v>
      </c>
      <c r="M820" s="10" t="n">
        <v>0</v>
      </c>
      <c r="N820" s="11" t="n">
        <v>0</v>
      </c>
      <c r="O820" s="18" t="s">
        <v>56</v>
      </c>
    </row>
    <row r="821" customFormat="false" ht="15" hidden="false" customHeight="false" outlineLevel="0" collapsed="false">
      <c r="A821" s="18" t="n">
        <v>148350160</v>
      </c>
      <c r="B821" s="10" t="n">
        <v>820</v>
      </c>
      <c r="C821" s="18" t="s">
        <v>43</v>
      </c>
      <c r="D821" s="15" t="s">
        <v>1737</v>
      </c>
      <c r="E821" s="9" t="s">
        <v>1738</v>
      </c>
      <c r="F821" s="9" t="s">
        <v>23</v>
      </c>
      <c r="G821" s="10" t="n">
        <v>2025</v>
      </c>
      <c r="H821" s="10" t="n">
        <v>10</v>
      </c>
      <c r="I821" s="19" t="n">
        <v>19800</v>
      </c>
      <c r="J821" s="19" t="n">
        <v>22000</v>
      </c>
      <c r="K821" s="10" t="n">
        <v>1100</v>
      </c>
      <c r="L821" s="10" t="n">
        <v>3414</v>
      </c>
      <c r="M821" s="10" t="n">
        <v>8</v>
      </c>
      <c r="N821" s="11" t="n">
        <v>9.5</v>
      </c>
      <c r="O821" s="18" t="s">
        <v>56</v>
      </c>
    </row>
    <row r="822" customFormat="false" ht="15" hidden="false" customHeight="false" outlineLevel="0" collapsed="false">
      <c r="A822" s="18" t="n">
        <v>148346480</v>
      </c>
      <c r="B822" s="10" t="n">
        <v>821</v>
      </c>
      <c r="C822" s="18" t="s">
        <v>43</v>
      </c>
      <c r="D822" s="9" t="s">
        <v>1739</v>
      </c>
      <c r="E822" s="9" t="s">
        <v>426</v>
      </c>
      <c r="F822" s="9" t="s">
        <v>514</v>
      </c>
      <c r="G822" s="10" t="n">
        <v>2025</v>
      </c>
      <c r="H822" s="10" t="n">
        <v>0</v>
      </c>
      <c r="I822" s="19" t="n">
        <v>25000</v>
      </c>
      <c r="J822" s="19" t="n">
        <v>25000</v>
      </c>
      <c r="K822" s="10" t="n">
        <v>0</v>
      </c>
      <c r="L822" s="10" t="n">
        <v>3444</v>
      </c>
      <c r="M822" s="10" t="n">
        <v>0</v>
      </c>
      <c r="N822" s="11" t="n">
        <v>0</v>
      </c>
      <c r="O822" s="18" t="s">
        <v>46</v>
      </c>
    </row>
    <row r="823" customFormat="false" ht="15" hidden="false" customHeight="false" outlineLevel="0" collapsed="false">
      <c r="A823" s="18" t="n">
        <v>148343230</v>
      </c>
      <c r="B823" s="10" t="n">
        <v>822</v>
      </c>
      <c r="C823" s="18" t="s">
        <v>43</v>
      </c>
      <c r="D823" s="15" t="s">
        <v>1740</v>
      </c>
      <c r="E823" s="9" t="s">
        <v>1741</v>
      </c>
      <c r="F823" s="9" t="s">
        <v>25</v>
      </c>
      <c r="G823" s="10" t="n">
        <v>2025</v>
      </c>
      <c r="H823" s="10" t="n">
        <v>0</v>
      </c>
      <c r="I823" s="19" t="n">
        <v>25000</v>
      </c>
      <c r="J823" s="19" t="n">
        <v>25000</v>
      </c>
      <c r="K823" s="10" t="n">
        <v>0</v>
      </c>
      <c r="L823" s="10" t="n">
        <v>60</v>
      </c>
      <c r="M823" s="10" t="n">
        <v>0</v>
      </c>
      <c r="N823" s="11" t="n">
        <v>0</v>
      </c>
      <c r="O823" s="18" t="s">
        <v>56</v>
      </c>
    </row>
    <row r="824" customFormat="false" ht="15" hidden="false" customHeight="false" outlineLevel="0" collapsed="false">
      <c r="A824" s="18" t="n">
        <v>148195000</v>
      </c>
      <c r="B824" s="10" t="n">
        <v>823</v>
      </c>
      <c r="C824" s="18" t="s">
        <v>43</v>
      </c>
      <c r="D824" s="9" t="s">
        <v>1742</v>
      </c>
      <c r="E824" s="9" t="s">
        <v>1743</v>
      </c>
      <c r="F824" s="9" t="s">
        <v>1654</v>
      </c>
      <c r="G824" s="10" t="n">
        <v>2025</v>
      </c>
      <c r="H824" s="10" t="n">
        <v>10</v>
      </c>
      <c r="I824" s="19" t="n">
        <v>12600</v>
      </c>
      <c r="J824" s="19" t="n">
        <v>14000</v>
      </c>
      <c r="K824" s="10" t="n">
        <v>700</v>
      </c>
      <c r="L824" s="10" t="n">
        <v>645</v>
      </c>
      <c r="M824" s="10" t="n">
        <v>0</v>
      </c>
      <c r="N824" s="11" t="n">
        <v>0</v>
      </c>
      <c r="O824" s="18" t="s">
        <v>56</v>
      </c>
    </row>
    <row r="825" customFormat="false" ht="15" hidden="false" customHeight="false" outlineLevel="0" collapsed="false">
      <c r="A825" s="18" t="n">
        <v>148184184</v>
      </c>
      <c r="B825" s="10" t="n">
        <v>824</v>
      </c>
      <c r="C825" s="18" t="s">
        <v>43</v>
      </c>
      <c r="D825" s="9" t="s">
        <v>1744</v>
      </c>
      <c r="E825" s="9" t="s">
        <v>1745</v>
      </c>
      <c r="F825" s="9" t="s">
        <v>12</v>
      </c>
      <c r="G825" s="10" t="n">
        <v>2025</v>
      </c>
      <c r="H825" s="10" t="n">
        <v>10</v>
      </c>
      <c r="I825" s="19" t="n">
        <v>21600</v>
      </c>
      <c r="J825" s="19" t="n">
        <v>24000</v>
      </c>
      <c r="K825" s="10" t="n">
        <v>1200</v>
      </c>
      <c r="L825" s="10" t="n">
        <v>2130</v>
      </c>
      <c r="M825" s="10" t="n">
        <v>8</v>
      </c>
      <c r="N825" s="11" t="n">
        <v>9.8</v>
      </c>
      <c r="O825" s="18" t="s">
        <v>56</v>
      </c>
    </row>
    <row r="826" customFormat="false" ht="15" hidden="false" customHeight="false" outlineLevel="0" collapsed="false">
      <c r="A826" s="18" t="n">
        <v>148181079</v>
      </c>
      <c r="B826" s="10" t="n">
        <v>825</v>
      </c>
      <c r="C826" s="18" t="s">
        <v>43</v>
      </c>
      <c r="D826" s="9" t="s">
        <v>1746</v>
      </c>
      <c r="E826" s="9" t="s">
        <v>1747</v>
      </c>
      <c r="F826" s="9" t="s">
        <v>12</v>
      </c>
      <c r="G826" s="10" t="n">
        <v>2025</v>
      </c>
      <c r="H826" s="10" t="n">
        <v>10</v>
      </c>
      <c r="I826" s="19" t="n">
        <v>29700</v>
      </c>
      <c r="J826" s="19" t="n">
        <v>33000</v>
      </c>
      <c r="K826" s="10" t="n">
        <v>1650</v>
      </c>
      <c r="L826" s="10" t="n">
        <v>1362</v>
      </c>
      <c r="M826" s="10" t="n">
        <v>8</v>
      </c>
      <c r="N826" s="11" t="n">
        <v>9.8</v>
      </c>
      <c r="O826" s="18" t="s">
        <v>56</v>
      </c>
    </row>
    <row r="827" customFormat="false" ht="15" hidden="false" customHeight="false" outlineLevel="0" collapsed="false">
      <c r="A827" s="18" t="n">
        <v>148173979</v>
      </c>
      <c r="B827" s="10" t="n">
        <v>826</v>
      </c>
      <c r="C827" s="18" t="s">
        <v>43</v>
      </c>
      <c r="D827" s="15" t="s">
        <v>1748</v>
      </c>
      <c r="E827" s="9" t="s">
        <v>1749</v>
      </c>
      <c r="F827" s="9" t="s">
        <v>116</v>
      </c>
      <c r="G827" s="10" t="n">
        <v>2025</v>
      </c>
      <c r="H827" s="10" t="n">
        <v>10</v>
      </c>
      <c r="I827" s="19" t="n">
        <v>16920</v>
      </c>
      <c r="J827" s="19" t="n">
        <v>18800</v>
      </c>
      <c r="K827" s="10" t="n">
        <v>940</v>
      </c>
      <c r="L827" s="10" t="n">
        <v>2238</v>
      </c>
      <c r="M827" s="10" t="n">
        <v>2</v>
      </c>
      <c r="N827" s="11" t="n">
        <v>8</v>
      </c>
      <c r="O827" s="18" t="s">
        <v>56</v>
      </c>
    </row>
    <row r="828" customFormat="false" ht="15" hidden="false" customHeight="false" outlineLevel="0" collapsed="false">
      <c r="A828" s="18" t="n">
        <v>148082413</v>
      </c>
      <c r="B828" s="10" t="n">
        <v>827</v>
      </c>
      <c r="C828" s="18" t="s">
        <v>43</v>
      </c>
      <c r="D828" s="9" t="s">
        <v>1750</v>
      </c>
      <c r="E828" s="9" t="s">
        <v>1751</v>
      </c>
      <c r="F828" s="9" t="s">
        <v>615</v>
      </c>
      <c r="G828" s="10" t="n">
        <v>2025</v>
      </c>
      <c r="H828" s="10" t="n">
        <v>10</v>
      </c>
      <c r="I828" s="19" t="n">
        <v>22500</v>
      </c>
      <c r="J828" s="19" t="n">
        <v>25000</v>
      </c>
      <c r="K828" s="10" t="n">
        <v>1250</v>
      </c>
      <c r="L828" s="10" t="n">
        <v>3798</v>
      </c>
      <c r="M828" s="10" t="n">
        <v>52</v>
      </c>
      <c r="N828" s="11" t="n">
        <v>10</v>
      </c>
      <c r="O828" s="18" t="s">
        <v>56</v>
      </c>
    </row>
    <row r="829" customFormat="false" ht="15" hidden="false" customHeight="false" outlineLevel="0" collapsed="false">
      <c r="A829" s="18" t="n">
        <v>148080194</v>
      </c>
      <c r="B829" s="10" t="n">
        <v>828</v>
      </c>
      <c r="C829" s="18" t="s">
        <v>43</v>
      </c>
      <c r="D829" s="9" t="s">
        <v>1752</v>
      </c>
      <c r="E829" s="9" t="s">
        <v>1720</v>
      </c>
      <c r="F829" s="9" t="s">
        <v>747</v>
      </c>
      <c r="G829" s="10" t="n">
        <v>2025</v>
      </c>
      <c r="H829" s="10" t="n">
        <v>10</v>
      </c>
      <c r="I829" s="19" t="n">
        <v>13500</v>
      </c>
      <c r="J829" s="19" t="n">
        <v>15000</v>
      </c>
      <c r="K829" s="10" t="n">
        <v>750</v>
      </c>
      <c r="L829" s="10" t="n">
        <v>3312</v>
      </c>
      <c r="M829" s="10" t="n">
        <v>1</v>
      </c>
      <c r="N829" s="11" t="n">
        <v>10</v>
      </c>
      <c r="O829" s="18" t="s">
        <v>56</v>
      </c>
    </row>
    <row r="830" customFormat="false" ht="15" hidden="false" customHeight="false" outlineLevel="0" collapsed="false">
      <c r="A830" s="18" t="n">
        <v>148062602</v>
      </c>
      <c r="B830" s="10" t="n">
        <v>829</v>
      </c>
      <c r="C830" s="18" t="s">
        <v>43</v>
      </c>
      <c r="D830" s="9" t="s">
        <v>1753</v>
      </c>
      <c r="E830" s="9" t="s">
        <v>1754</v>
      </c>
      <c r="F830" s="9" t="s">
        <v>23</v>
      </c>
      <c r="G830" s="10" t="n">
        <v>2025</v>
      </c>
      <c r="H830" s="10" t="n">
        <v>10</v>
      </c>
      <c r="I830" s="19" t="n">
        <v>34200</v>
      </c>
      <c r="J830" s="19" t="n">
        <v>38000</v>
      </c>
      <c r="K830" s="10" t="n">
        <v>1900</v>
      </c>
      <c r="L830" s="10" t="n">
        <v>768</v>
      </c>
      <c r="M830" s="10" t="n">
        <v>13</v>
      </c>
      <c r="N830" s="11" t="n">
        <v>10</v>
      </c>
      <c r="O830" s="18" t="s">
        <v>46</v>
      </c>
    </row>
    <row r="831" customFormat="false" ht="15" hidden="false" customHeight="false" outlineLevel="0" collapsed="false">
      <c r="A831" s="18" t="n">
        <v>147852391</v>
      </c>
      <c r="B831" s="10" t="n">
        <v>830</v>
      </c>
      <c r="C831" s="18" t="s">
        <v>43</v>
      </c>
      <c r="D831" s="9" t="s">
        <v>1755</v>
      </c>
      <c r="E831" s="9" t="s">
        <v>1756</v>
      </c>
      <c r="F831" s="9" t="s">
        <v>12</v>
      </c>
      <c r="G831" s="10" t="n">
        <v>2025</v>
      </c>
      <c r="H831" s="10" t="n">
        <v>10</v>
      </c>
      <c r="I831" s="19" t="n">
        <v>23400</v>
      </c>
      <c r="J831" s="19" t="n">
        <v>26000</v>
      </c>
      <c r="K831" s="10" t="n">
        <v>1300</v>
      </c>
      <c r="L831" s="10" t="n">
        <v>900</v>
      </c>
      <c r="M831" s="10" t="n">
        <v>19</v>
      </c>
      <c r="N831" s="11" t="n">
        <v>9.9</v>
      </c>
      <c r="O831" s="18" t="s">
        <v>56</v>
      </c>
    </row>
    <row r="832" customFormat="false" ht="15" hidden="false" customHeight="false" outlineLevel="0" collapsed="false">
      <c r="A832" s="18" t="n">
        <v>147812860</v>
      </c>
      <c r="B832" s="10" t="n">
        <v>831</v>
      </c>
      <c r="C832" s="18" t="s">
        <v>43</v>
      </c>
      <c r="D832" s="9" t="s">
        <v>1757</v>
      </c>
      <c r="E832" s="15" t="s">
        <v>1758</v>
      </c>
      <c r="F832" s="15" t="s">
        <v>680</v>
      </c>
      <c r="G832" s="10" t="n">
        <v>2025</v>
      </c>
      <c r="H832" s="10" t="n">
        <v>5</v>
      </c>
      <c r="I832" s="19" t="n">
        <v>46450</v>
      </c>
      <c r="J832" s="19" t="n">
        <v>48900</v>
      </c>
      <c r="K832" s="10" t="n">
        <v>970</v>
      </c>
      <c r="L832" s="10" t="n">
        <v>276</v>
      </c>
      <c r="M832" s="10" t="n">
        <v>1</v>
      </c>
      <c r="N832" s="11" t="n">
        <v>10</v>
      </c>
      <c r="O832" s="18" t="s">
        <v>56</v>
      </c>
    </row>
    <row r="833" customFormat="false" ht="15" hidden="false" customHeight="false" outlineLevel="0" collapsed="false">
      <c r="A833" s="18" t="n">
        <v>147759656</v>
      </c>
      <c r="B833" s="10" t="n">
        <v>832</v>
      </c>
      <c r="C833" s="18" t="s">
        <v>43</v>
      </c>
      <c r="D833" s="9" t="s">
        <v>1759</v>
      </c>
      <c r="E833" s="9" t="s">
        <v>1760</v>
      </c>
      <c r="F833" s="9" t="s">
        <v>732</v>
      </c>
      <c r="G833" s="10" t="n">
        <v>2025</v>
      </c>
      <c r="H833" s="10" t="n">
        <v>0</v>
      </c>
      <c r="I833" s="19" t="n">
        <v>32000</v>
      </c>
      <c r="J833" s="19" t="n">
        <v>32000</v>
      </c>
      <c r="K833" s="10" t="n">
        <v>0</v>
      </c>
      <c r="L833" s="10" t="n">
        <v>420</v>
      </c>
      <c r="M833" s="10" t="n">
        <v>0</v>
      </c>
      <c r="N833" s="11" t="n">
        <v>0</v>
      </c>
      <c r="O833" s="18" t="s">
        <v>56</v>
      </c>
    </row>
    <row r="834" customFormat="false" ht="15" hidden="false" customHeight="false" outlineLevel="0" collapsed="false">
      <c r="A834" s="18" t="n">
        <v>147751339</v>
      </c>
      <c r="B834" s="10" t="n">
        <v>833</v>
      </c>
      <c r="C834" s="18" t="s">
        <v>43</v>
      </c>
      <c r="D834" s="9" t="s">
        <v>1761</v>
      </c>
      <c r="E834" s="9" t="s">
        <v>1762</v>
      </c>
      <c r="F834" s="9" t="s">
        <v>1654</v>
      </c>
      <c r="G834" s="10" t="n">
        <v>2025</v>
      </c>
      <c r="H834" s="10" t="n">
        <v>10</v>
      </c>
      <c r="I834" s="19" t="n">
        <v>13500</v>
      </c>
      <c r="J834" s="19" t="n">
        <v>15000</v>
      </c>
      <c r="K834" s="10" t="n">
        <v>750</v>
      </c>
      <c r="L834" s="10" t="n">
        <v>654</v>
      </c>
      <c r="M834" s="10" t="n">
        <v>0</v>
      </c>
      <c r="N834" s="11" t="n">
        <v>0</v>
      </c>
      <c r="O834" s="18" t="s">
        <v>56</v>
      </c>
    </row>
    <row r="835" customFormat="false" ht="15" hidden="false" customHeight="false" outlineLevel="0" collapsed="false">
      <c r="A835" s="18" t="n">
        <v>147562901</v>
      </c>
      <c r="B835" s="10" t="n">
        <v>834</v>
      </c>
      <c r="C835" s="18" t="s">
        <v>43</v>
      </c>
      <c r="D835" s="15" t="s">
        <v>1763</v>
      </c>
      <c r="E835" s="9" t="s">
        <v>1764</v>
      </c>
      <c r="F835" s="9" t="s">
        <v>16</v>
      </c>
      <c r="G835" s="10" t="n">
        <v>2025</v>
      </c>
      <c r="H835" s="10" t="n">
        <v>10</v>
      </c>
      <c r="I835" s="19" t="n">
        <v>19800</v>
      </c>
      <c r="J835" s="19" t="n">
        <v>22000</v>
      </c>
      <c r="K835" s="10" t="n">
        <v>1100</v>
      </c>
      <c r="L835" s="10" t="n">
        <v>5790</v>
      </c>
      <c r="M835" s="10" t="n">
        <v>10</v>
      </c>
      <c r="N835" s="11" t="n">
        <v>9.4</v>
      </c>
      <c r="O835" s="18" t="s">
        <v>56</v>
      </c>
    </row>
    <row r="836" customFormat="false" ht="15" hidden="false" customHeight="false" outlineLevel="0" collapsed="false">
      <c r="A836" s="18" t="n">
        <v>147562377</v>
      </c>
      <c r="B836" s="10" t="n">
        <v>835</v>
      </c>
      <c r="C836" s="18" t="s">
        <v>43</v>
      </c>
      <c r="D836" s="15" t="s">
        <v>1765</v>
      </c>
      <c r="E836" s="9" t="s">
        <v>1766</v>
      </c>
      <c r="F836" s="9" t="s">
        <v>14</v>
      </c>
      <c r="G836" s="10" t="n">
        <v>2025</v>
      </c>
      <c r="H836" s="10" t="n">
        <v>10</v>
      </c>
      <c r="I836" s="19" t="n">
        <v>35100</v>
      </c>
      <c r="J836" s="19" t="n">
        <v>39000</v>
      </c>
      <c r="K836" s="10" t="n">
        <v>1950</v>
      </c>
      <c r="L836" s="10" t="n">
        <v>1944</v>
      </c>
      <c r="M836" s="10" t="n">
        <v>14</v>
      </c>
      <c r="N836" s="11" t="n">
        <v>9.7</v>
      </c>
      <c r="O836" s="18" t="s">
        <v>56</v>
      </c>
    </row>
    <row r="837" customFormat="false" ht="15" hidden="false" customHeight="false" outlineLevel="0" collapsed="false">
      <c r="A837" s="18" t="n">
        <v>147561155</v>
      </c>
      <c r="B837" s="10" t="n">
        <v>836</v>
      </c>
      <c r="C837" s="18" t="s">
        <v>43</v>
      </c>
      <c r="D837" s="9" t="s">
        <v>1767</v>
      </c>
      <c r="E837" s="9" t="s">
        <v>1768</v>
      </c>
      <c r="F837" s="9" t="s">
        <v>12</v>
      </c>
      <c r="G837" s="10" t="n">
        <v>2025</v>
      </c>
      <c r="H837" s="10" t="n">
        <v>10</v>
      </c>
      <c r="I837" s="19" t="n">
        <v>20700</v>
      </c>
      <c r="J837" s="19" t="n">
        <v>23000</v>
      </c>
      <c r="K837" s="10" t="n">
        <v>1150</v>
      </c>
      <c r="L837" s="10" t="n">
        <v>4896</v>
      </c>
      <c r="M837" s="10" t="n">
        <v>34</v>
      </c>
      <c r="N837" s="11" t="n">
        <v>9.8</v>
      </c>
      <c r="O837" s="18" t="s">
        <v>46</v>
      </c>
    </row>
    <row r="838" customFormat="false" ht="15" hidden="false" customHeight="false" outlineLevel="0" collapsed="false">
      <c r="A838" s="18" t="n">
        <v>147561128</v>
      </c>
      <c r="B838" s="10" t="n">
        <v>837</v>
      </c>
      <c r="C838" s="18" t="s">
        <v>43</v>
      </c>
      <c r="D838" s="9" t="s">
        <v>1769</v>
      </c>
      <c r="E838" s="9" t="s">
        <v>1770</v>
      </c>
      <c r="F838" s="9" t="s">
        <v>1274</v>
      </c>
      <c r="G838" s="10" t="n">
        <v>2025</v>
      </c>
      <c r="H838" s="10" t="n">
        <v>0</v>
      </c>
      <c r="I838" s="19" t="n">
        <v>33000</v>
      </c>
      <c r="J838" s="19" t="n">
        <v>33000</v>
      </c>
      <c r="K838" s="10" t="n">
        <v>1650</v>
      </c>
      <c r="L838" s="10" t="n">
        <v>402</v>
      </c>
      <c r="M838" s="10" t="n">
        <v>1</v>
      </c>
      <c r="N838" s="11" t="n">
        <v>10</v>
      </c>
      <c r="O838" s="18" t="s">
        <v>56</v>
      </c>
    </row>
    <row r="839" customFormat="false" ht="15" hidden="false" customHeight="false" outlineLevel="0" collapsed="false">
      <c r="A839" s="18" t="n">
        <v>147346451</v>
      </c>
      <c r="B839" s="10" t="n">
        <v>838</v>
      </c>
      <c r="C839" s="18" t="s">
        <v>43</v>
      </c>
      <c r="D839" s="15" t="s">
        <v>1771</v>
      </c>
      <c r="E839" s="9" t="s">
        <v>1772</v>
      </c>
      <c r="F839" s="9" t="s">
        <v>1509</v>
      </c>
      <c r="G839" s="10" t="n">
        <v>2025</v>
      </c>
      <c r="H839" s="10" t="n">
        <v>10</v>
      </c>
      <c r="I839" s="19" t="n">
        <v>15300</v>
      </c>
      <c r="J839" s="19" t="n">
        <v>17000</v>
      </c>
      <c r="K839" s="10" t="n">
        <v>850</v>
      </c>
      <c r="L839" s="10" t="n">
        <v>504</v>
      </c>
      <c r="M839" s="10" t="n">
        <v>0</v>
      </c>
      <c r="N839" s="11" t="n">
        <v>0</v>
      </c>
      <c r="O839" s="18" t="s">
        <v>56</v>
      </c>
    </row>
    <row r="840" customFormat="false" ht="15" hidden="false" customHeight="false" outlineLevel="0" collapsed="false">
      <c r="A840" s="18" t="n">
        <v>147341992</v>
      </c>
      <c r="B840" s="10" t="n">
        <v>839</v>
      </c>
      <c r="C840" s="18" t="s">
        <v>43</v>
      </c>
      <c r="D840" s="9" t="s">
        <v>1773</v>
      </c>
      <c r="E840" s="9" t="s">
        <v>1774</v>
      </c>
      <c r="F840" s="9" t="s">
        <v>552</v>
      </c>
      <c r="G840" s="10" t="n">
        <v>2025</v>
      </c>
      <c r="H840" s="10" t="n">
        <v>10</v>
      </c>
      <c r="I840" s="19" t="n">
        <v>22500</v>
      </c>
      <c r="J840" s="19" t="n">
        <v>25000</v>
      </c>
      <c r="K840" s="10" t="n">
        <v>1250</v>
      </c>
      <c r="L840" s="10" t="n">
        <v>1266</v>
      </c>
      <c r="M840" s="10" t="n">
        <v>24</v>
      </c>
      <c r="N840" s="11" t="n">
        <v>9.8</v>
      </c>
      <c r="O840" s="18" t="s">
        <v>56</v>
      </c>
    </row>
    <row r="841" customFormat="false" ht="15" hidden="false" customHeight="false" outlineLevel="0" collapsed="false">
      <c r="A841" s="18" t="n">
        <v>147316336</v>
      </c>
      <c r="B841" s="10" t="n">
        <v>840</v>
      </c>
      <c r="C841" s="18" t="s">
        <v>43</v>
      </c>
      <c r="D841" s="9" t="s">
        <v>1775</v>
      </c>
      <c r="E841" s="9" t="s">
        <v>1776</v>
      </c>
      <c r="F841" s="9" t="s">
        <v>1777</v>
      </c>
      <c r="G841" s="10" t="n">
        <v>2025</v>
      </c>
      <c r="H841" s="10" t="n">
        <v>5</v>
      </c>
      <c r="I841" s="19" t="n">
        <v>15200</v>
      </c>
      <c r="J841" s="19" t="n">
        <v>16000</v>
      </c>
      <c r="K841" s="10" t="n">
        <v>320</v>
      </c>
      <c r="L841" s="10" t="n">
        <v>162</v>
      </c>
      <c r="M841" s="10" t="n">
        <v>0</v>
      </c>
      <c r="N841" s="11" t="n">
        <v>0</v>
      </c>
      <c r="O841" s="18" t="s">
        <v>56</v>
      </c>
    </row>
    <row r="842" customFormat="false" ht="15" hidden="false" customHeight="false" outlineLevel="0" collapsed="false">
      <c r="A842" s="18" t="n">
        <v>147132535</v>
      </c>
      <c r="B842" s="10" t="n">
        <v>841</v>
      </c>
      <c r="C842" s="18" t="s">
        <v>43</v>
      </c>
      <c r="D842" s="9" t="s">
        <v>1778</v>
      </c>
      <c r="E842" s="9" t="s">
        <v>1140</v>
      </c>
      <c r="F842" s="9" t="s">
        <v>161</v>
      </c>
      <c r="G842" s="10" t="n">
        <v>2025</v>
      </c>
      <c r="H842" s="10" t="n">
        <v>10</v>
      </c>
      <c r="I842" s="19" t="n">
        <v>13500</v>
      </c>
      <c r="J842" s="19" t="n">
        <v>15000</v>
      </c>
      <c r="K842" s="10" t="n">
        <v>750</v>
      </c>
      <c r="L842" s="10" t="n">
        <v>546</v>
      </c>
      <c r="M842" s="10" t="n">
        <v>0</v>
      </c>
      <c r="N842" s="11" t="n">
        <v>0</v>
      </c>
      <c r="O842" s="18" t="s">
        <v>56</v>
      </c>
    </row>
    <row r="843" customFormat="false" ht="15" hidden="false" customHeight="false" outlineLevel="0" collapsed="false">
      <c r="A843" s="18" t="n">
        <v>147129792</v>
      </c>
      <c r="B843" s="10" t="n">
        <v>842</v>
      </c>
      <c r="C843" s="18" t="s">
        <v>43</v>
      </c>
      <c r="D843" s="9" t="s">
        <v>1779</v>
      </c>
      <c r="E843" s="9" t="s">
        <v>1780</v>
      </c>
      <c r="F843" s="9" t="s">
        <v>23</v>
      </c>
      <c r="G843" s="10" t="n">
        <v>2025</v>
      </c>
      <c r="H843" s="10" t="n">
        <v>10</v>
      </c>
      <c r="I843" s="19" t="n">
        <v>19800</v>
      </c>
      <c r="J843" s="19" t="n">
        <v>22000</v>
      </c>
      <c r="K843" s="10" t="n">
        <v>1100</v>
      </c>
      <c r="L843" s="10" t="n">
        <v>1146</v>
      </c>
      <c r="M843" s="10" t="n">
        <v>14</v>
      </c>
      <c r="N843" s="11" t="n">
        <v>10</v>
      </c>
      <c r="O843" s="18" t="s">
        <v>56</v>
      </c>
    </row>
    <row r="844" customFormat="false" ht="15" hidden="false" customHeight="false" outlineLevel="0" collapsed="false">
      <c r="A844" s="18" t="n">
        <v>147123137</v>
      </c>
      <c r="B844" s="10" t="n">
        <v>843</v>
      </c>
      <c r="C844" s="18" t="s">
        <v>43</v>
      </c>
      <c r="D844" s="9" t="s">
        <v>1781</v>
      </c>
      <c r="E844" s="9" t="s">
        <v>1782</v>
      </c>
      <c r="F844" s="9" t="s">
        <v>21</v>
      </c>
      <c r="G844" s="10" t="n">
        <v>2025</v>
      </c>
      <c r="H844" s="10" t="n">
        <v>10</v>
      </c>
      <c r="I844" s="19" t="n">
        <v>31500</v>
      </c>
      <c r="J844" s="19" t="n">
        <v>35000</v>
      </c>
      <c r="K844" s="10" t="n">
        <v>1750</v>
      </c>
      <c r="L844" s="10" t="n">
        <v>2052</v>
      </c>
      <c r="M844" s="10" t="n">
        <v>0</v>
      </c>
      <c r="N844" s="11" t="n">
        <v>0</v>
      </c>
      <c r="O844" s="18" t="s">
        <v>56</v>
      </c>
    </row>
    <row r="845" customFormat="false" ht="15" hidden="false" customHeight="false" outlineLevel="0" collapsed="false">
      <c r="A845" s="18" t="n">
        <v>147103661</v>
      </c>
      <c r="B845" s="10" t="n">
        <v>844</v>
      </c>
      <c r="C845" s="18" t="s">
        <v>43</v>
      </c>
      <c r="D845" s="9" t="s">
        <v>1783</v>
      </c>
      <c r="E845" s="9" t="s">
        <v>1784</v>
      </c>
      <c r="F845" s="9" t="s">
        <v>23</v>
      </c>
      <c r="G845" s="10" t="n">
        <v>2025</v>
      </c>
      <c r="H845" s="10" t="n">
        <v>10</v>
      </c>
      <c r="I845" s="19" t="n">
        <v>18000</v>
      </c>
      <c r="J845" s="19" t="n">
        <v>20000</v>
      </c>
      <c r="K845" s="10" t="n">
        <v>1000</v>
      </c>
      <c r="L845" s="10" t="n">
        <v>2637</v>
      </c>
      <c r="M845" s="10" t="n">
        <v>9</v>
      </c>
      <c r="N845" s="11" t="n">
        <v>10</v>
      </c>
      <c r="O845" s="18" t="s">
        <v>56</v>
      </c>
    </row>
    <row r="846" customFormat="false" ht="15" hidden="false" customHeight="false" outlineLevel="0" collapsed="false">
      <c r="A846" s="18" t="n">
        <v>147098142</v>
      </c>
      <c r="B846" s="10" t="n">
        <v>845</v>
      </c>
      <c r="C846" s="18" t="s">
        <v>43</v>
      </c>
      <c r="D846" s="9" t="s">
        <v>1785</v>
      </c>
      <c r="E846" s="9" t="s">
        <v>1786</v>
      </c>
      <c r="F846" s="9" t="s">
        <v>17</v>
      </c>
      <c r="G846" s="10" t="n">
        <v>2025</v>
      </c>
      <c r="H846" s="10" t="n">
        <v>10</v>
      </c>
      <c r="I846" s="19" t="n">
        <v>15120</v>
      </c>
      <c r="J846" s="19" t="n">
        <v>16800</v>
      </c>
      <c r="K846" s="10" t="n">
        <v>840</v>
      </c>
      <c r="L846" s="10" t="n">
        <v>609</v>
      </c>
      <c r="M846" s="10" t="n">
        <v>31</v>
      </c>
      <c r="N846" s="11" t="n">
        <v>9.7</v>
      </c>
      <c r="O846" s="18" t="s">
        <v>56</v>
      </c>
    </row>
    <row r="847" customFormat="false" ht="15" hidden="false" customHeight="false" outlineLevel="0" collapsed="false">
      <c r="A847" s="18" t="n">
        <v>147081442</v>
      </c>
      <c r="B847" s="10" t="n">
        <v>846</v>
      </c>
      <c r="C847" s="18" t="s">
        <v>43</v>
      </c>
      <c r="D847" s="9" t="s">
        <v>1787</v>
      </c>
      <c r="E847" s="9" t="s">
        <v>1540</v>
      </c>
      <c r="F847" s="9" t="s">
        <v>14</v>
      </c>
      <c r="G847" s="10" t="n">
        <v>2025</v>
      </c>
      <c r="H847" s="10" t="n">
        <v>10</v>
      </c>
      <c r="I847" s="19" t="n">
        <v>25200</v>
      </c>
      <c r="J847" s="19" t="n">
        <v>28000</v>
      </c>
      <c r="K847" s="10" t="n">
        <v>1400</v>
      </c>
      <c r="L847" s="10" t="n">
        <v>948</v>
      </c>
      <c r="M847" s="10" t="n">
        <v>14</v>
      </c>
      <c r="N847" s="11" t="n">
        <v>9.9</v>
      </c>
      <c r="O847" s="18" t="s">
        <v>56</v>
      </c>
    </row>
    <row r="848" customFormat="false" ht="15" hidden="false" customHeight="false" outlineLevel="0" collapsed="false">
      <c r="A848" s="18" t="n">
        <v>147068169</v>
      </c>
      <c r="B848" s="10" t="n">
        <v>847</v>
      </c>
      <c r="C848" s="18" t="s">
        <v>43</v>
      </c>
      <c r="D848" s="15" t="s">
        <v>1788</v>
      </c>
      <c r="E848" s="9" t="s">
        <v>1789</v>
      </c>
      <c r="F848" s="9" t="s">
        <v>21</v>
      </c>
      <c r="G848" s="10" t="n">
        <v>2025</v>
      </c>
      <c r="H848" s="10" t="n">
        <v>10</v>
      </c>
      <c r="I848" s="19" t="n">
        <v>49500</v>
      </c>
      <c r="J848" s="19" t="n">
        <v>55000</v>
      </c>
      <c r="K848" s="10" t="n">
        <v>2750</v>
      </c>
      <c r="L848" s="10" t="n">
        <v>996</v>
      </c>
      <c r="M848" s="10" t="n">
        <v>4</v>
      </c>
      <c r="N848" s="11" t="n">
        <v>10</v>
      </c>
      <c r="O848" s="18" t="s">
        <v>56</v>
      </c>
    </row>
    <row r="849" customFormat="false" ht="15" hidden="false" customHeight="false" outlineLevel="0" collapsed="false">
      <c r="A849" s="18" t="n">
        <v>147049275</v>
      </c>
      <c r="B849" s="10" t="n">
        <v>848</v>
      </c>
      <c r="C849" s="18" t="s">
        <v>43</v>
      </c>
      <c r="D849" s="9" t="s">
        <v>1790</v>
      </c>
      <c r="E849" s="9" t="s">
        <v>403</v>
      </c>
      <c r="F849" s="9" t="s">
        <v>161</v>
      </c>
      <c r="G849" s="10" t="n">
        <v>2025</v>
      </c>
      <c r="H849" s="10" t="n">
        <v>10</v>
      </c>
      <c r="I849" s="19" t="n">
        <v>12600</v>
      </c>
      <c r="J849" s="19" t="n">
        <v>14000</v>
      </c>
      <c r="K849" s="10" t="n">
        <v>700</v>
      </c>
      <c r="L849" s="10" t="n">
        <v>450</v>
      </c>
      <c r="M849" s="10" t="n">
        <v>0</v>
      </c>
      <c r="N849" s="11" t="n">
        <v>0</v>
      </c>
      <c r="O849" s="18" t="s">
        <v>56</v>
      </c>
    </row>
    <row r="850" customFormat="false" ht="15" hidden="false" customHeight="false" outlineLevel="0" collapsed="false">
      <c r="A850" s="18" t="n">
        <v>146965812</v>
      </c>
      <c r="B850" s="10" t="n">
        <v>849</v>
      </c>
      <c r="C850" s="18" t="s">
        <v>43</v>
      </c>
      <c r="D850" s="9" t="s">
        <v>1791</v>
      </c>
      <c r="E850" s="9" t="s">
        <v>1121</v>
      </c>
      <c r="F850" s="9" t="s">
        <v>23</v>
      </c>
      <c r="G850" s="10" t="n">
        <v>2025</v>
      </c>
      <c r="H850" s="10" t="n">
        <v>10</v>
      </c>
      <c r="I850" s="19" t="n">
        <v>21600</v>
      </c>
      <c r="J850" s="19" t="n">
        <v>24000</v>
      </c>
      <c r="K850" s="10" t="n">
        <v>1200</v>
      </c>
      <c r="L850" s="10" t="n">
        <v>810</v>
      </c>
      <c r="M850" s="10" t="n">
        <v>8</v>
      </c>
      <c r="N850" s="11" t="n">
        <v>10</v>
      </c>
      <c r="O850" s="18" t="s">
        <v>56</v>
      </c>
    </row>
    <row r="851" customFormat="false" ht="15" hidden="false" customHeight="false" outlineLevel="0" collapsed="false">
      <c r="A851" s="18" t="n">
        <v>146929149</v>
      </c>
      <c r="B851" s="10" t="n">
        <v>850</v>
      </c>
      <c r="C851" s="18" t="s">
        <v>43</v>
      </c>
      <c r="D851" s="15" t="s">
        <v>1792</v>
      </c>
      <c r="E851" s="9" t="s">
        <v>1793</v>
      </c>
      <c r="F851" s="9" t="s">
        <v>16</v>
      </c>
      <c r="G851" s="10" t="n">
        <v>2025</v>
      </c>
      <c r="H851" s="10" t="n">
        <v>10</v>
      </c>
      <c r="I851" s="19" t="n">
        <v>23400</v>
      </c>
      <c r="J851" s="19" t="n">
        <v>26000</v>
      </c>
      <c r="K851" s="10" t="n">
        <v>1300</v>
      </c>
      <c r="L851" s="10" t="n">
        <v>468</v>
      </c>
      <c r="M851" s="10" t="n">
        <v>3</v>
      </c>
      <c r="N851" s="11" t="n">
        <v>8.7</v>
      </c>
      <c r="O851" s="18" t="s">
        <v>56</v>
      </c>
    </row>
    <row r="852" customFormat="false" ht="15" hidden="false" customHeight="false" outlineLevel="0" collapsed="false">
      <c r="A852" s="18" t="n">
        <v>146874665</v>
      </c>
      <c r="B852" s="10" t="n">
        <v>851</v>
      </c>
      <c r="C852" s="18" t="s">
        <v>43</v>
      </c>
      <c r="D852" s="9" t="s">
        <v>1794</v>
      </c>
      <c r="E852" s="9" t="s">
        <v>1795</v>
      </c>
      <c r="F852" s="9" t="s">
        <v>116</v>
      </c>
      <c r="G852" s="10" t="n">
        <v>2025</v>
      </c>
      <c r="H852" s="10" t="n">
        <v>10</v>
      </c>
      <c r="I852" s="19" t="n">
        <v>30600</v>
      </c>
      <c r="J852" s="19" t="n">
        <v>34000</v>
      </c>
      <c r="K852" s="10" t="n">
        <v>1700</v>
      </c>
      <c r="L852" s="10" t="n">
        <v>6228</v>
      </c>
      <c r="M852" s="10" t="n">
        <v>1</v>
      </c>
      <c r="N852" s="11" t="n">
        <v>10</v>
      </c>
      <c r="O852" s="18" t="s">
        <v>46</v>
      </c>
    </row>
    <row r="853" customFormat="false" ht="15" hidden="false" customHeight="false" outlineLevel="0" collapsed="false">
      <c r="A853" s="18" t="n">
        <v>146705191</v>
      </c>
      <c r="B853" s="10" t="n">
        <v>852</v>
      </c>
      <c r="C853" s="18" t="s">
        <v>43</v>
      </c>
      <c r="D853" s="15" t="s">
        <v>1796</v>
      </c>
      <c r="E853" s="9" t="s">
        <v>1797</v>
      </c>
      <c r="F853" s="9" t="s">
        <v>12</v>
      </c>
      <c r="G853" s="10" t="n">
        <v>2025</v>
      </c>
      <c r="H853" s="10" t="n">
        <v>10</v>
      </c>
      <c r="I853" s="19" t="n">
        <v>25200</v>
      </c>
      <c r="J853" s="19" t="n">
        <v>28000</v>
      </c>
      <c r="K853" s="10" t="n">
        <v>1400</v>
      </c>
      <c r="L853" s="10" t="n">
        <v>3327</v>
      </c>
      <c r="M853" s="10" t="n">
        <v>13</v>
      </c>
      <c r="N853" s="11" t="n">
        <v>10</v>
      </c>
      <c r="O853" s="18" t="s">
        <v>56</v>
      </c>
    </row>
    <row r="854" customFormat="false" ht="15" hidden="false" customHeight="false" outlineLevel="0" collapsed="false">
      <c r="A854" s="18" t="n">
        <v>146693449</v>
      </c>
      <c r="B854" s="10" t="n">
        <v>853</v>
      </c>
      <c r="C854" s="18" t="s">
        <v>43</v>
      </c>
      <c r="D854" s="9" t="s">
        <v>1798</v>
      </c>
      <c r="E854" s="9" t="s">
        <v>1799</v>
      </c>
      <c r="F854" s="9" t="s">
        <v>12</v>
      </c>
      <c r="G854" s="10" t="n">
        <v>2025</v>
      </c>
      <c r="H854" s="10" t="n">
        <v>10</v>
      </c>
      <c r="I854" s="19" t="n">
        <v>37800</v>
      </c>
      <c r="J854" s="19" t="n">
        <v>42000</v>
      </c>
      <c r="K854" s="10" t="n">
        <v>2100</v>
      </c>
      <c r="L854" s="10" t="n">
        <v>804</v>
      </c>
      <c r="M854" s="10" t="n">
        <v>11</v>
      </c>
      <c r="N854" s="11" t="n">
        <v>9.5</v>
      </c>
      <c r="O854" s="18" t="s">
        <v>56</v>
      </c>
    </row>
    <row r="855" customFormat="false" ht="15" hidden="false" customHeight="false" outlineLevel="0" collapsed="false">
      <c r="A855" s="18" t="n">
        <v>146531275</v>
      </c>
      <c r="B855" s="10" t="n">
        <v>854</v>
      </c>
      <c r="C855" s="18" t="s">
        <v>43</v>
      </c>
      <c r="D855" s="9" t="s">
        <v>1800</v>
      </c>
      <c r="E855" s="9" t="s">
        <v>1801</v>
      </c>
      <c r="F855" s="9" t="s">
        <v>1802</v>
      </c>
      <c r="G855" s="10" t="n">
        <v>2025</v>
      </c>
      <c r="H855" s="10" t="n">
        <v>10</v>
      </c>
      <c r="I855" s="19" t="n">
        <v>25200</v>
      </c>
      <c r="J855" s="19" t="n">
        <v>28000</v>
      </c>
      <c r="K855" s="10" t="n">
        <v>1400</v>
      </c>
      <c r="L855" s="10" t="n">
        <v>5280</v>
      </c>
      <c r="M855" s="10" t="n">
        <v>34</v>
      </c>
      <c r="N855" s="11" t="n">
        <v>9.8</v>
      </c>
      <c r="O855" s="18" t="s">
        <v>56</v>
      </c>
    </row>
    <row r="856" customFormat="false" ht="15" hidden="false" customHeight="false" outlineLevel="0" collapsed="false">
      <c r="A856" s="18" t="n">
        <v>146529821</v>
      </c>
      <c r="B856" s="10" t="n">
        <v>855</v>
      </c>
      <c r="C856" s="18" t="s">
        <v>43</v>
      </c>
      <c r="D856" s="9" t="s">
        <v>1803</v>
      </c>
      <c r="E856" s="9" t="s">
        <v>1804</v>
      </c>
      <c r="F856" s="9" t="s">
        <v>1805</v>
      </c>
      <c r="G856" s="10" t="n">
        <v>2025</v>
      </c>
      <c r="H856" s="10" t="n">
        <v>10</v>
      </c>
      <c r="I856" s="19" t="n">
        <v>26100</v>
      </c>
      <c r="J856" s="19" t="n">
        <v>29000</v>
      </c>
      <c r="K856" s="10" t="n">
        <v>1450</v>
      </c>
      <c r="L856" s="10" t="n">
        <v>852</v>
      </c>
      <c r="M856" s="10" t="n">
        <v>2</v>
      </c>
      <c r="N856" s="11" t="n">
        <v>10</v>
      </c>
      <c r="O856" s="18" t="s">
        <v>56</v>
      </c>
    </row>
    <row r="857" customFormat="false" ht="15" hidden="false" customHeight="false" outlineLevel="0" collapsed="false">
      <c r="A857" s="18" t="n">
        <v>146509061</v>
      </c>
      <c r="B857" s="10" t="n">
        <v>856</v>
      </c>
      <c r="C857" s="18" t="s">
        <v>43</v>
      </c>
      <c r="D857" s="15" t="s">
        <v>1806</v>
      </c>
      <c r="E857" s="9" t="s">
        <v>1807</v>
      </c>
      <c r="F857" s="9" t="s">
        <v>25</v>
      </c>
      <c r="G857" s="10" t="n">
        <v>2025</v>
      </c>
      <c r="H857" s="10" t="n">
        <v>0</v>
      </c>
      <c r="I857" s="19" t="n">
        <v>12000</v>
      </c>
      <c r="J857" s="19" t="n">
        <v>12000</v>
      </c>
      <c r="K857" s="10" t="n">
        <v>0</v>
      </c>
      <c r="L857" s="10" t="n">
        <v>264</v>
      </c>
      <c r="M857" s="10" t="n">
        <v>0</v>
      </c>
      <c r="N857" s="11" t="n">
        <v>0</v>
      </c>
      <c r="O857" s="18" t="s">
        <v>56</v>
      </c>
    </row>
    <row r="858" customFormat="false" ht="15" hidden="false" customHeight="false" outlineLevel="0" collapsed="false">
      <c r="A858" s="18" t="n">
        <v>146504995</v>
      </c>
      <c r="B858" s="10" t="n">
        <v>857</v>
      </c>
      <c r="C858" s="18" t="s">
        <v>43</v>
      </c>
      <c r="D858" s="9" t="s">
        <v>1808</v>
      </c>
      <c r="E858" s="9" t="s">
        <v>1809</v>
      </c>
      <c r="F858" s="9" t="s">
        <v>1274</v>
      </c>
      <c r="G858" s="10" t="n">
        <v>2025</v>
      </c>
      <c r="H858" s="10" t="n">
        <v>0</v>
      </c>
      <c r="I858" s="19" t="n">
        <v>30000</v>
      </c>
      <c r="J858" s="19" t="n">
        <v>30000</v>
      </c>
      <c r="K858" s="10" t="n">
        <v>0</v>
      </c>
      <c r="L858" s="10" t="n">
        <v>624</v>
      </c>
      <c r="M858" s="10" t="n">
        <v>11</v>
      </c>
      <c r="N858" s="11" t="n">
        <v>9.8</v>
      </c>
      <c r="O858" s="18" t="s">
        <v>56</v>
      </c>
    </row>
    <row r="859" customFormat="false" ht="15" hidden="false" customHeight="false" outlineLevel="0" collapsed="false">
      <c r="A859" s="18" t="n">
        <v>146361202</v>
      </c>
      <c r="B859" s="10" t="n">
        <v>858</v>
      </c>
      <c r="C859" s="18" t="s">
        <v>43</v>
      </c>
      <c r="D859" s="15" t="s">
        <v>1810</v>
      </c>
      <c r="E859" s="9" t="s">
        <v>1811</v>
      </c>
      <c r="F859" s="9" t="s">
        <v>1812</v>
      </c>
      <c r="G859" s="10" t="n">
        <v>2025</v>
      </c>
      <c r="H859" s="10" t="n">
        <v>10</v>
      </c>
      <c r="I859" s="19" t="n">
        <v>16200</v>
      </c>
      <c r="J859" s="19" t="n">
        <v>18000</v>
      </c>
      <c r="K859" s="10" t="n">
        <v>900</v>
      </c>
      <c r="L859" s="10" t="n">
        <v>198</v>
      </c>
      <c r="M859" s="10" t="n">
        <v>0</v>
      </c>
      <c r="N859" s="11" t="n">
        <v>0</v>
      </c>
      <c r="O859" s="18" t="s">
        <v>56</v>
      </c>
    </row>
    <row r="860" customFormat="false" ht="15" hidden="false" customHeight="false" outlineLevel="0" collapsed="false">
      <c r="A860" s="18" t="n">
        <v>146357862</v>
      </c>
      <c r="B860" s="10" t="n">
        <v>859</v>
      </c>
      <c r="C860" s="18" t="s">
        <v>43</v>
      </c>
      <c r="D860" s="9" t="s">
        <v>1813</v>
      </c>
      <c r="E860" s="9" t="s">
        <v>1117</v>
      </c>
      <c r="F860" s="9" t="s">
        <v>12</v>
      </c>
      <c r="G860" s="10" t="n">
        <v>2025</v>
      </c>
      <c r="H860" s="10" t="n">
        <v>10</v>
      </c>
      <c r="I860" s="19" t="n">
        <v>21600</v>
      </c>
      <c r="J860" s="19" t="n">
        <v>24000</v>
      </c>
      <c r="K860" s="10" t="n">
        <v>1200</v>
      </c>
      <c r="L860" s="10" t="n">
        <v>2145</v>
      </c>
      <c r="M860" s="10" t="n">
        <v>23</v>
      </c>
      <c r="N860" s="11" t="n">
        <v>10</v>
      </c>
      <c r="O860" s="18" t="s">
        <v>56</v>
      </c>
    </row>
    <row r="861" customFormat="false" ht="15" hidden="false" customHeight="false" outlineLevel="0" collapsed="false">
      <c r="A861" s="18" t="n">
        <v>146327472</v>
      </c>
      <c r="B861" s="10" t="n">
        <v>860</v>
      </c>
      <c r="C861" s="18" t="s">
        <v>43</v>
      </c>
      <c r="D861" s="9" t="s">
        <v>1814</v>
      </c>
      <c r="E861" s="9" t="s">
        <v>1815</v>
      </c>
      <c r="F861" s="9" t="s">
        <v>12</v>
      </c>
      <c r="G861" s="10" t="n">
        <v>2025</v>
      </c>
      <c r="H861" s="10" t="n">
        <v>10</v>
      </c>
      <c r="I861" s="19" t="n">
        <v>25200</v>
      </c>
      <c r="J861" s="19" t="n">
        <v>28000</v>
      </c>
      <c r="K861" s="10" t="n">
        <v>1400</v>
      </c>
      <c r="L861" s="10" t="n">
        <v>3066</v>
      </c>
      <c r="M861" s="10" t="n">
        <v>26</v>
      </c>
      <c r="N861" s="11" t="n">
        <v>9.5</v>
      </c>
      <c r="O861" s="18" t="s">
        <v>56</v>
      </c>
    </row>
    <row r="862" customFormat="false" ht="15" hidden="false" customHeight="false" outlineLevel="0" collapsed="false">
      <c r="A862" s="18" t="n">
        <v>146309485</v>
      </c>
      <c r="B862" s="10" t="n">
        <v>861</v>
      </c>
      <c r="C862" s="18" t="s">
        <v>43</v>
      </c>
      <c r="D862" s="9" t="s">
        <v>1816</v>
      </c>
      <c r="E862" s="9" t="s">
        <v>1817</v>
      </c>
      <c r="F862" s="9" t="s">
        <v>25</v>
      </c>
      <c r="G862" s="10" t="n">
        <v>2025</v>
      </c>
      <c r="H862" s="10" t="n">
        <v>0</v>
      </c>
      <c r="I862" s="19" t="n">
        <v>12000</v>
      </c>
      <c r="J862" s="19" t="n">
        <v>12000</v>
      </c>
      <c r="K862" s="10" t="n">
        <v>0</v>
      </c>
      <c r="L862" s="10" t="n">
        <v>216</v>
      </c>
      <c r="M862" s="10" t="n">
        <v>1</v>
      </c>
      <c r="N862" s="11" t="n">
        <v>10</v>
      </c>
      <c r="O862" s="18" t="s">
        <v>56</v>
      </c>
    </row>
    <row r="863" customFormat="false" ht="15" hidden="false" customHeight="false" outlineLevel="0" collapsed="false">
      <c r="A863" s="18" t="n">
        <v>146143006</v>
      </c>
      <c r="B863" s="10" t="n">
        <v>862</v>
      </c>
      <c r="C863" s="18" t="s">
        <v>43</v>
      </c>
      <c r="D863" s="9" t="s">
        <v>1818</v>
      </c>
      <c r="E863" s="9" t="s">
        <v>1819</v>
      </c>
      <c r="F863" s="9" t="s">
        <v>12</v>
      </c>
      <c r="G863" s="10" t="n">
        <v>2025</v>
      </c>
      <c r="H863" s="10" t="n">
        <v>10</v>
      </c>
      <c r="I863" s="19" t="n">
        <v>18000</v>
      </c>
      <c r="J863" s="19" t="n">
        <v>20000</v>
      </c>
      <c r="K863" s="10" t="n">
        <v>1000</v>
      </c>
      <c r="L863" s="10" t="n">
        <v>6057</v>
      </c>
      <c r="M863" s="10" t="n">
        <v>39</v>
      </c>
      <c r="N863" s="11" t="n">
        <v>9.7</v>
      </c>
      <c r="O863" s="18" t="s">
        <v>56</v>
      </c>
    </row>
    <row r="864" customFormat="false" ht="15" hidden="false" customHeight="false" outlineLevel="0" collapsed="false">
      <c r="A864" s="18" t="n">
        <v>146140506</v>
      </c>
      <c r="B864" s="10" t="n">
        <v>863</v>
      </c>
      <c r="C864" s="18" t="s">
        <v>43</v>
      </c>
      <c r="D864" s="15" t="s">
        <v>1820</v>
      </c>
      <c r="E864" s="9" t="s">
        <v>1821</v>
      </c>
      <c r="F864" s="15" t="s">
        <v>561</v>
      </c>
      <c r="G864" s="10" t="n">
        <v>2025</v>
      </c>
      <c r="H864" s="10" t="n">
        <v>0</v>
      </c>
      <c r="I864" s="19" t="n">
        <v>15700</v>
      </c>
      <c r="J864" s="19" t="n">
        <v>15700</v>
      </c>
      <c r="K864" s="10" t="n">
        <v>0</v>
      </c>
      <c r="L864" s="10" t="n">
        <v>132</v>
      </c>
      <c r="M864" s="10" t="n">
        <v>0</v>
      </c>
      <c r="N864" s="11" t="n">
        <v>0</v>
      </c>
      <c r="O864" s="18" t="s">
        <v>56</v>
      </c>
    </row>
    <row r="865" customFormat="false" ht="15" hidden="false" customHeight="false" outlineLevel="0" collapsed="false">
      <c r="A865" s="18" t="n">
        <v>146122830</v>
      </c>
      <c r="B865" s="10" t="n">
        <v>864</v>
      </c>
      <c r="C865" s="18" t="s">
        <v>43</v>
      </c>
      <c r="D865" s="15" t="s">
        <v>1822</v>
      </c>
      <c r="E865" s="9" t="s">
        <v>1823</v>
      </c>
      <c r="F865" s="9" t="s">
        <v>25</v>
      </c>
      <c r="G865" s="10" t="n">
        <v>2025</v>
      </c>
      <c r="H865" s="10" t="n">
        <v>0</v>
      </c>
      <c r="I865" s="19" t="n">
        <v>12000</v>
      </c>
      <c r="J865" s="19" t="n">
        <v>12000</v>
      </c>
      <c r="K865" s="10" t="n">
        <v>0</v>
      </c>
      <c r="L865" s="10" t="n">
        <v>282</v>
      </c>
      <c r="M865" s="10" t="n">
        <v>0</v>
      </c>
      <c r="N865" s="11" t="n">
        <v>0</v>
      </c>
      <c r="O865" s="18" t="s">
        <v>56</v>
      </c>
    </row>
    <row r="866" customFormat="false" ht="15" hidden="false" customHeight="false" outlineLevel="0" collapsed="false">
      <c r="A866" s="18" t="n">
        <v>146006911</v>
      </c>
      <c r="B866" s="10" t="n">
        <v>865</v>
      </c>
      <c r="C866" s="18" t="s">
        <v>43</v>
      </c>
      <c r="D866" s="9" t="s">
        <v>1824</v>
      </c>
      <c r="E866" s="9" t="s">
        <v>283</v>
      </c>
      <c r="F866" s="9" t="s">
        <v>12</v>
      </c>
      <c r="G866" s="10" t="n">
        <v>2025</v>
      </c>
      <c r="H866" s="10" t="n">
        <v>10</v>
      </c>
      <c r="I866" s="19" t="n">
        <v>25200</v>
      </c>
      <c r="J866" s="19" t="n">
        <v>28000</v>
      </c>
      <c r="K866" s="10" t="n">
        <v>1400</v>
      </c>
      <c r="L866" s="10" t="n">
        <v>2160</v>
      </c>
      <c r="M866" s="10" t="n">
        <v>33</v>
      </c>
      <c r="N866" s="11" t="n">
        <v>9.8</v>
      </c>
      <c r="O866" s="18" t="s">
        <v>56</v>
      </c>
    </row>
    <row r="867" customFormat="false" ht="15" hidden="false" customHeight="false" outlineLevel="0" collapsed="false">
      <c r="A867" s="18" t="n">
        <v>145993511</v>
      </c>
      <c r="B867" s="10" t="n">
        <v>866</v>
      </c>
      <c r="C867" s="18" t="s">
        <v>43</v>
      </c>
      <c r="D867" s="9" t="s">
        <v>1825</v>
      </c>
      <c r="E867" s="9" t="s">
        <v>1826</v>
      </c>
      <c r="F867" s="9" t="s">
        <v>19</v>
      </c>
      <c r="G867" s="10" t="n">
        <v>2025</v>
      </c>
      <c r="H867" s="10" t="n">
        <v>10</v>
      </c>
      <c r="I867" s="19" t="n">
        <v>21600</v>
      </c>
      <c r="J867" s="19" t="n">
        <v>24000</v>
      </c>
      <c r="K867" s="10" t="n">
        <v>1200</v>
      </c>
      <c r="L867" s="10" t="n">
        <v>1182</v>
      </c>
      <c r="M867" s="10" t="n">
        <v>0</v>
      </c>
      <c r="N867" s="11" t="n">
        <v>0</v>
      </c>
      <c r="O867" s="18" t="s">
        <v>56</v>
      </c>
    </row>
    <row r="868" customFormat="false" ht="15" hidden="false" customHeight="false" outlineLevel="0" collapsed="false">
      <c r="A868" s="18" t="n">
        <v>145967474</v>
      </c>
      <c r="B868" s="10" t="n">
        <v>867</v>
      </c>
      <c r="C868" s="18" t="s">
        <v>43</v>
      </c>
      <c r="D868" s="15" t="s">
        <v>1827</v>
      </c>
      <c r="E868" s="9" t="s">
        <v>1828</v>
      </c>
      <c r="F868" s="9" t="s">
        <v>1829</v>
      </c>
      <c r="G868" s="10" t="n">
        <v>2025</v>
      </c>
      <c r="H868" s="10" t="n">
        <v>10</v>
      </c>
      <c r="I868" s="19" t="n">
        <v>17820</v>
      </c>
      <c r="J868" s="19" t="n">
        <v>19800</v>
      </c>
      <c r="K868" s="10" t="n">
        <v>990</v>
      </c>
      <c r="L868" s="10" t="n">
        <v>456</v>
      </c>
      <c r="M868" s="10" t="n">
        <v>0</v>
      </c>
      <c r="N868" s="11" t="n">
        <v>0</v>
      </c>
      <c r="O868" s="18" t="s">
        <v>56</v>
      </c>
    </row>
    <row r="869" customFormat="false" ht="15" hidden="false" customHeight="false" outlineLevel="0" collapsed="false">
      <c r="A869" s="18" t="n">
        <v>145605137</v>
      </c>
      <c r="B869" s="10" t="n">
        <v>868</v>
      </c>
      <c r="C869" s="18" t="s">
        <v>43</v>
      </c>
      <c r="D869" s="9" t="s">
        <v>1830</v>
      </c>
      <c r="E869" s="9" t="s">
        <v>426</v>
      </c>
      <c r="F869" s="9" t="s">
        <v>14</v>
      </c>
      <c r="G869" s="10" t="n">
        <v>2025</v>
      </c>
      <c r="H869" s="10" t="n">
        <v>10</v>
      </c>
      <c r="I869" s="19" t="n">
        <v>26100</v>
      </c>
      <c r="J869" s="19" t="n">
        <v>29000</v>
      </c>
      <c r="K869" s="10" t="n">
        <v>1450</v>
      </c>
      <c r="L869" s="10" t="n">
        <v>822</v>
      </c>
      <c r="M869" s="10" t="n">
        <v>12</v>
      </c>
      <c r="N869" s="11" t="n">
        <v>9.3</v>
      </c>
      <c r="O869" s="18" t="s">
        <v>56</v>
      </c>
    </row>
    <row r="870" customFormat="false" ht="15" hidden="false" customHeight="false" outlineLevel="0" collapsed="false">
      <c r="A870" s="18" t="n">
        <v>145417424</v>
      </c>
      <c r="B870" s="10" t="n">
        <v>869</v>
      </c>
      <c r="C870" s="18" t="s">
        <v>43</v>
      </c>
      <c r="D870" s="15" t="s">
        <v>1831</v>
      </c>
      <c r="E870" s="9" t="s">
        <v>1832</v>
      </c>
      <c r="F870" s="9" t="s">
        <v>1509</v>
      </c>
      <c r="G870" s="10" t="n">
        <v>2025</v>
      </c>
      <c r="H870" s="10" t="n">
        <v>10</v>
      </c>
      <c r="I870" s="19" t="n">
        <v>15300</v>
      </c>
      <c r="J870" s="19" t="n">
        <v>17000</v>
      </c>
      <c r="K870" s="10" t="n">
        <v>850</v>
      </c>
      <c r="L870" s="10" t="n">
        <v>108</v>
      </c>
      <c r="M870" s="10" t="n">
        <v>0</v>
      </c>
      <c r="N870" s="11" t="n">
        <v>0</v>
      </c>
      <c r="O870" s="18" t="s">
        <v>56</v>
      </c>
    </row>
    <row r="871" customFormat="false" ht="15" hidden="false" customHeight="false" outlineLevel="0" collapsed="false">
      <c r="A871" s="18" t="n">
        <v>145383562</v>
      </c>
      <c r="B871" s="10" t="n">
        <v>870</v>
      </c>
      <c r="C871" s="18" t="s">
        <v>43</v>
      </c>
      <c r="D871" s="9" t="s">
        <v>1833</v>
      </c>
      <c r="E871" s="9" t="s">
        <v>1834</v>
      </c>
      <c r="F871" s="9" t="s">
        <v>184</v>
      </c>
      <c r="G871" s="10" t="n">
        <v>2025</v>
      </c>
      <c r="H871" s="10" t="n">
        <v>0</v>
      </c>
      <c r="I871" s="19" t="n">
        <v>15000</v>
      </c>
      <c r="J871" s="19" t="n">
        <v>15000</v>
      </c>
      <c r="K871" s="10" t="n">
        <v>0</v>
      </c>
      <c r="L871" s="10" t="n">
        <v>3117</v>
      </c>
      <c r="M871" s="10" t="n">
        <v>35</v>
      </c>
      <c r="N871" s="11" t="n">
        <v>9.9</v>
      </c>
      <c r="O871" s="18" t="s">
        <v>56</v>
      </c>
    </row>
    <row r="872" customFormat="false" ht="15" hidden="false" customHeight="false" outlineLevel="0" collapsed="false">
      <c r="A872" s="18" t="n">
        <v>145383089</v>
      </c>
      <c r="B872" s="10" t="n">
        <v>871</v>
      </c>
      <c r="C872" s="18" t="s">
        <v>43</v>
      </c>
      <c r="D872" s="9" t="s">
        <v>1835</v>
      </c>
      <c r="E872" s="9" t="s">
        <v>1836</v>
      </c>
      <c r="F872" s="9" t="s">
        <v>1837</v>
      </c>
      <c r="G872" s="10" t="n">
        <v>2025</v>
      </c>
      <c r="H872" s="10" t="n">
        <v>10</v>
      </c>
      <c r="I872" s="19" t="n">
        <v>16200</v>
      </c>
      <c r="J872" s="19" t="n">
        <v>18000</v>
      </c>
      <c r="K872" s="10" t="n">
        <v>900</v>
      </c>
      <c r="L872" s="10" t="n">
        <v>720</v>
      </c>
      <c r="M872" s="10" t="n">
        <v>14</v>
      </c>
      <c r="N872" s="11" t="n">
        <v>10</v>
      </c>
      <c r="O872" s="18" t="s">
        <v>56</v>
      </c>
    </row>
    <row r="873" customFormat="false" ht="15" hidden="false" customHeight="false" outlineLevel="0" collapsed="false">
      <c r="A873" s="18" t="n">
        <v>145240291</v>
      </c>
      <c r="B873" s="10" t="n">
        <v>872</v>
      </c>
      <c r="C873" s="18" t="s">
        <v>43</v>
      </c>
      <c r="D873" s="9" t="s">
        <v>1838</v>
      </c>
      <c r="E873" s="9" t="s">
        <v>1839</v>
      </c>
      <c r="F873" s="9" t="s">
        <v>21</v>
      </c>
      <c r="G873" s="10" t="n">
        <v>2025</v>
      </c>
      <c r="H873" s="10" t="n">
        <v>10</v>
      </c>
      <c r="I873" s="19" t="n">
        <v>22500</v>
      </c>
      <c r="J873" s="19" t="n">
        <v>25000</v>
      </c>
      <c r="K873" s="10" t="n">
        <v>1250</v>
      </c>
      <c r="L873" s="10" t="n">
        <v>366</v>
      </c>
      <c r="M873" s="10" t="n">
        <v>3</v>
      </c>
      <c r="N873" s="11" t="n">
        <v>10</v>
      </c>
      <c r="O873" s="18" t="s">
        <v>56</v>
      </c>
    </row>
    <row r="874" customFormat="false" ht="15" hidden="false" customHeight="false" outlineLevel="0" collapsed="false">
      <c r="A874" s="18" t="n">
        <v>145227885</v>
      </c>
      <c r="B874" s="10" t="n">
        <v>873</v>
      </c>
      <c r="C874" s="18" t="s">
        <v>43</v>
      </c>
      <c r="D874" s="9" t="s">
        <v>1840</v>
      </c>
      <c r="E874" s="9" t="s">
        <v>1841</v>
      </c>
      <c r="F874" s="9" t="s">
        <v>16</v>
      </c>
      <c r="G874" s="10" t="n">
        <v>2025</v>
      </c>
      <c r="H874" s="10" t="n">
        <v>10</v>
      </c>
      <c r="I874" s="19" t="n">
        <v>24300</v>
      </c>
      <c r="J874" s="19" t="n">
        <v>27000</v>
      </c>
      <c r="K874" s="10" t="n">
        <v>1350</v>
      </c>
      <c r="L874" s="10" t="n">
        <v>300</v>
      </c>
      <c r="M874" s="10" t="n">
        <v>10</v>
      </c>
      <c r="N874" s="11" t="n">
        <v>9.6</v>
      </c>
      <c r="O874" s="18" t="s">
        <v>56</v>
      </c>
    </row>
    <row r="875" customFormat="false" ht="15" hidden="false" customHeight="false" outlineLevel="0" collapsed="false">
      <c r="A875" s="18" t="n">
        <v>145215671</v>
      </c>
      <c r="B875" s="10" t="n">
        <v>874</v>
      </c>
      <c r="C875" s="18" t="s">
        <v>43</v>
      </c>
      <c r="D875" s="15" t="s">
        <v>1842</v>
      </c>
      <c r="E875" s="9" t="s">
        <v>1843</v>
      </c>
      <c r="F875" s="9" t="s">
        <v>64</v>
      </c>
      <c r="G875" s="10" t="n">
        <v>2025</v>
      </c>
      <c r="H875" s="10" t="n">
        <v>10</v>
      </c>
      <c r="I875" s="19" t="n">
        <v>22950</v>
      </c>
      <c r="J875" s="19" t="n">
        <v>25500</v>
      </c>
      <c r="K875" s="10" t="n">
        <v>1270</v>
      </c>
      <c r="L875" s="10" t="n">
        <v>204</v>
      </c>
      <c r="M875" s="10" t="n">
        <v>1</v>
      </c>
      <c r="N875" s="11" t="n">
        <v>10</v>
      </c>
      <c r="O875" s="18" t="s">
        <v>56</v>
      </c>
    </row>
    <row r="876" customFormat="false" ht="15" hidden="false" customHeight="false" outlineLevel="0" collapsed="false">
      <c r="A876" s="18" t="n">
        <v>145047404</v>
      </c>
      <c r="B876" s="10" t="n">
        <v>875</v>
      </c>
      <c r="C876" s="18" t="s">
        <v>43</v>
      </c>
      <c r="D876" s="9" t="s">
        <v>1844</v>
      </c>
      <c r="E876" s="9" t="s">
        <v>1845</v>
      </c>
      <c r="F876" s="9" t="s">
        <v>21</v>
      </c>
      <c r="G876" s="10" t="n">
        <v>2025</v>
      </c>
      <c r="H876" s="10" t="n">
        <v>10</v>
      </c>
      <c r="I876" s="19" t="n">
        <v>18000</v>
      </c>
      <c r="J876" s="19" t="n">
        <v>20000</v>
      </c>
      <c r="K876" s="10" t="n">
        <v>1000</v>
      </c>
      <c r="L876" s="10" t="n">
        <v>1875</v>
      </c>
      <c r="M876" s="10" t="n">
        <v>4</v>
      </c>
      <c r="N876" s="11" t="n">
        <v>9.5</v>
      </c>
      <c r="O876" s="18" t="s">
        <v>56</v>
      </c>
    </row>
    <row r="877" customFormat="false" ht="15" hidden="false" customHeight="false" outlineLevel="0" collapsed="false">
      <c r="A877" s="18" t="n">
        <v>145011592</v>
      </c>
      <c r="B877" s="10" t="n">
        <v>876</v>
      </c>
      <c r="C877" s="18" t="s">
        <v>43</v>
      </c>
      <c r="D877" s="9" t="s">
        <v>1846</v>
      </c>
      <c r="E877" s="9" t="s">
        <v>1847</v>
      </c>
      <c r="F877" s="9" t="s">
        <v>23</v>
      </c>
      <c r="G877" s="10" t="n">
        <v>2025</v>
      </c>
      <c r="H877" s="10" t="n">
        <v>10</v>
      </c>
      <c r="I877" s="19" t="n">
        <v>27000</v>
      </c>
      <c r="J877" s="19" t="n">
        <v>30000</v>
      </c>
      <c r="K877" s="10" t="n">
        <v>1500</v>
      </c>
      <c r="L877" s="10" t="n">
        <v>420</v>
      </c>
      <c r="M877" s="10" t="n">
        <v>11</v>
      </c>
      <c r="N877" s="11" t="n">
        <v>9.5</v>
      </c>
      <c r="O877" s="18" t="s">
        <v>56</v>
      </c>
    </row>
    <row r="878" customFormat="false" ht="15" hidden="false" customHeight="false" outlineLevel="0" collapsed="false">
      <c r="A878" s="18" t="n">
        <v>144905251</v>
      </c>
      <c r="B878" s="10" t="n">
        <v>877</v>
      </c>
      <c r="C878" s="18" t="s">
        <v>43</v>
      </c>
      <c r="D878" s="15" t="s">
        <v>1848</v>
      </c>
      <c r="E878" s="9" t="s">
        <v>1849</v>
      </c>
      <c r="F878" s="9" t="s">
        <v>231</v>
      </c>
      <c r="G878" s="10" t="n">
        <v>2025</v>
      </c>
      <c r="H878" s="10" t="n">
        <v>10</v>
      </c>
      <c r="I878" s="19" t="n">
        <v>24300</v>
      </c>
      <c r="J878" s="19" t="n">
        <v>27000</v>
      </c>
      <c r="K878" s="10" t="n">
        <v>1350</v>
      </c>
      <c r="L878" s="10" t="n">
        <v>648</v>
      </c>
      <c r="M878" s="10" t="n">
        <v>3</v>
      </c>
      <c r="N878" s="11" t="n">
        <v>10</v>
      </c>
      <c r="O878" s="18" t="s">
        <v>56</v>
      </c>
    </row>
    <row r="879" customFormat="false" ht="15" hidden="false" customHeight="false" outlineLevel="0" collapsed="false">
      <c r="A879" s="18" t="n">
        <v>144868498</v>
      </c>
      <c r="B879" s="10" t="n">
        <v>878</v>
      </c>
      <c r="C879" s="18" t="s">
        <v>43</v>
      </c>
      <c r="D879" s="9" t="s">
        <v>1850</v>
      </c>
      <c r="E879" s="9" t="s">
        <v>204</v>
      </c>
      <c r="F879" s="9" t="s">
        <v>19</v>
      </c>
      <c r="G879" s="10" t="n">
        <v>2025</v>
      </c>
      <c r="H879" s="10" t="n">
        <v>10</v>
      </c>
      <c r="I879" s="19" t="n">
        <v>23400</v>
      </c>
      <c r="J879" s="19" t="n">
        <v>26000</v>
      </c>
      <c r="K879" s="10" t="n">
        <v>1300</v>
      </c>
      <c r="L879" s="10" t="n">
        <v>3084</v>
      </c>
      <c r="M879" s="10" t="n">
        <v>7</v>
      </c>
      <c r="N879" s="11" t="n">
        <v>9.1</v>
      </c>
      <c r="O879" s="18" t="s">
        <v>46</v>
      </c>
    </row>
    <row r="880" customFormat="false" ht="15" hidden="false" customHeight="false" outlineLevel="0" collapsed="false">
      <c r="A880" s="18" t="n">
        <v>144692024</v>
      </c>
      <c r="B880" s="10" t="n">
        <v>879</v>
      </c>
      <c r="C880" s="18" t="s">
        <v>43</v>
      </c>
      <c r="D880" s="9" t="s">
        <v>1851</v>
      </c>
      <c r="E880" s="9" t="s">
        <v>1852</v>
      </c>
      <c r="F880" s="9" t="s">
        <v>1853</v>
      </c>
      <c r="G880" s="10" t="n">
        <v>2025</v>
      </c>
      <c r="H880" s="10" t="n">
        <v>10</v>
      </c>
      <c r="I880" s="19" t="n">
        <v>22500</v>
      </c>
      <c r="J880" s="19" t="n">
        <v>25000</v>
      </c>
      <c r="K880" s="10" t="n">
        <v>1250</v>
      </c>
      <c r="L880" s="10" t="n">
        <v>648</v>
      </c>
      <c r="M880" s="10" t="n">
        <v>21</v>
      </c>
      <c r="N880" s="11" t="n">
        <v>10</v>
      </c>
      <c r="O880" s="18" t="s">
        <v>56</v>
      </c>
    </row>
    <row r="881" customFormat="false" ht="15" hidden="false" customHeight="false" outlineLevel="0" collapsed="false">
      <c r="A881" s="18" t="n">
        <v>144688663</v>
      </c>
      <c r="B881" s="10" t="n">
        <v>880</v>
      </c>
      <c r="C881" s="18" t="s">
        <v>43</v>
      </c>
      <c r="D881" s="9" t="s">
        <v>1854</v>
      </c>
      <c r="E881" s="9" t="s">
        <v>1855</v>
      </c>
      <c r="F881" s="9" t="s">
        <v>25</v>
      </c>
      <c r="G881" s="10" t="n">
        <v>2025</v>
      </c>
      <c r="H881" s="10" t="n">
        <v>0</v>
      </c>
      <c r="I881" s="19" t="n">
        <v>12000</v>
      </c>
      <c r="J881" s="19" t="n">
        <v>12000</v>
      </c>
      <c r="K881" s="10" t="n">
        <v>0</v>
      </c>
      <c r="L881" s="10" t="n">
        <v>126</v>
      </c>
      <c r="M881" s="10" t="n">
        <v>0</v>
      </c>
      <c r="N881" s="11" t="n">
        <v>0</v>
      </c>
      <c r="O881" s="18" t="s">
        <v>56</v>
      </c>
    </row>
    <row r="882" customFormat="false" ht="15" hidden="false" customHeight="false" outlineLevel="0" collapsed="false">
      <c r="A882" s="18" t="n">
        <v>144688656</v>
      </c>
      <c r="B882" s="10" t="n">
        <v>881</v>
      </c>
      <c r="C882" s="18" t="s">
        <v>43</v>
      </c>
      <c r="D882" s="15" t="s">
        <v>1856</v>
      </c>
      <c r="E882" s="9" t="s">
        <v>1857</v>
      </c>
      <c r="F882" s="9" t="s">
        <v>25</v>
      </c>
      <c r="G882" s="10" t="n">
        <v>2025</v>
      </c>
      <c r="H882" s="10" t="n">
        <v>0</v>
      </c>
      <c r="I882" s="19" t="n">
        <v>12000</v>
      </c>
      <c r="J882" s="19" t="n">
        <v>12000</v>
      </c>
      <c r="K882" s="10" t="n">
        <v>0</v>
      </c>
      <c r="L882" s="10" t="n">
        <v>108</v>
      </c>
      <c r="M882" s="10" t="n">
        <v>0</v>
      </c>
      <c r="N882" s="11" t="n">
        <v>0</v>
      </c>
      <c r="O882" s="18" t="s">
        <v>56</v>
      </c>
    </row>
    <row r="883" customFormat="false" ht="15" hidden="false" customHeight="false" outlineLevel="0" collapsed="false">
      <c r="A883" s="18" t="n">
        <v>144594455</v>
      </c>
      <c r="B883" s="10" t="n">
        <v>882</v>
      </c>
      <c r="C883" s="18" t="s">
        <v>43</v>
      </c>
      <c r="D883" s="9" t="s">
        <v>1858</v>
      </c>
      <c r="E883" s="9" t="s">
        <v>1859</v>
      </c>
      <c r="F883" s="9" t="s">
        <v>1860</v>
      </c>
      <c r="G883" s="10" t="n">
        <v>2025</v>
      </c>
      <c r="H883" s="10" t="n">
        <v>10</v>
      </c>
      <c r="I883" s="19" t="n">
        <v>31500</v>
      </c>
      <c r="J883" s="19" t="n">
        <v>35000</v>
      </c>
      <c r="K883" s="10" t="n">
        <v>1750</v>
      </c>
      <c r="L883" s="10" t="n">
        <v>228</v>
      </c>
      <c r="M883" s="10" t="n">
        <v>0</v>
      </c>
      <c r="N883" s="11" t="n">
        <v>0</v>
      </c>
      <c r="O883" s="18" t="s">
        <v>56</v>
      </c>
    </row>
    <row r="884" customFormat="false" ht="15" hidden="false" customHeight="false" outlineLevel="0" collapsed="false">
      <c r="A884" s="18" t="n">
        <v>144253147</v>
      </c>
      <c r="B884" s="10" t="n">
        <v>883</v>
      </c>
      <c r="C884" s="18" t="s">
        <v>43</v>
      </c>
      <c r="D884" s="9" t="s">
        <v>1861</v>
      </c>
      <c r="E884" s="9" t="s">
        <v>1862</v>
      </c>
      <c r="F884" s="9" t="s">
        <v>17</v>
      </c>
      <c r="G884" s="10" t="n">
        <v>2025</v>
      </c>
      <c r="H884" s="10" t="n">
        <v>10</v>
      </c>
      <c r="I884" s="19" t="n">
        <v>18900</v>
      </c>
      <c r="J884" s="19" t="n">
        <v>21000</v>
      </c>
      <c r="K884" s="10" t="n">
        <v>1050</v>
      </c>
      <c r="L884" s="10" t="n">
        <v>4332</v>
      </c>
      <c r="M884" s="10" t="n">
        <v>18</v>
      </c>
      <c r="N884" s="11" t="n">
        <v>10</v>
      </c>
      <c r="O884" s="18" t="s">
        <v>56</v>
      </c>
    </row>
    <row r="885" customFormat="false" ht="15" hidden="false" customHeight="false" outlineLevel="0" collapsed="false">
      <c r="A885" s="18" t="n">
        <v>144048800</v>
      </c>
      <c r="B885" s="10" t="n">
        <v>884</v>
      </c>
      <c r="C885" s="18" t="s">
        <v>43</v>
      </c>
      <c r="D885" s="15" t="s">
        <v>1863</v>
      </c>
      <c r="E885" s="9" t="s">
        <v>1864</v>
      </c>
      <c r="F885" s="9" t="s">
        <v>1865</v>
      </c>
      <c r="G885" s="10" t="n">
        <v>2025</v>
      </c>
      <c r="H885" s="10" t="n">
        <v>10</v>
      </c>
      <c r="I885" s="19" t="n">
        <v>28800</v>
      </c>
      <c r="J885" s="19" t="n">
        <v>32000</v>
      </c>
      <c r="K885" s="10" t="n">
        <v>320</v>
      </c>
      <c r="L885" s="10" t="n">
        <v>1140</v>
      </c>
      <c r="M885" s="10" t="n">
        <v>0</v>
      </c>
      <c r="N885" s="11" t="n">
        <v>0</v>
      </c>
      <c r="O885" s="18" t="s">
        <v>56</v>
      </c>
    </row>
    <row r="886" customFormat="false" ht="15" hidden="false" customHeight="false" outlineLevel="0" collapsed="false">
      <c r="A886" s="18" t="n">
        <v>143973042</v>
      </c>
      <c r="B886" s="10" t="n">
        <v>885</v>
      </c>
      <c r="C886" s="18" t="s">
        <v>43</v>
      </c>
      <c r="D886" s="9" t="s">
        <v>1866</v>
      </c>
      <c r="E886" s="9" t="s">
        <v>1867</v>
      </c>
      <c r="F886" s="9" t="s">
        <v>100</v>
      </c>
      <c r="G886" s="10" t="n">
        <v>2025</v>
      </c>
      <c r="H886" s="10" t="n">
        <v>10</v>
      </c>
      <c r="I886" s="19" t="n">
        <v>19800</v>
      </c>
      <c r="J886" s="19" t="n">
        <v>22000</v>
      </c>
      <c r="K886" s="10" t="n">
        <v>1100</v>
      </c>
      <c r="L886" s="10" t="n">
        <v>750</v>
      </c>
      <c r="M886" s="10" t="n">
        <v>1</v>
      </c>
      <c r="N886" s="11" t="n">
        <v>4</v>
      </c>
      <c r="O886" s="18" t="s">
        <v>56</v>
      </c>
    </row>
    <row r="887" customFormat="false" ht="15" hidden="false" customHeight="false" outlineLevel="0" collapsed="false">
      <c r="A887" s="18" t="n">
        <v>143909071</v>
      </c>
      <c r="B887" s="10" t="n">
        <v>886</v>
      </c>
      <c r="C887" s="18" t="s">
        <v>43</v>
      </c>
      <c r="D887" s="9" t="s">
        <v>1868</v>
      </c>
      <c r="E887" s="9" t="s">
        <v>1869</v>
      </c>
      <c r="F887" s="9" t="s">
        <v>12</v>
      </c>
      <c r="G887" s="10" t="n">
        <v>2025</v>
      </c>
      <c r="H887" s="10" t="n">
        <v>10</v>
      </c>
      <c r="I887" s="19" t="n">
        <v>21600</v>
      </c>
      <c r="J887" s="19" t="n">
        <v>24000</v>
      </c>
      <c r="K887" s="10" t="n">
        <v>1200</v>
      </c>
      <c r="L887" s="10" t="n">
        <v>3360</v>
      </c>
      <c r="M887" s="10" t="n">
        <v>31</v>
      </c>
      <c r="N887" s="11" t="n">
        <v>9.2</v>
      </c>
      <c r="O887" s="18" t="s">
        <v>46</v>
      </c>
    </row>
    <row r="888" customFormat="false" ht="15" hidden="false" customHeight="false" outlineLevel="0" collapsed="false">
      <c r="A888" s="18" t="n">
        <v>143843519</v>
      </c>
      <c r="B888" s="10" t="n">
        <v>887</v>
      </c>
      <c r="C888" s="18" t="s">
        <v>43</v>
      </c>
      <c r="D888" s="9" t="s">
        <v>1870</v>
      </c>
      <c r="E888" s="9" t="s">
        <v>1500</v>
      </c>
      <c r="F888" s="9" t="s">
        <v>25</v>
      </c>
      <c r="G888" s="10" t="n">
        <v>2025</v>
      </c>
      <c r="H888" s="10" t="n">
        <v>0</v>
      </c>
      <c r="I888" s="19" t="n">
        <v>12000</v>
      </c>
      <c r="J888" s="19" t="n">
        <v>12000</v>
      </c>
      <c r="K888" s="10" t="n">
        <v>0</v>
      </c>
      <c r="L888" s="10" t="n">
        <v>276</v>
      </c>
      <c r="M888" s="10" t="n">
        <v>0</v>
      </c>
      <c r="N888" s="11" t="n">
        <v>0</v>
      </c>
      <c r="O888" s="18" t="s">
        <v>56</v>
      </c>
    </row>
    <row r="889" customFormat="false" ht="15" hidden="false" customHeight="false" outlineLevel="0" collapsed="false">
      <c r="A889" s="18" t="n">
        <v>143837563</v>
      </c>
      <c r="B889" s="10" t="n">
        <v>888</v>
      </c>
      <c r="C889" s="18" t="s">
        <v>43</v>
      </c>
      <c r="D889" s="9" t="s">
        <v>1871</v>
      </c>
      <c r="E889" s="9" t="s">
        <v>1872</v>
      </c>
      <c r="F889" s="9" t="s">
        <v>1034</v>
      </c>
      <c r="G889" s="10" t="n">
        <v>2025</v>
      </c>
      <c r="H889" s="10" t="n">
        <v>10</v>
      </c>
      <c r="I889" s="19" t="n">
        <v>16200</v>
      </c>
      <c r="J889" s="19" t="n">
        <v>18000</v>
      </c>
      <c r="K889" s="10" t="n">
        <v>900</v>
      </c>
      <c r="L889" s="10" t="n">
        <v>300</v>
      </c>
      <c r="M889" s="10" t="n">
        <v>0</v>
      </c>
      <c r="N889" s="11" t="n">
        <v>0</v>
      </c>
      <c r="O889" s="18" t="s">
        <v>56</v>
      </c>
    </row>
    <row r="890" customFormat="false" ht="15" hidden="false" customHeight="false" outlineLevel="0" collapsed="false">
      <c r="A890" s="18" t="n">
        <v>143822293</v>
      </c>
      <c r="B890" s="10" t="n">
        <v>889</v>
      </c>
      <c r="C890" s="18" t="s">
        <v>43</v>
      </c>
      <c r="D890" s="9" t="s">
        <v>1873</v>
      </c>
      <c r="E890" s="15" t="s">
        <v>190</v>
      </c>
      <c r="F890" s="9" t="s">
        <v>14</v>
      </c>
      <c r="G890" s="10" t="n">
        <v>2025</v>
      </c>
      <c r="H890" s="10" t="n">
        <v>10</v>
      </c>
      <c r="I890" s="19" t="n">
        <v>23400</v>
      </c>
      <c r="J890" s="19" t="n">
        <v>26000</v>
      </c>
      <c r="K890" s="10" t="n">
        <v>1300</v>
      </c>
      <c r="L890" s="10" t="n">
        <v>1242</v>
      </c>
      <c r="M890" s="10" t="n">
        <v>32</v>
      </c>
      <c r="N890" s="11" t="n">
        <v>9.9</v>
      </c>
      <c r="O890" s="18" t="s">
        <v>56</v>
      </c>
    </row>
    <row r="891" customFormat="false" ht="15" hidden="false" customHeight="false" outlineLevel="0" collapsed="false">
      <c r="A891" s="18" t="n">
        <v>143792169</v>
      </c>
      <c r="B891" s="10" t="n">
        <v>890</v>
      </c>
      <c r="C891" s="18" t="s">
        <v>43</v>
      </c>
      <c r="D891" s="9" t="s">
        <v>1874</v>
      </c>
      <c r="E891" s="9" t="s">
        <v>1875</v>
      </c>
      <c r="F891" s="9" t="s">
        <v>21</v>
      </c>
      <c r="G891" s="10" t="n">
        <v>2025</v>
      </c>
      <c r="H891" s="10" t="n">
        <v>10</v>
      </c>
      <c r="I891" s="19" t="n">
        <v>25200</v>
      </c>
      <c r="J891" s="19" t="n">
        <v>28000</v>
      </c>
      <c r="K891" s="10" t="n">
        <v>1400</v>
      </c>
      <c r="L891" s="10" t="n">
        <v>438</v>
      </c>
      <c r="M891" s="10" t="n">
        <v>0</v>
      </c>
      <c r="N891" s="11" t="n">
        <v>0</v>
      </c>
      <c r="O891" s="18" t="s">
        <v>56</v>
      </c>
    </row>
    <row r="892" customFormat="false" ht="15" hidden="false" customHeight="false" outlineLevel="0" collapsed="false">
      <c r="A892" s="18" t="n">
        <v>143791593</v>
      </c>
      <c r="B892" s="10" t="n">
        <v>891</v>
      </c>
      <c r="C892" s="18" t="s">
        <v>43</v>
      </c>
      <c r="D892" s="9" t="s">
        <v>1876</v>
      </c>
      <c r="E892" s="9" t="s">
        <v>1877</v>
      </c>
      <c r="F892" s="9" t="s">
        <v>25</v>
      </c>
      <c r="G892" s="10" t="n">
        <v>2025</v>
      </c>
      <c r="H892" s="10" t="n">
        <v>0</v>
      </c>
      <c r="I892" s="19" t="n">
        <v>12000</v>
      </c>
      <c r="J892" s="19" t="n">
        <v>12000</v>
      </c>
      <c r="K892" s="10" t="n">
        <v>0</v>
      </c>
      <c r="L892" s="10" t="n">
        <v>228</v>
      </c>
      <c r="M892" s="10" t="n">
        <v>0</v>
      </c>
      <c r="N892" s="11" t="n">
        <v>0</v>
      </c>
      <c r="O892" s="18" t="s">
        <v>56</v>
      </c>
    </row>
    <row r="893" customFormat="false" ht="15" hidden="false" customHeight="false" outlineLevel="0" collapsed="false">
      <c r="A893" s="18" t="n">
        <v>143759917</v>
      </c>
      <c r="B893" s="10" t="n">
        <v>892</v>
      </c>
      <c r="C893" s="18" t="s">
        <v>43</v>
      </c>
      <c r="D893" s="9" t="s">
        <v>1878</v>
      </c>
      <c r="E893" s="9" t="s">
        <v>1879</v>
      </c>
      <c r="F893" s="9" t="s">
        <v>1349</v>
      </c>
      <c r="G893" s="10" t="n">
        <v>2025</v>
      </c>
      <c r="H893" s="10" t="n">
        <v>5</v>
      </c>
      <c r="I893" s="19" t="n">
        <v>38000</v>
      </c>
      <c r="J893" s="19" t="n">
        <v>40000</v>
      </c>
      <c r="K893" s="10" t="n">
        <v>800</v>
      </c>
      <c r="L893" s="10" t="n">
        <v>264</v>
      </c>
      <c r="M893" s="10" t="n">
        <v>0</v>
      </c>
      <c r="N893" s="11" t="n">
        <v>0</v>
      </c>
      <c r="O893" s="18" t="s">
        <v>56</v>
      </c>
    </row>
    <row r="894" customFormat="false" ht="15" hidden="false" customHeight="false" outlineLevel="0" collapsed="false">
      <c r="A894" s="18" t="n">
        <v>143609740</v>
      </c>
      <c r="B894" s="10" t="n">
        <v>893</v>
      </c>
      <c r="C894" s="18" t="s">
        <v>43</v>
      </c>
      <c r="D894" s="9" t="s">
        <v>1880</v>
      </c>
      <c r="E894" s="9" t="s">
        <v>1881</v>
      </c>
      <c r="F894" s="9" t="s">
        <v>25</v>
      </c>
      <c r="G894" s="10" t="n">
        <v>2025</v>
      </c>
      <c r="H894" s="10" t="n">
        <v>0</v>
      </c>
      <c r="I894" s="19" t="n">
        <v>12000</v>
      </c>
      <c r="J894" s="19" t="n">
        <v>12000</v>
      </c>
      <c r="K894" s="10" t="n">
        <v>0</v>
      </c>
      <c r="L894" s="10" t="n">
        <v>120</v>
      </c>
      <c r="M894" s="10" t="n">
        <v>0</v>
      </c>
      <c r="N894" s="11" t="n">
        <v>0</v>
      </c>
      <c r="O894" s="18" t="s">
        <v>56</v>
      </c>
    </row>
    <row r="895" customFormat="false" ht="15" hidden="false" customHeight="false" outlineLevel="0" collapsed="false">
      <c r="A895" s="18" t="n">
        <v>143484839</v>
      </c>
      <c r="B895" s="10" t="n">
        <v>894</v>
      </c>
      <c r="C895" s="18" t="s">
        <v>43</v>
      </c>
      <c r="D895" s="9" t="s">
        <v>1882</v>
      </c>
      <c r="E895" s="9" t="s">
        <v>1883</v>
      </c>
      <c r="F895" s="9" t="s">
        <v>1654</v>
      </c>
      <c r="G895" s="10" t="n">
        <v>2025</v>
      </c>
      <c r="H895" s="10" t="n">
        <v>10</v>
      </c>
      <c r="I895" s="19" t="n">
        <v>12600</v>
      </c>
      <c r="J895" s="19" t="n">
        <v>14000</v>
      </c>
      <c r="K895" s="10" t="n">
        <v>700</v>
      </c>
      <c r="L895" s="10" t="n">
        <v>831</v>
      </c>
      <c r="M895" s="10" t="n">
        <v>0</v>
      </c>
      <c r="N895" s="11" t="n">
        <v>0</v>
      </c>
      <c r="O895" s="18" t="s">
        <v>56</v>
      </c>
    </row>
    <row r="896" customFormat="false" ht="15" hidden="false" customHeight="false" outlineLevel="0" collapsed="false">
      <c r="A896" s="18" t="n">
        <v>143311442</v>
      </c>
      <c r="B896" s="10" t="n">
        <v>895</v>
      </c>
      <c r="C896" s="18" t="s">
        <v>43</v>
      </c>
      <c r="D896" s="9" t="s">
        <v>1884</v>
      </c>
      <c r="E896" s="9" t="s">
        <v>1885</v>
      </c>
      <c r="F896" s="9" t="s">
        <v>21</v>
      </c>
      <c r="G896" s="10" t="n">
        <v>2025</v>
      </c>
      <c r="H896" s="10" t="n">
        <v>10</v>
      </c>
      <c r="I896" s="19" t="n">
        <v>28800</v>
      </c>
      <c r="J896" s="19" t="n">
        <v>32000</v>
      </c>
      <c r="K896" s="10" t="n">
        <v>1600</v>
      </c>
      <c r="L896" s="10" t="n">
        <v>264</v>
      </c>
      <c r="M896" s="10" t="n">
        <v>0</v>
      </c>
      <c r="N896" s="11" t="n">
        <v>0</v>
      </c>
      <c r="O896" s="18" t="s">
        <v>56</v>
      </c>
    </row>
    <row r="897" customFormat="false" ht="15" hidden="false" customHeight="false" outlineLevel="0" collapsed="false">
      <c r="A897" s="18" t="n">
        <v>143304952</v>
      </c>
      <c r="B897" s="10" t="n">
        <v>896</v>
      </c>
      <c r="C897" s="18" t="s">
        <v>43</v>
      </c>
      <c r="D897" s="9" t="s">
        <v>1886</v>
      </c>
      <c r="E897" s="15" t="s">
        <v>1887</v>
      </c>
      <c r="F897" s="9" t="s">
        <v>64</v>
      </c>
      <c r="G897" s="10" t="n">
        <v>2025</v>
      </c>
      <c r="H897" s="10" t="n">
        <v>10</v>
      </c>
      <c r="I897" s="19" t="n">
        <v>17820</v>
      </c>
      <c r="J897" s="19" t="n">
        <v>19800</v>
      </c>
      <c r="K897" s="10" t="n">
        <v>990</v>
      </c>
      <c r="L897" s="10" t="n">
        <v>552</v>
      </c>
      <c r="M897" s="10" t="n">
        <v>8</v>
      </c>
      <c r="N897" s="11" t="n">
        <v>9.8</v>
      </c>
      <c r="O897" s="18" t="s">
        <v>56</v>
      </c>
    </row>
    <row r="898" customFormat="false" ht="15" hidden="false" customHeight="false" outlineLevel="0" collapsed="false">
      <c r="A898" s="18" t="n">
        <v>143253970</v>
      </c>
      <c r="B898" s="10" t="n">
        <v>897</v>
      </c>
      <c r="C898" s="18" t="s">
        <v>43</v>
      </c>
      <c r="D898" s="9" t="s">
        <v>1888</v>
      </c>
      <c r="E898" s="9" t="s">
        <v>1889</v>
      </c>
      <c r="F898" s="9" t="s">
        <v>751</v>
      </c>
      <c r="G898" s="10" t="n">
        <v>2025</v>
      </c>
      <c r="H898" s="10" t="n">
        <v>10</v>
      </c>
      <c r="I898" s="19" t="n">
        <v>22500</v>
      </c>
      <c r="J898" s="19" t="n">
        <v>25000</v>
      </c>
      <c r="K898" s="10" t="n">
        <v>1250</v>
      </c>
      <c r="L898" s="10" t="n">
        <v>276</v>
      </c>
      <c r="M898" s="10" t="n">
        <v>14</v>
      </c>
      <c r="N898" s="11" t="n">
        <v>9.6</v>
      </c>
      <c r="O898" s="18" t="s">
        <v>56</v>
      </c>
    </row>
    <row r="899" customFormat="false" ht="15" hidden="false" customHeight="false" outlineLevel="0" collapsed="false">
      <c r="A899" s="18" t="n">
        <v>143081338</v>
      </c>
      <c r="B899" s="10" t="n">
        <v>898</v>
      </c>
      <c r="C899" s="18" t="s">
        <v>43</v>
      </c>
      <c r="D899" s="9" t="s">
        <v>1890</v>
      </c>
      <c r="E899" s="9" t="s">
        <v>1891</v>
      </c>
      <c r="F899" s="9" t="s">
        <v>514</v>
      </c>
      <c r="G899" s="10" t="n">
        <v>2025</v>
      </c>
      <c r="H899" s="10" t="n">
        <v>0</v>
      </c>
      <c r="I899" s="19" t="n">
        <v>35000</v>
      </c>
      <c r="J899" s="19" t="n">
        <v>35000</v>
      </c>
      <c r="K899" s="10" t="n">
        <v>0</v>
      </c>
      <c r="L899" s="10" t="n">
        <v>2040</v>
      </c>
      <c r="M899" s="10" t="n">
        <v>0</v>
      </c>
      <c r="N899" s="11" t="n">
        <v>0</v>
      </c>
      <c r="O899" s="18" t="s">
        <v>56</v>
      </c>
    </row>
    <row r="900" customFormat="false" ht="15" hidden="false" customHeight="false" outlineLevel="0" collapsed="false">
      <c r="A900" s="18" t="n">
        <v>143053307</v>
      </c>
      <c r="B900" s="10" t="n">
        <v>899</v>
      </c>
      <c r="C900" s="18" t="s">
        <v>43</v>
      </c>
      <c r="D900" s="9" t="s">
        <v>1892</v>
      </c>
      <c r="E900" s="9" t="s">
        <v>1893</v>
      </c>
      <c r="F900" s="9" t="s">
        <v>231</v>
      </c>
      <c r="G900" s="10" t="n">
        <v>2025</v>
      </c>
      <c r="H900" s="10" t="n">
        <v>10</v>
      </c>
      <c r="I900" s="19" t="n">
        <v>21600</v>
      </c>
      <c r="J900" s="19" t="n">
        <v>24000</v>
      </c>
      <c r="K900" s="10" t="n">
        <v>1200</v>
      </c>
      <c r="L900" s="10" t="n">
        <v>1992</v>
      </c>
      <c r="M900" s="10" t="n">
        <v>2</v>
      </c>
      <c r="N900" s="11" t="n">
        <v>10</v>
      </c>
      <c r="O900" s="18" t="s">
        <v>56</v>
      </c>
    </row>
    <row r="901" customFormat="false" ht="15" hidden="false" customHeight="false" outlineLevel="0" collapsed="false">
      <c r="A901" s="18" t="n">
        <v>143000941</v>
      </c>
      <c r="B901" s="10" t="n">
        <v>900</v>
      </c>
      <c r="C901" s="18" t="s">
        <v>43</v>
      </c>
      <c r="D901" s="9" t="s">
        <v>1894</v>
      </c>
      <c r="E901" s="9" t="s">
        <v>1895</v>
      </c>
      <c r="F901" s="9" t="s">
        <v>1896</v>
      </c>
      <c r="G901" s="10" t="n">
        <v>2025</v>
      </c>
      <c r="H901" s="10" t="n">
        <v>10</v>
      </c>
      <c r="I901" s="19" t="n">
        <v>17100</v>
      </c>
      <c r="J901" s="19" t="n">
        <v>19000</v>
      </c>
      <c r="K901" s="10" t="n">
        <v>950</v>
      </c>
      <c r="L901" s="10" t="n">
        <v>210</v>
      </c>
      <c r="M901" s="10" t="n">
        <v>0</v>
      </c>
      <c r="N901" s="11" t="n">
        <v>0</v>
      </c>
      <c r="O901" s="18" t="s">
        <v>56</v>
      </c>
    </row>
    <row r="902" customFormat="false" ht="15" hidden="false" customHeight="false" outlineLevel="0" collapsed="false">
      <c r="A902" s="18" t="n">
        <v>142972932</v>
      </c>
      <c r="B902" s="10" t="n">
        <v>901</v>
      </c>
      <c r="C902" s="18" t="s">
        <v>43</v>
      </c>
      <c r="D902" s="9" t="s">
        <v>1897</v>
      </c>
      <c r="E902" s="9" t="s">
        <v>1898</v>
      </c>
      <c r="F902" s="9" t="s">
        <v>14</v>
      </c>
      <c r="G902" s="10" t="n">
        <v>2025</v>
      </c>
      <c r="H902" s="10" t="n">
        <v>10</v>
      </c>
      <c r="I902" s="19" t="n">
        <v>19800</v>
      </c>
      <c r="J902" s="19" t="n">
        <v>22000</v>
      </c>
      <c r="K902" s="10" t="n">
        <v>1100</v>
      </c>
      <c r="L902" s="10" t="n">
        <v>936</v>
      </c>
      <c r="M902" s="10" t="n">
        <v>10</v>
      </c>
      <c r="N902" s="11" t="n">
        <v>9.8</v>
      </c>
      <c r="O902" s="18" t="s">
        <v>56</v>
      </c>
    </row>
    <row r="903" customFormat="false" ht="15" hidden="false" customHeight="false" outlineLevel="0" collapsed="false">
      <c r="A903" s="18" t="n">
        <v>142844457</v>
      </c>
      <c r="B903" s="10" t="n">
        <v>902</v>
      </c>
      <c r="C903" s="18" t="s">
        <v>43</v>
      </c>
      <c r="D903" s="9" t="s">
        <v>1899</v>
      </c>
      <c r="E903" s="9" t="s">
        <v>895</v>
      </c>
      <c r="F903" s="9" t="s">
        <v>322</v>
      </c>
      <c r="G903" s="10" t="n">
        <v>2025</v>
      </c>
      <c r="H903" s="10" t="n">
        <v>10</v>
      </c>
      <c r="I903" s="19" t="n">
        <v>13500</v>
      </c>
      <c r="J903" s="19" t="n">
        <v>15000</v>
      </c>
      <c r="K903" s="10" t="n">
        <v>0</v>
      </c>
      <c r="L903" s="10" t="n">
        <v>1848</v>
      </c>
      <c r="M903" s="10" t="n">
        <v>10</v>
      </c>
      <c r="N903" s="11" t="n">
        <v>10</v>
      </c>
      <c r="O903" s="18" t="s">
        <v>56</v>
      </c>
    </row>
    <row r="904" customFormat="false" ht="15" hidden="false" customHeight="false" outlineLevel="0" collapsed="false">
      <c r="A904" s="18" t="n">
        <v>142788726</v>
      </c>
      <c r="B904" s="10" t="n">
        <v>903</v>
      </c>
      <c r="C904" s="18" t="s">
        <v>43</v>
      </c>
      <c r="D904" s="9" t="s">
        <v>1900</v>
      </c>
      <c r="E904" s="9" t="s">
        <v>1436</v>
      </c>
      <c r="F904" s="9" t="s">
        <v>422</v>
      </c>
      <c r="G904" s="10" t="n">
        <v>2025</v>
      </c>
      <c r="H904" s="10" t="n">
        <v>10</v>
      </c>
      <c r="I904" s="19" t="n">
        <v>36000</v>
      </c>
      <c r="J904" s="19" t="n">
        <v>40000</v>
      </c>
      <c r="K904" s="10" t="n">
        <v>2000</v>
      </c>
      <c r="L904" s="10" t="n">
        <v>732</v>
      </c>
      <c r="M904" s="10" t="n">
        <v>3</v>
      </c>
      <c r="N904" s="11" t="n">
        <v>9.3</v>
      </c>
      <c r="O904" s="18" t="s">
        <v>56</v>
      </c>
    </row>
    <row r="905" customFormat="false" ht="15" hidden="false" customHeight="false" outlineLevel="0" collapsed="false">
      <c r="A905" s="18" t="n">
        <v>142704643</v>
      </c>
      <c r="B905" s="10" t="n">
        <v>904</v>
      </c>
      <c r="C905" s="18" t="s">
        <v>43</v>
      </c>
      <c r="D905" s="15" t="s">
        <v>1901</v>
      </c>
      <c r="E905" s="15" t="s">
        <v>1902</v>
      </c>
      <c r="F905" s="15" t="s">
        <v>561</v>
      </c>
      <c r="G905" s="10" t="n">
        <v>2025</v>
      </c>
      <c r="H905" s="10" t="n">
        <v>0</v>
      </c>
      <c r="I905" s="19" t="n">
        <v>60700</v>
      </c>
      <c r="J905" s="19" t="n">
        <v>60700</v>
      </c>
      <c r="K905" s="10" t="n">
        <v>0</v>
      </c>
      <c r="L905" s="10" t="n">
        <v>234</v>
      </c>
      <c r="M905" s="10" t="n">
        <v>0</v>
      </c>
      <c r="N905" s="11" t="n">
        <v>0</v>
      </c>
      <c r="O905" s="18" t="s">
        <v>56</v>
      </c>
    </row>
    <row r="906" customFormat="false" ht="15" hidden="false" customHeight="false" outlineLevel="0" collapsed="false">
      <c r="A906" s="18" t="n">
        <v>142700165</v>
      </c>
      <c r="B906" s="10" t="n">
        <v>905</v>
      </c>
      <c r="C906" s="18" t="s">
        <v>43</v>
      </c>
      <c r="D906" s="9" t="s">
        <v>1903</v>
      </c>
      <c r="E906" s="9" t="s">
        <v>1904</v>
      </c>
      <c r="F906" s="9" t="s">
        <v>25</v>
      </c>
      <c r="G906" s="10" t="n">
        <v>2025</v>
      </c>
      <c r="H906" s="10" t="n">
        <v>0</v>
      </c>
      <c r="I906" s="19" t="n">
        <v>12000</v>
      </c>
      <c r="J906" s="19" t="n">
        <v>12000</v>
      </c>
      <c r="K906" s="10" t="n">
        <v>0</v>
      </c>
      <c r="L906" s="10" t="n">
        <v>72</v>
      </c>
      <c r="M906" s="10" t="n">
        <v>0</v>
      </c>
      <c r="N906" s="11" t="n">
        <v>0</v>
      </c>
      <c r="O906" s="18" t="s">
        <v>56</v>
      </c>
    </row>
    <row r="907" customFormat="false" ht="15" hidden="false" customHeight="false" outlineLevel="0" collapsed="false">
      <c r="A907" s="18" t="n">
        <v>142691948</v>
      </c>
      <c r="B907" s="10" t="n">
        <v>906</v>
      </c>
      <c r="C907" s="18" t="s">
        <v>43</v>
      </c>
      <c r="D907" s="9" t="s">
        <v>1905</v>
      </c>
      <c r="E907" s="9" t="s">
        <v>1906</v>
      </c>
      <c r="F907" s="9" t="s">
        <v>1907</v>
      </c>
      <c r="G907" s="10" t="n">
        <v>2025</v>
      </c>
      <c r="H907" s="10" t="n">
        <v>10</v>
      </c>
      <c r="I907" s="19" t="n">
        <v>24210</v>
      </c>
      <c r="J907" s="19" t="n">
        <v>26900</v>
      </c>
      <c r="K907" s="10" t="n">
        <v>1340</v>
      </c>
      <c r="L907" s="10" t="n">
        <v>2406</v>
      </c>
      <c r="M907" s="10" t="n">
        <v>45</v>
      </c>
      <c r="N907" s="11" t="n">
        <v>9.7</v>
      </c>
      <c r="O907" s="18" t="s">
        <v>56</v>
      </c>
    </row>
    <row r="908" customFormat="false" ht="15" hidden="false" customHeight="false" outlineLevel="0" collapsed="false">
      <c r="A908" s="18" t="n">
        <v>142686838</v>
      </c>
      <c r="B908" s="10" t="n">
        <v>907</v>
      </c>
      <c r="C908" s="18" t="s">
        <v>43</v>
      </c>
      <c r="D908" s="9" t="s">
        <v>1908</v>
      </c>
      <c r="E908" s="9" t="s">
        <v>1909</v>
      </c>
      <c r="F908" s="9" t="s">
        <v>552</v>
      </c>
      <c r="G908" s="10" t="n">
        <v>2025</v>
      </c>
      <c r="H908" s="10" t="n">
        <v>10</v>
      </c>
      <c r="I908" s="19" t="n">
        <v>26550</v>
      </c>
      <c r="J908" s="19" t="n">
        <v>29500</v>
      </c>
      <c r="K908" s="10" t="n">
        <v>1470</v>
      </c>
      <c r="L908" s="10" t="n">
        <v>522</v>
      </c>
      <c r="M908" s="10" t="n">
        <v>14</v>
      </c>
      <c r="N908" s="11" t="n">
        <v>10</v>
      </c>
      <c r="O908" s="18" t="s">
        <v>56</v>
      </c>
    </row>
    <row r="909" customFormat="false" ht="15" hidden="false" customHeight="false" outlineLevel="0" collapsed="false">
      <c r="A909" s="18" t="n">
        <v>142641580</v>
      </c>
      <c r="B909" s="10" t="n">
        <v>908</v>
      </c>
      <c r="C909" s="18" t="s">
        <v>43</v>
      </c>
      <c r="D909" s="9" t="s">
        <v>1910</v>
      </c>
      <c r="E909" s="9" t="s">
        <v>1911</v>
      </c>
      <c r="F909" s="15" t="s">
        <v>1631</v>
      </c>
      <c r="G909" s="10" t="n">
        <v>2025</v>
      </c>
      <c r="H909" s="10" t="n">
        <v>10</v>
      </c>
      <c r="I909" s="19" t="n">
        <v>12600</v>
      </c>
      <c r="J909" s="19" t="n">
        <v>14000</v>
      </c>
      <c r="K909" s="10" t="n">
        <v>700</v>
      </c>
      <c r="L909" s="10" t="n">
        <v>582</v>
      </c>
      <c r="M909" s="10" t="n">
        <v>0</v>
      </c>
      <c r="N909" s="11" t="n">
        <v>0</v>
      </c>
      <c r="O909" s="18" t="s">
        <v>56</v>
      </c>
    </row>
    <row r="910" customFormat="false" ht="15" hidden="false" customHeight="false" outlineLevel="0" collapsed="false">
      <c r="A910" s="18" t="n">
        <v>142636957</v>
      </c>
      <c r="B910" s="10" t="n">
        <v>909</v>
      </c>
      <c r="C910" s="18" t="s">
        <v>43</v>
      </c>
      <c r="D910" s="9" t="s">
        <v>1912</v>
      </c>
      <c r="E910" s="9" t="s">
        <v>1913</v>
      </c>
      <c r="F910" s="9" t="s">
        <v>982</v>
      </c>
      <c r="G910" s="10" t="n">
        <v>2025</v>
      </c>
      <c r="H910" s="10" t="n">
        <v>10</v>
      </c>
      <c r="I910" s="19" t="n">
        <v>25200</v>
      </c>
      <c r="J910" s="19" t="n">
        <v>28000</v>
      </c>
      <c r="K910" s="10" t="n">
        <v>1400</v>
      </c>
      <c r="L910" s="10" t="n">
        <v>864</v>
      </c>
      <c r="M910" s="10" t="n">
        <v>11</v>
      </c>
      <c r="N910" s="11" t="n">
        <v>9.8</v>
      </c>
      <c r="O910" s="18" t="s">
        <v>56</v>
      </c>
    </row>
    <row r="911" customFormat="false" ht="15" hidden="false" customHeight="false" outlineLevel="0" collapsed="false">
      <c r="A911" s="18" t="n">
        <v>142277966</v>
      </c>
      <c r="B911" s="10" t="n">
        <v>910</v>
      </c>
      <c r="C911" s="18" t="s">
        <v>43</v>
      </c>
      <c r="D911" s="15" t="s">
        <v>1914</v>
      </c>
      <c r="E911" s="9" t="s">
        <v>403</v>
      </c>
      <c r="F911" s="9" t="s">
        <v>161</v>
      </c>
      <c r="G911" s="10" t="n">
        <v>2025</v>
      </c>
      <c r="H911" s="10" t="n">
        <v>10</v>
      </c>
      <c r="I911" s="19" t="n">
        <v>12600</v>
      </c>
      <c r="J911" s="19" t="n">
        <v>14000</v>
      </c>
      <c r="K911" s="10" t="n">
        <v>700</v>
      </c>
      <c r="L911" s="10" t="n">
        <v>1446</v>
      </c>
      <c r="M911" s="10" t="n">
        <v>1</v>
      </c>
      <c r="N911" s="11" t="n">
        <v>10</v>
      </c>
      <c r="O911" s="18" t="s">
        <v>56</v>
      </c>
    </row>
    <row r="912" customFormat="false" ht="15" hidden="false" customHeight="false" outlineLevel="0" collapsed="false">
      <c r="A912" s="18" t="n">
        <v>142271059</v>
      </c>
      <c r="B912" s="10" t="n">
        <v>911</v>
      </c>
      <c r="C912" s="18" t="s">
        <v>43</v>
      </c>
      <c r="D912" s="9" t="s">
        <v>1915</v>
      </c>
      <c r="E912" s="9" t="s">
        <v>1916</v>
      </c>
      <c r="F912" s="9" t="s">
        <v>1917</v>
      </c>
      <c r="G912" s="10" t="n">
        <v>2025</v>
      </c>
      <c r="H912" s="10" t="n">
        <v>5</v>
      </c>
      <c r="I912" s="19" t="n">
        <v>42750</v>
      </c>
      <c r="J912" s="19" t="n">
        <v>45000</v>
      </c>
      <c r="K912" s="10" t="n">
        <v>900</v>
      </c>
      <c r="L912" s="10" t="n">
        <v>276</v>
      </c>
      <c r="M912" s="10" t="n">
        <v>1</v>
      </c>
      <c r="N912" s="11" t="n">
        <v>2</v>
      </c>
      <c r="O912" s="18" t="s">
        <v>56</v>
      </c>
    </row>
    <row r="913" customFormat="false" ht="15" hidden="false" customHeight="false" outlineLevel="0" collapsed="false">
      <c r="A913" s="18" t="n">
        <v>142250534</v>
      </c>
      <c r="B913" s="10" t="n">
        <v>912</v>
      </c>
      <c r="C913" s="18" t="s">
        <v>43</v>
      </c>
      <c r="D913" s="9" t="s">
        <v>1918</v>
      </c>
      <c r="E913" s="9" t="s">
        <v>1919</v>
      </c>
      <c r="F913" s="9" t="s">
        <v>1920</v>
      </c>
      <c r="G913" s="10" t="n">
        <v>2025</v>
      </c>
      <c r="H913" s="10" t="n">
        <v>10</v>
      </c>
      <c r="I913" s="19" t="n">
        <v>11700</v>
      </c>
      <c r="J913" s="19" t="n">
        <v>13000</v>
      </c>
      <c r="K913" s="10" t="n">
        <v>650</v>
      </c>
      <c r="L913" s="10" t="n">
        <v>1545</v>
      </c>
      <c r="M913" s="10" t="n">
        <v>0</v>
      </c>
      <c r="N913" s="11" t="n">
        <v>0</v>
      </c>
      <c r="O913" s="18" t="s">
        <v>56</v>
      </c>
    </row>
    <row r="914" customFormat="false" ht="15" hidden="false" customHeight="false" outlineLevel="0" collapsed="false">
      <c r="A914" s="18" t="n">
        <v>141888791</v>
      </c>
      <c r="B914" s="10" t="n">
        <v>913</v>
      </c>
      <c r="C914" s="18" t="s">
        <v>43</v>
      </c>
      <c r="D914" s="15" t="s">
        <v>1921</v>
      </c>
      <c r="E914" s="9" t="s">
        <v>1922</v>
      </c>
      <c r="F914" s="9" t="s">
        <v>25</v>
      </c>
      <c r="G914" s="10" t="n">
        <v>2025</v>
      </c>
      <c r="H914" s="10" t="n">
        <v>0</v>
      </c>
      <c r="I914" s="19" t="n">
        <v>12000</v>
      </c>
      <c r="J914" s="19" t="n">
        <v>12000</v>
      </c>
      <c r="K914" s="10" t="n">
        <v>0</v>
      </c>
      <c r="L914" s="10" t="n">
        <v>186</v>
      </c>
      <c r="M914" s="10" t="n">
        <v>0</v>
      </c>
      <c r="N914" s="11" t="n">
        <v>0</v>
      </c>
      <c r="O914" s="18" t="s">
        <v>56</v>
      </c>
    </row>
    <row r="915" customFormat="false" ht="15" hidden="false" customHeight="false" outlineLevel="0" collapsed="false">
      <c r="A915" s="18" t="n">
        <v>141828205</v>
      </c>
      <c r="B915" s="10" t="n">
        <v>914</v>
      </c>
      <c r="C915" s="18" t="s">
        <v>43</v>
      </c>
      <c r="D915" s="9" t="s">
        <v>1923</v>
      </c>
      <c r="E915" s="9" t="s">
        <v>1924</v>
      </c>
      <c r="F915" s="9" t="s">
        <v>1925</v>
      </c>
      <c r="G915" s="10" t="n">
        <v>2025</v>
      </c>
      <c r="H915" s="10" t="n">
        <v>10</v>
      </c>
      <c r="I915" s="19" t="n">
        <v>22500</v>
      </c>
      <c r="J915" s="19" t="n">
        <v>25000</v>
      </c>
      <c r="K915" s="10" t="n">
        <v>1250</v>
      </c>
      <c r="L915" s="10" t="n">
        <v>2850</v>
      </c>
      <c r="M915" s="10" t="n">
        <v>18</v>
      </c>
      <c r="N915" s="11" t="n">
        <v>9.8</v>
      </c>
      <c r="O915" s="18" t="s">
        <v>56</v>
      </c>
    </row>
    <row r="916" customFormat="false" ht="15" hidden="false" customHeight="false" outlineLevel="0" collapsed="false">
      <c r="A916" s="18" t="n">
        <v>141799500</v>
      </c>
      <c r="B916" s="10" t="n">
        <v>915</v>
      </c>
      <c r="C916" s="18" t="s">
        <v>43</v>
      </c>
      <c r="D916" s="15" t="s">
        <v>1926</v>
      </c>
      <c r="E916" s="9" t="s">
        <v>1927</v>
      </c>
      <c r="F916" s="9" t="s">
        <v>322</v>
      </c>
      <c r="G916" s="10" t="n">
        <v>2025</v>
      </c>
      <c r="H916" s="10" t="n">
        <v>0</v>
      </c>
      <c r="I916" s="19" t="n">
        <v>39000</v>
      </c>
      <c r="J916" s="19" t="n">
        <v>39000</v>
      </c>
      <c r="K916" s="10" t="n">
        <v>0</v>
      </c>
      <c r="L916" s="10" t="n">
        <v>1236</v>
      </c>
      <c r="M916" s="10" t="n">
        <v>0</v>
      </c>
      <c r="N916" s="11" t="n">
        <v>0</v>
      </c>
      <c r="O916" s="18" t="s">
        <v>56</v>
      </c>
    </row>
    <row r="917" customFormat="false" ht="15" hidden="false" customHeight="false" outlineLevel="0" collapsed="false">
      <c r="A917" s="18" t="n">
        <v>141753245</v>
      </c>
      <c r="B917" s="10" t="n">
        <v>916</v>
      </c>
      <c r="C917" s="18" t="s">
        <v>43</v>
      </c>
      <c r="D917" s="9" t="s">
        <v>1928</v>
      </c>
      <c r="E917" s="9" t="s">
        <v>1929</v>
      </c>
      <c r="F917" s="9" t="s">
        <v>514</v>
      </c>
      <c r="G917" s="10" t="n">
        <v>2025</v>
      </c>
      <c r="H917" s="10" t="n">
        <v>0</v>
      </c>
      <c r="I917" s="19" t="n">
        <v>24000</v>
      </c>
      <c r="J917" s="19" t="n">
        <v>24000</v>
      </c>
      <c r="K917" s="10" t="n">
        <v>720</v>
      </c>
      <c r="L917" s="10" t="n">
        <v>1605</v>
      </c>
      <c r="M917" s="10" t="n">
        <v>1</v>
      </c>
      <c r="N917" s="11" t="n">
        <v>10</v>
      </c>
      <c r="O917" s="18" t="s">
        <v>56</v>
      </c>
    </row>
    <row r="918" customFormat="false" ht="15" hidden="false" customHeight="false" outlineLevel="0" collapsed="false">
      <c r="A918" s="18" t="n">
        <v>141731540</v>
      </c>
      <c r="B918" s="10" t="n">
        <v>917</v>
      </c>
      <c r="C918" s="18" t="s">
        <v>43</v>
      </c>
      <c r="D918" s="9" t="s">
        <v>1930</v>
      </c>
      <c r="E918" s="9" t="s">
        <v>1931</v>
      </c>
      <c r="F918" s="9" t="s">
        <v>211</v>
      </c>
      <c r="G918" s="10" t="n">
        <v>2025</v>
      </c>
      <c r="H918" s="10" t="n">
        <v>10</v>
      </c>
      <c r="I918" s="19" t="n">
        <v>27000</v>
      </c>
      <c r="J918" s="19" t="n">
        <v>30000</v>
      </c>
      <c r="K918" s="10" t="n">
        <v>1500</v>
      </c>
      <c r="L918" s="10" t="n">
        <v>618</v>
      </c>
      <c r="M918" s="10" t="n">
        <v>14</v>
      </c>
      <c r="N918" s="11" t="n">
        <v>9.3</v>
      </c>
      <c r="O918" s="18" t="s">
        <v>56</v>
      </c>
    </row>
    <row r="919" customFormat="false" ht="15" hidden="false" customHeight="false" outlineLevel="0" collapsed="false">
      <c r="A919" s="18" t="n">
        <v>141695114</v>
      </c>
      <c r="B919" s="10" t="n">
        <v>918</v>
      </c>
      <c r="C919" s="18" t="s">
        <v>43</v>
      </c>
      <c r="D919" s="9" t="s">
        <v>1932</v>
      </c>
      <c r="E919" s="9" t="s">
        <v>1933</v>
      </c>
      <c r="F919" s="9" t="s">
        <v>12</v>
      </c>
      <c r="G919" s="10" t="n">
        <v>2025</v>
      </c>
      <c r="H919" s="10" t="n">
        <v>10</v>
      </c>
      <c r="I919" s="19" t="n">
        <v>18900</v>
      </c>
      <c r="J919" s="19" t="n">
        <v>21000</v>
      </c>
      <c r="K919" s="10" t="n">
        <v>1050</v>
      </c>
      <c r="L919" s="10" t="n">
        <v>732</v>
      </c>
      <c r="M919" s="10" t="n">
        <v>28</v>
      </c>
      <c r="N919" s="11" t="n">
        <v>9.8</v>
      </c>
      <c r="O919" s="18" t="s">
        <v>46</v>
      </c>
    </row>
    <row r="920" customFormat="false" ht="15" hidden="false" customHeight="false" outlineLevel="0" collapsed="false">
      <c r="A920" s="18" t="n">
        <v>141390139</v>
      </c>
      <c r="B920" s="10" t="n">
        <v>919</v>
      </c>
      <c r="C920" s="18" t="s">
        <v>43</v>
      </c>
      <c r="D920" s="9" t="s">
        <v>1934</v>
      </c>
      <c r="E920" s="9" t="s">
        <v>1935</v>
      </c>
      <c r="F920" s="9" t="s">
        <v>514</v>
      </c>
      <c r="G920" s="10" t="n">
        <v>2025</v>
      </c>
      <c r="H920" s="10" t="n">
        <v>0</v>
      </c>
      <c r="I920" s="19" t="n">
        <v>32000</v>
      </c>
      <c r="J920" s="19" t="n">
        <v>32000</v>
      </c>
      <c r="K920" s="10" t="n">
        <v>0</v>
      </c>
      <c r="L920" s="10" t="n">
        <v>1536</v>
      </c>
      <c r="M920" s="10" t="n">
        <v>0</v>
      </c>
      <c r="N920" s="11" t="n">
        <v>0</v>
      </c>
      <c r="O920" s="18" t="s">
        <v>56</v>
      </c>
    </row>
    <row r="921" customFormat="false" ht="15" hidden="false" customHeight="false" outlineLevel="0" collapsed="false">
      <c r="A921" s="18" t="n">
        <v>141383909</v>
      </c>
      <c r="B921" s="10" t="n">
        <v>920</v>
      </c>
      <c r="C921" s="18" t="s">
        <v>43</v>
      </c>
      <c r="D921" s="9" t="s">
        <v>1936</v>
      </c>
      <c r="E921" s="9" t="s">
        <v>1937</v>
      </c>
      <c r="F921" s="9" t="s">
        <v>564</v>
      </c>
      <c r="G921" s="10" t="n">
        <v>2025</v>
      </c>
      <c r="H921" s="10" t="n">
        <v>10</v>
      </c>
      <c r="I921" s="19" t="n">
        <v>16020</v>
      </c>
      <c r="J921" s="19" t="n">
        <v>17800</v>
      </c>
      <c r="K921" s="10" t="n">
        <v>890</v>
      </c>
      <c r="L921" s="10" t="n">
        <v>570</v>
      </c>
      <c r="M921" s="10" t="n">
        <v>4</v>
      </c>
      <c r="N921" s="11" t="n">
        <v>9.5</v>
      </c>
      <c r="O921" s="18" t="s">
        <v>56</v>
      </c>
    </row>
    <row r="922" customFormat="false" ht="15" hidden="false" customHeight="false" outlineLevel="0" collapsed="false">
      <c r="A922" s="18" t="n">
        <v>141382077</v>
      </c>
      <c r="B922" s="10" t="n">
        <v>921</v>
      </c>
      <c r="C922" s="18" t="s">
        <v>43</v>
      </c>
      <c r="D922" s="15" t="s">
        <v>1938</v>
      </c>
      <c r="E922" s="9" t="s">
        <v>1939</v>
      </c>
      <c r="F922" s="9" t="s">
        <v>1940</v>
      </c>
      <c r="G922" s="10" t="n">
        <v>2025</v>
      </c>
      <c r="H922" s="10" t="n">
        <v>10</v>
      </c>
      <c r="I922" s="19" t="n">
        <v>22500</v>
      </c>
      <c r="J922" s="19" t="n">
        <v>25000</v>
      </c>
      <c r="K922" s="10" t="n">
        <v>1250</v>
      </c>
      <c r="L922" s="10" t="n">
        <v>1056</v>
      </c>
      <c r="M922" s="10" t="n">
        <v>31</v>
      </c>
      <c r="N922" s="11" t="n">
        <v>9.7</v>
      </c>
      <c r="O922" s="18" t="s">
        <v>56</v>
      </c>
    </row>
    <row r="923" customFormat="false" ht="15" hidden="false" customHeight="false" outlineLevel="0" collapsed="false">
      <c r="A923" s="18" t="n">
        <v>141377702</v>
      </c>
      <c r="B923" s="10" t="n">
        <v>922</v>
      </c>
      <c r="C923" s="18" t="s">
        <v>43</v>
      </c>
      <c r="D923" s="9" t="s">
        <v>1941</v>
      </c>
      <c r="E923" s="9" t="s">
        <v>1942</v>
      </c>
      <c r="F923" s="9" t="s">
        <v>422</v>
      </c>
      <c r="G923" s="10" t="n">
        <v>2025</v>
      </c>
      <c r="H923" s="10" t="n">
        <v>10</v>
      </c>
      <c r="I923" s="19" t="n">
        <v>49500</v>
      </c>
      <c r="J923" s="19" t="n">
        <v>55000</v>
      </c>
      <c r="K923" s="10" t="n">
        <v>2750</v>
      </c>
      <c r="L923" s="10" t="n">
        <v>396</v>
      </c>
      <c r="M923" s="10" t="n">
        <v>0</v>
      </c>
      <c r="N923" s="11" t="n">
        <v>0</v>
      </c>
      <c r="O923" s="18" t="s">
        <v>56</v>
      </c>
    </row>
    <row r="924" customFormat="false" ht="15" hidden="false" customHeight="false" outlineLevel="0" collapsed="false">
      <c r="A924" s="18" t="n">
        <v>141311308</v>
      </c>
      <c r="B924" s="10" t="n">
        <v>923</v>
      </c>
      <c r="C924" s="18" t="s">
        <v>43</v>
      </c>
      <c r="D924" s="15" t="s">
        <v>1943</v>
      </c>
      <c r="E924" s="9" t="s">
        <v>595</v>
      </c>
      <c r="F924" s="9" t="s">
        <v>596</v>
      </c>
      <c r="G924" s="10" t="n">
        <v>2025</v>
      </c>
      <c r="H924" s="10" t="n">
        <v>0</v>
      </c>
      <c r="I924" s="19" t="n">
        <v>48000</v>
      </c>
      <c r="J924" s="19" t="n">
        <v>48000</v>
      </c>
      <c r="K924" s="10" t="n">
        <v>0</v>
      </c>
      <c r="L924" s="10" t="n">
        <v>114</v>
      </c>
      <c r="M924" s="10" t="n">
        <v>0</v>
      </c>
      <c r="N924" s="11" t="n">
        <v>0</v>
      </c>
      <c r="O924" s="18" t="s">
        <v>56</v>
      </c>
    </row>
    <row r="925" customFormat="false" ht="15" hidden="false" customHeight="false" outlineLevel="0" collapsed="false">
      <c r="A925" s="18" t="n">
        <v>141267035</v>
      </c>
      <c r="B925" s="10" t="n">
        <v>924</v>
      </c>
      <c r="C925" s="18" t="s">
        <v>43</v>
      </c>
      <c r="D925" s="15" t="s">
        <v>1944</v>
      </c>
      <c r="E925" s="9" t="s">
        <v>1945</v>
      </c>
      <c r="F925" s="9" t="s">
        <v>1946</v>
      </c>
      <c r="G925" s="10" t="n">
        <v>2025</v>
      </c>
      <c r="H925" s="10" t="n">
        <v>10</v>
      </c>
      <c r="I925" s="19" t="n">
        <v>17820</v>
      </c>
      <c r="J925" s="19" t="n">
        <v>19800</v>
      </c>
      <c r="K925" s="10" t="n">
        <v>990</v>
      </c>
      <c r="L925" s="10" t="n">
        <v>774</v>
      </c>
      <c r="M925" s="10" t="n">
        <v>11</v>
      </c>
      <c r="N925" s="11" t="n">
        <v>9.8</v>
      </c>
      <c r="O925" s="18" t="s">
        <v>56</v>
      </c>
    </row>
    <row r="926" customFormat="false" ht="15" hidden="false" customHeight="false" outlineLevel="0" collapsed="false">
      <c r="A926" s="18" t="n">
        <v>141262171</v>
      </c>
      <c r="B926" s="10" t="n">
        <v>925</v>
      </c>
      <c r="C926" s="18" t="s">
        <v>43</v>
      </c>
      <c r="D926" s="9" t="s">
        <v>1947</v>
      </c>
      <c r="E926" s="9" t="s">
        <v>1948</v>
      </c>
      <c r="F926" s="9" t="s">
        <v>17</v>
      </c>
      <c r="G926" s="10" t="n">
        <v>2025</v>
      </c>
      <c r="H926" s="10" t="n">
        <v>10</v>
      </c>
      <c r="I926" s="19" t="n">
        <v>17100</v>
      </c>
      <c r="J926" s="19" t="n">
        <v>19000</v>
      </c>
      <c r="K926" s="10" t="n">
        <v>950</v>
      </c>
      <c r="L926" s="10" t="n">
        <v>2154</v>
      </c>
      <c r="M926" s="10" t="n">
        <v>7</v>
      </c>
      <c r="N926" s="11" t="n">
        <v>10</v>
      </c>
      <c r="O926" s="18" t="s">
        <v>46</v>
      </c>
    </row>
    <row r="927" customFormat="false" ht="15" hidden="false" customHeight="false" outlineLevel="0" collapsed="false">
      <c r="A927" s="18" t="n">
        <v>141128416</v>
      </c>
      <c r="B927" s="10" t="n">
        <v>926</v>
      </c>
      <c r="C927" s="18" t="s">
        <v>43</v>
      </c>
      <c r="D927" s="9" t="s">
        <v>1949</v>
      </c>
      <c r="E927" s="9" t="s">
        <v>1950</v>
      </c>
      <c r="F927" s="9" t="s">
        <v>21</v>
      </c>
      <c r="G927" s="10" t="n">
        <v>2025</v>
      </c>
      <c r="H927" s="10" t="n">
        <v>10</v>
      </c>
      <c r="I927" s="19" t="n">
        <v>31500</v>
      </c>
      <c r="J927" s="19" t="n">
        <v>35000</v>
      </c>
      <c r="K927" s="10" t="n">
        <v>1750</v>
      </c>
      <c r="L927" s="10" t="n">
        <v>378</v>
      </c>
      <c r="M927" s="10" t="n">
        <v>2</v>
      </c>
      <c r="N927" s="11" t="n">
        <v>8</v>
      </c>
      <c r="O927" s="18" t="s">
        <v>56</v>
      </c>
    </row>
    <row r="928" customFormat="false" ht="15" hidden="false" customHeight="false" outlineLevel="0" collapsed="false">
      <c r="A928" s="18" t="n">
        <v>141128415</v>
      </c>
      <c r="B928" s="10" t="n">
        <v>927</v>
      </c>
      <c r="C928" s="18" t="s">
        <v>43</v>
      </c>
      <c r="D928" s="15" t="s">
        <v>1951</v>
      </c>
      <c r="E928" s="9" t="s">
        <v>1952</v>
      </c>
      <c r="F928" s="9" t="s">
        <v>21</v>
      </c>
      <c r="G928" s="10" t="n">
        <v>2025</v>
      </c>
      <c r="H928" s="10" t="n">
        <v>10</v>
      </c>
      <c r="I928" s="19" t="n">
        <v>31500</v>
      </c>
      <c r="J928" s="19" t="n">
        <v>35000</v>
      </c>
      <c r="K928" s="10" t="n">
        <v>1750</v>
      </c>
      <c r="L928" s="10" t="n">
        <v>696</v>
      </c>
      <c r="M928" s="10" t="n">
        <v>4</v>
      </c>
      <c r="N928" s="11" t="n">
        <v>10</v>
      </c>
      <c r="O928" s="18" t="s">
        <v>56</v>
      </c>
    </row>
    <row r="929" customFormat="false" ht="15" hidden="false" customHeight="false" outlineLevel="0" collapsed="false">
      <c r="A929" s="18" t="n">
        <v>140971586</v>
      </c>
      <c r="B929" s="10" t="n">
        <v>928</v>
      </c>
      <c r="C929" s="18" t="s">
        <v>43</v>
      </c>
      <c r="D929" s="9" t="s">
        <v>1953</v>
      </c>
      <c r="E929" s="9" t="s">
        <v>1085</v>
      </c>
      <c r="F929" s="9" t="s">
        <v>1086</v>
      </c>
      <c r="G929" s="10" t="n">
        <v>2024</v>
      </c>
      <c r="H929" s="10" t="n">
        <v>0</v>
      </c>
      <c r="I929" s="19" t="n">
        <v>22000</v>
      </c>
      <c r="J929" s="19" t="n">
        <v>22000</v>
      </c>
      <c r="K929" s="10" t="n">
        <v>0</v>
      </c>
      <c r="L929" s="10" t="n">
        <v>186</v>
      </c>
      <c r="M929" s="10" t="n">
        <v>0</v>
      </c>
      <c r="N929" s="11" t="n">
        <v>0</v>
      </c>
      <c r="O929" s="18" t="s">
        <v>56</v>
      </c>
    </row>
    <row r="930" customFormat="false" ht="15" hidden="false" customHeight="false" outlineLevel="0" collapsed="false">
      <c r="A930" s="18" t="n">
        <v>140411525</v>
      </c>
      <c r="B930" s="10" t="n">
        <v>929</v>
      </c>
      <c r="C930" s="18" t="s">
        <v>43</v>
      </c>
      <c r="D930" s="15" t="s">
        <v>1954</v>
      </c>
      <c r="E930" s="9" t="s">
        <v>1955</v>
      </c>
      <c r="F930" s="9" t="s">
        <v>16</v>
      </c>
      <c r="G930" s="10" t="n">
        <v>2025</v>
      </c>
      <c r="H930" s="10" t="n">
        <v>10</v>
      </c>
      <c r="I930" s="19" t="n">
        <v>18000</v>
      </c>
      <c r="J930" s="19" t="n">
        <v>20000</v>
      </c>
      <c r="K930" s="10" t="n">
        <v>1000</v>
      </c>
      <c r="L930" s="10" t="n">
        <v>1716</v>
      </c>
      <c r="M930" s="10" t="n">
        <v>43</v>
      </c>
      <c r="N930" s="11" t="n">
        <v>9.6</v>
      </c>
      <c r="O930" s="18" t="s">
        <v>56</v>
      </c>
    </row>
    <row r="931" customFormat="false" ht="15" hidden="false" customHeight="false" outlineLevel="0" collapsed="false">
      <c r="A931" s="18" t="n">
        <v>140407763</v>
      </c>
      <c r="B931" s="10" t="n">
        <v>930</v>
      </c>
      <c r="C931" s="18" t="s">
        <v>43</v>
      </c>
      <c r="D931" s="9" t="s">
        <v>1956</v>
      </c>
      <c r="E931" s="9" t="s">
        <v>1957</v>
      </c>
      <c r="F931" s="9" t="s">
        <v>17</v>
      </c>
      <c r="G931" s="10" t="n">
        <v>2025</v>
      </c>
      <c r="H931" s="10" t="n">
        <v>10</v>
      </c>
      <c r="I931" s="19" t="n">
        <v>18000</v>
      </c>
      <c r="J931" s="19" t="n">
        <v>20000</v>
      </c>
      <c r="K931" s="10" t="n">
        <v>1000</v>
      </c>
      <c r="L931" s="10" t="n">
        <v>1641</v>
      </c>
      <c r="M931" s="10" t="n">
        <v>10</v>
      </c>
      <c r="N931" s="11" t="n">
        <v>10</v>
      </c>
      <c r="O931" s="18" t="s">
        <v>56</v>
      </c>
    </row>
    <row r="932" customFormat="false" ht="15" hidden="false" customHeight="false" outlineLevel="0" collapsed="false">
      <c r="A932" s="18" t="n">
        <v>140396422</v>
      </c>
      <c r="B932" s="10" t="n">
        <v>931</v>
      </c>
      <c r="C932" s="18" t="s">
        <v>43</v>
      </c>
      <c r="D932" s="15" t="s">
        <v>1958</v>
      </c>
      <c r="E932" s="9" t="s">
        <v>1959</v>
      </c>
      <c r="F932" s="9" t="s">
        <v>17</v>
      </c>
      <c r="G932" s="10" t="n">
        <v>2025</v>
      </c>
      <c r="H932" s="10" t="n">
        <v>10</v>
      </c>
      <c r="I932" s="19" t="n">
        <v>26100</v>
      </c>
      <c r="J932" s="19" t="n">
        <v>29000</v>
      </c>
      <c r="K932" s="10" t="n">
        <v>1450</v>
      </c>
      <c r="L932" s="10" t="n">
        <v>2076</v>
      </c>
      <c r="M932" s="10" t="n">
        <v>21</v>
      </c>
      <c r="N932" s="11" t="n">
        <v>10</v>
      </c>
      <c r="O932" s="18" t="s">
        <v>56</v>
      </c>
    </row>
    <row r="933" customFormat="false" ht="15" hidden="false" customHeight="false" outlineLevel="0" collapsed="false">
      <c r="A933" s="18" t="n">
        <v>140199863</v>
      </c>
      <c r="B933" s="10" t="n">
        <v>932</v>
      </c>
      <c r="C933" s="18" t="s">
        <v>43</v>
      </c>
      <c r="D933" s="9" t="s">
        <v>1960</v>
      </c>
      <c r="E933" s="9" t="s">
        <v>1961</v>
      </c>
      <c r="F933" s="9" t="s">
        <v>322</v>
      </c>
      <c r="G933" s="10" t="n">
        <v>2024</v>
      </c>
      <c r="H933" s="10" t="n">
        <v>0</v>
      </c>
      <c r="I933" s="19" t="n">
        <v>36000</v>
      </c>
      <c r="J933" s="19" t="n">
        <v>36000</v>
      </c>
      <c r="K933" s="10" t="n">
        <v>0</v>
      </c>
      <c r="L933" s="10" t="n">
        <v>210</v>
      </c>
      <c r="M933" s="10" t="n">
        <v>0</v>
      </c>
      <c r="N933" s="11" t="n">
        <v>0</v>
      </c>
      <c r="O933" s="18" t="s">
        <v>56</v>
      </c>
    </row>
    <row r="934" customFormat="false" ht="15" hidden="false" customHeight="false" outlineLevel="0" collapsed="false">
      <c r="A934" s="18" t="n">
        <v>140199356</v>
      </c>
      <c r="B934" s="10" t="n">
        <v>933</v>
      </c>
      <c r="C934" s="18" t="s">
        <v>43</v>
      </c>
      <c r="D934" s="9" t="s">
        <v>1962</v>
      </c>
      <c r="E934" s="9" t="s">
        <v>1963</v>
      </c>
      <c r="F934" s="9" t="s">
        <v>1274</v>
      </c>
      <c r="G934" s="10" t="n">
        <v>2024</v>
      </c>
      <c r="H934" s="10" t="n">
        <v>0</v>
      </c>
      <c r="I934" s="19" t="n">
        <v>27000</v>
      </c>
      <c r="J934" s="19" t="n">
        <v>27000</v>
      </c>
      <c r="K934" s="10" t="n">
        <v>0</v>
      </c>
      <c r="L934" s="10" t="n">
        <v>120</v>
      </c>
      <c r="M934" s="10" t="n">
        <v>1</v>
      </c>
      <c r="N934" s="11" t="n">
        <v>10</v>
      </c>
      <c r="O934" s="18" t="s">
        <v>56</v>
      </c>
    </row>
    <row r="935" customFormat="false" ht="15" hidden="false" customHeight="false" outlineLevel="0" collapsed="false">
      <c r="A935" s="18" t="n">
        <v>140107020</v>
      </c>
      <c r="B935" s="10" t="n">
        <v>934</v>
      </c>
      <c r="C935" s="18" t="s">
        <v>43</v>
      </c>
      <c r="D935" s="9" t="s">
        <v>1964</v>
      </c>
      <c r="E935" s="9" t="s">
        <v>1965</v>
      </c>
      <c r="F935" s="9" t="s">
        <v>1966</v>
      </c>
      <c r="G935" s="10" t="n">
        <v>2024</v>
      </c>
      <c r="H935" s="10" t="n">
        <v>10</v>
      </c>
      <c r="I935" s="19" t="n">
        <v>15030</v>
      </c>
      <c r="J935" s="19" t="n">
        <v>16700</v>
      </c>
      <c r="K935" s="10" t="n">
        <v>830</v>
      </c>
      <c r="L935" s="10" t="n">
        <v>684</v>
      </c>
      <c r="M935" s="10" t="n">
        <v>4</v>
      </c>
      <c r="N935" s="11" t="n">
        <v>10</v>
      </c>
      <c r="O935" s="18" t="s">
        <v>56</v>
      </c>
    </row>
    <row r="936" customFormat="false" ht="15" hidden="false" customHeight="false" outlineLevel="0" collapsed="false">
      <c r="A936" s="18" t="n">
        <v>140077965</v>
      </c>
      <c r="B936" s="10" t="n">
        <v>935</v>
      </c>
      <c r="C936" s="18" t="s">
        <v>43</v>
      </c>
      <c r="D936" s="9" t="s">
        <v>1967</v>
      </c>
      <c r="E936" s="9" t="s">
        <v>1968</v>
      </c>
      <c r="F936" s="9" t="s">
        <v>1969</v>
      </c>
      <c r="G936" s="10" t="n">
        <v>2024</v>
      </c>
      <c r="H936" s="10" t="n">
        <v>10</v>
      </c>
      <c r="I936" s="19" t="n">
        <v>22500</v>
      </c>
      <c r="J936" s="19" t="n">
        <v>25000</v>
      </c>
      <c r="K936" s="10" t="n">
        <v>1250</v>
      </c>
      <c r="L936" s="10" t="n">
        <v>801</v>
      </c>
      <c r="M936" s="10" t="n">
        <v>9</v>
      </c>
      <c r="N936" s="11" t="n">
        <v>10</v>
      </c>
      <c r="O936" s="18" t="s">
        <v>56</v>
      </c>
    </row>
    <row r="937" customFormat="false" ht="15" hidden="false" customHeight="false" outlineLevel="0" collapsed="false">
      <c r="A937" s="18" t="n">
        <v>139913428</v>
      </c>
      <c r="B937" s="10" t="n">
        <v>936</v>
      </c>
      <c r="C937" s="18" t="s">
        <v>43</v>
      </c>
      <c r="D937" s="15" t="s">
        <v>1970</v>
      </c>
      <c r="E937" s="9" t="s">
        <v>1971</v>
      </c>
      <c r="F937" s="9" t="s">
        <v>17</v>
      </c>
      <c r="G937" s="10" t="n">
        <v>2024</v>
      </c>
      <c r="H937" s="10" t="n">
        <v>10</v>
      </c>
      <c r="I937" s="19" t="n">
        <v>22500</v>
      </c>
      <c r="J937" s="19" t="n">
        <v>25000</v>
      </c>
      <c r="K937" s="10" t="n">
        <v>1250</v>
      </c>
      <c r="L937" s="10" t="n">
        <v>288</v>
      </c>
      <c r="M937" s="10" t="n">
        <v>15</v>
      </c>
      <c r="N937" s="11" t="n">
        <v>10</v>
      </c>
      <c r="O937" s="18" t="s">
        <v>56</v>
      </c>
    </row>
    <row r="938" customFormat="false" ht="15" hidden="false" customHeight="false" outlineLevel="0" collapsed="false">
      <c r="A938" s="18" t="n">
        <v>139882194</v>
      </c>
      <c r="B938" s="10" t="n">
        <v>937</v>
      </c>
      <c r="C938" s="18" t="s">
        <v>43</v>
      </c>
      <c r="D938" s="9" t="s">
        <v>1972</v>
      </c>
      <c r="E938" s="9" t="s">
        <v>580</v>
      </c>
      <c r="F938" s="9" t="s">
        <v>231</v>
      </c>
      <c r="G938" s="10" t="n">
        <v>2024</v>
      </c>
      <c r="H938" s="10" t="n">
        <v>10</v>
      </c>
      <c r="I938" s="19" t="n">
        <v>24300</v>
      </c>
      <c r="J938" s="19" t="n">
        <v>27000</v>
      </c>
      <c r="K938" s="10" t="n">
        <v>1350</v>
      </c>
      <c r="L938" s="10" t="n">
        <v>330</v>
      </c>
      <c r="M938" s="10" t="n">
        <v>1</v>
      </c>
      <c r="N938" s="11" t="n">
        <v>8</v>
      </c>
      <c r="O938" s="18" t="s">
        <v>56</v>
      </c>
    </row>
    <row r="939" customFormat="false" ht="15" hidden="false" customHeight="false" outlineLevel="0" collapsed="false">
      <c r="A939" s="18" t="n">
        <v>139709711</v>
      </c>
      <c r="B939" s="10" t="n">
        <v>938</v>
      </c>
      <c r="C939" s="18" t="s">
        <v>43</v>
      </c>
      <c r="D939" s="9" t="s">
        <v>1973</v>
      </c>
      <c r="E939" s="9" t="s">
        <v>1974</v>
      </c>
      <c r="F939" s="9" t="s">
        <v>12</v>
      </c>
      <c r="G939" s="10" t="n">
        <v>2024</v>
      </c>
      <c r="H939" s="10" t="n">
        <v>10</v>
      </c>
      <c r="I939" s="19" t="n">
        <v>58500</v>
      </c>
      <c r="J939" s="19" t="n">
        <v>65000</v>
      </c>
      <c r="K939" s="10" t="n">
        <v>3250</v>
      </c>
      <c r="L939" s="10" t="n">
        <v>1290</v>
      </c>
      <c r="M939" s="10" t="n">
        <v>10</v>
      </c>
      <c r="N939" s="11" t="n">
        <v>9.6</v>
      </c>
      <c r="O939" s="18" t="s">
        <v>46</v>
      </c>
    </row>
    <row r="940" customFormat="false" ht="15" hidden="false" customHeight="false" outlineLevel="0" collapsed="false">
      <c r="A940" s="18" t="n">
        <v>139707317</v>
      </c>
      <c r="B940" s="10" t="n">
        <v>939</v>
      </c>
      <c r="C940" s="18" t="s">
        <v>43</v>
      </c>
      <c r="D940" s="9" t="s">
        <v>1975</v>
      </c>
      <c r="E940" s="9" t="s">
        <v>1976</v>
      </c>
      <c r="F940" s="9" t="s">
        <v>1977</v>
      </c>
      <c r="G940" s="10" t="n">
        <v>2024</v>
      </c>
      <c r="H940" s="10" t="n">
        <v>0</v>
      </c>
      <c r="I940" s="19" t="n">
        <v>50000</v>
      </c>
      <c r="J940" s="19" t="n">
        <v>50000</v>
      </c>
      <c r="K940" s="10" t="n">
        <v>0</v>
      </c>
      <c r="L940" s="10" t="n">
        <v>630</v>
      </c>
      <c r="M940" s="10" t="n">
        <v>4</v>
      </c>
      <c r="N940" s="11" t="n">
        <v>10</v>
      </c>
      <c r="O940" s="18" t="s">
        <v>56</v>
      </c>
    </row>
    <row r="941" customFormat="false" ht="15" hidden="false" customHeight="false" outlineLevel="0" collapsed="false">
      <c r="A941" s="18" t="n">
        <v>139638401</v>
      </c>
      <c r="B941" s="10" t="n">
        <v>940</v>
      </c>
      <c r="C941" s="18" t="s">
        <v>43</v>
      </c>
      <c r="D941" s="9" t="s">
        <v>1978</v>
      </c>
      <c r="E941" s="9" t="s">
        <v>1979</v>
      </c>
      <c r="F941" s="9" t="s">
        <v>16</v>
      </c>
      <c r="G941" s="10" t="n">
        <v>2024</v>
      </c>
      <c r="H941" s="10" t="n">
        <v>10</v>
      </c>
      <c r="I941" s="19" t="n">
        <v>15120</v>
      </c>
      <c r="J941" s="19" t="n">
        <v>16800</v>
      </c>
      <c r="K941" s="10" t="n">
        <v>840</v>
      </c>
      <c r="L941" s="10" t="n">
        <v>726</v>
      </c>
      <c r="M941" s="10" t="n">
        <v>15</v>
      </c>
      <c r="N941" s="11" t="n">
        <v>9.9</v>
      </c>
      <c r="O941" s="18" t="s">
        <v>56</v>
      </c>
    </row>
    <row r="942" customFormat="false" ht="15" hidden="false" customHeight="false" outlineLevel="0" collapsed="false">
      <c r="A942" s="18" t="n">
        <v>139591837</v>
      </c>
      <c r="B942" s="10" t="n">
        <v>941</v>
      </c>
      <c r="C942" s="18" t="s">
        <v>43</v>
      </c>
      <c r="D942" s="15" t="s">
        <v>1980</v>
      </c>
      <c r="E942" s="9" t="s">
        <v>1981</v>
      </c>
      <c r="F942" s="9" t="s">
        <v>12</v>
      </c>
      <c r="G942" s="10" t="n">
        <v>2024</v>
      </c>
      <c r="H942" s="10" t="n">
        <v>10</v>
      </c>
      <c r="I942" s="19" t="n">
        <v>19800</v>
      </c>
      <c r="J942" s="19" t="n">
        <v>22000</v>
      </c>
      <c r="K942" s="10" t="n">
        <v>1100</v>
      </c>
      <c r="L942" s="10" t="n">
        <v>1746</v>
      </c>
      <c r="M942" s="10" t="n">
        <v>20</v>
      </c>
      <c r="N942" s="11" t="n">
        <v>9.5</v>
      </c>
      <c r="O942" s="18" t="s">
        <v>56</v>
      </c>
    </row>
    <row r="943" customFormat="false" ht="15" hidden="false" customHeight="false" outlineLevel="0" collapsed="false">
      <c r="A943" s="18" t="n">
        <v>138964141</v>
      </c>
      <c r="B943" s="10" t="n">
        <v>942</v>
      </c>
      <c r="C943" s="18" t="s">
        <v>43</v>
      </c>
      <c r="D943" s="9" t="s">
        <v>1982</v>
      </c>
      <c r="E943" s="9" t="s">
        <v>1983</v>
      </c>
      <c r="F943" s="9" t="s">
        <v>100</v>
      </c>
      <c r="G943" s="10" t="n">
        <v>2024</v>
      </c>
      <c r="H943" s="10" t="n">
        <v>10</v>
      </c>
      <c r="I943" s="19" t="n">
        <v>18000</v>
      </c>
      <c r="J943" s="19" t="n">
        <v>20000</v>
      </c>
      <c r="K943" s="10" t="n">
        <v>1000</v>
      </c>
      <c r="L943" s="10" t="n">
        <v>744</v>
      </c>
      <c r="M943" s="10" t="n">
        <v>2</v>
      </c>
      <c r="N943" s="11" t="n">
        <v>8</v>
      </c>
      <c r="O943" s="18" t="s">
        <v>56</v>
      </c>
    </row>
    <row r="944" customFormat="false" ht="15" hidden="false" customHeight="false" outlineLevel="0" collapsed="false">
      <c r="A944" s="18" t="n">
        <v>138471950</v>
      </c>
      <c r="B944" s="10" t="n">
        <v>943</v>
      </c>
      <c r="C944" s="18" t="s">
        <v>43</v>
      </c>
      <c r="D944" s="9" t="s">
        <v>1984</v>
      </c>
      <c r="E944" s="9" t="s">
        <v>1985</v>
      </c>
      <c r="F944" s="9" t="s">
        <v>322</v>
      </c>
      <c r="G944" s="10" t="n">
        <v>2024</v>
      </c>
      <c r="H944" s="10" t="n">
        <v>0</v>
      </c>
      <c r="I944" s="19" t="n">
        <v>30000</v>
      </c>
      <c r="J944" s="19" t="n">
        <v>30000</v>
      </c>
      <c r="K944" s="10" t="n">
        <v>0</v>
      </c>
      <c r="L944" s="10" t="n">
        <v>396</v>
      </c>
      <c r="M944" s="10" t="n">
        <v>2</v>
      </c>
      <c r="N944" s="11" t="n">
        <v>7</v>
      </c>
      <c r="O944" s="18" t="s">
        <v>56</v>
      </c>
    </row>
    <row r="945" customFormat="false" ht="15" hidden="false" customHeight="false" outlineLevel="0" collapsed="false">
      <c r="A945" s="18" t="n">
        <v>138333237</v>
      </c>
      <c r="B945" s="10" t="n">
        <v>944</v>
      </c>
      <c r="C945" s="18" t="s">
        <v>43</v>
      </c>
      <c r="D945" s="9" t="s">
        <v>1986</v>
      </c>
      <c r="E945" s="9" t="s">
        <v>572</v>
      </c>
      <c r="F945" s="9" t="s">
        <v>573</v>
      </c>
      <c r="G945" s="10" t="n">
        <v>2024</v>
      </c>
      <c r="H945" s="10" t="n">
        <v>10</v>
      </c>
      <c r="I945" s="19" t="n">
        <v>16650</v>
      </c>
      <c r="J945" s="19" t="n">
        <v>18500</v>
      </c>
      <c r="K945" s="10" t="n">
        <v>920</v>
      </c>
      <c r="L945" s="10" t="n">
        <v>210</v>
      </c>
      <c r="M945" s="10" t="n">
        <v>1</v>
      </c>
      <c r="N945" s="11" t="n">
        <v>8</v>
      </c>
      <c r="O945" s="18" t="s">
        <v>56</v>
      </c>
    </row>
    <row r="946" customFormat="false" ht="15" hidden="false" customHeight="false" outlineLevel="0" collapsed="false">
      <c r="A946" s="18" t="n">
        <v>138231663</v>
      </c>
      <c r="B946" s="10" t="n">
        <v>945</v>
      </c>
      <c r="C946" s="18" t="s">
        <v>43</v>
      </c>
      <c r="D946" s="9" t="s">
        <v>1987</v>
      </c>
      <c r="E946" s="9" t="s">
        <v>1988</v>
      </c>
      <c r="F946" s="9" t="s">
        <v>21</v>
      </c>
      <c r="G946" s="10" t="n">
        <v>2024</v>
      </c>
      <c r="H946" s="10" t="n">
        <v>10</v>
      </c>
      <c r="I946" s="19" t="n">
        <v>25200</v>
      </c>
      <c r="J946" s="19" t="n">
        <v>28000</v>
      </c>
      <c r="K946" s="10" t="n">
        <v>1400</v>
      </c>
      <c r="L946" s="10" t="n">
        <v>384</v>
      </c>
      <c r="M946" s="10" t="n">
        <v>1</v>
      </c>
      <c r="N946" s="11" t="n">
        <v>6</v>
      </c>
      <c r="O946" s="18" t="s">
        <v>56</v>
      </c>
    </row>
    <row r="947" customFormat="false" ht="15" hidden="false" customHeight="false" outlineLevel="0" collapsed="false">
      <c r="A947" s="18" t="n">
        <v>137097742</v>
      </c>
      <c r="B947" s="10" t="n">
        <v>946</v>
      </c>
      <c r="C947" s="18" t="s">
        <v>43</v>
      </c>
      <c r="D947" s="9" t="s">
        <v>1989</v>
      </c>
      <c r="E947" s="9" t="s">
        <v>1990</v>
      </c>
      <c r="F947" s="9" t="s">
        <v>1991</v>
      </c>
      <c r="G947" s="10" t="n">
        <v>2024</v>
      </c>
      <c r="H947" s="10" t="n">
        <v>10</v>
      </c>
      <c r="I947" s="19" t="n">
        <v>16200</v>
      </c>
      <c r="J947" s="19" t="n">
        <v>18000</v>
      </c>
      <c r="K947" s="10" t="n">
        <v>900</v>
      </c>
      <c r="L947" s="10" t="n">
        <v>504</v>
      </c>
      <c r="M947" s="10" t="n">
        <v>0</v>
      </c>
      <c r="N947" s="11" t="n">
        <v>0</v>
      </c>
      <c r="O947" s="18" t="s">
        <v>56</v>
      </c>
    </row>
    <row r="948" customFormat="false" ht="15" hidden="false" customHeight="false" outlineLevel="0" collapsed="false">
      <c r="A948" s="18" t="n">
        <v>136898210</v>
      </c>
      <c r="B948" s="10" t="n">
        <v>947</v>
      </c>
      <c r="C948" s="18" t="s">
        <v>43</v>
      </c>
      <c r="D948" s="9" t="s">
        <v>1992</v>
      </c>
      <c r="E948" s="9" t="s">
        <v>1993</v>
      </c>
      <c r="F948" s="9" t="s">
        <v>511</v>
      </c>
      <c r="G948" s="10" t="n">
        <v>2024</v>
      </c>
      <c r="H948" s="10" t="n">
        <v>10</v>
      </c>
      <c r="I948" s="19" t="n">
        <v>17100</v>
      </c>
      <c r="J948" s="19" t="n">
        <v>19000</v>
      </c>
      <c r="K948" s="10" t="n">
        <v>950</v>
      </c>
      <c r="L948" s="10" t="n">
        <v>648</v>
      </c>
      <c r="M948" s="10" t="n">
        <v>0</v>
      </c>
      <c r="N948" s="11" t="n">
        <v>0</v>
      </c>
      <c r="O948" s="18" t="s">
        <v>56</v>
      </c>
    </row>
    <row r="949" customFormat="false" ht="15" hidden="false" customHeight="false" outlineLevel="0" collapsed="false">
      <c r="A949" s="18" t="n">
        <v>136374348</v>
      </c>
      <c r="B949" s="10" t="n">
        <v>948</v>
      </c>
      <c r="C949" s="18" t="s">
        <v>43</v>
      </c>
      <c r="D949" s="9" t="s">
        <v>1994</v>
      </c>
      <c r="E949" s="9" t="s">
        <v>1995</v>
      </c>
      <c r="F949" s="9" t="s">
        <v>17</v>
      </c>
      <c r="G949" s="10" t="n">
        <v>2024</v>
      </c>
      <c r="H949" s="10" t="n">
        <v>10</v>
      </c>
      <c r="I949" s="19" t="n">
        <v>16200</v>
      </c>
      <c r="J949" s="19" t="n">
        <v>18000</v>
      </c>
      <c r="K949" s="10" t="n">
        <v>900</v>
      </c>
      <c r="L949" s="10" t="n">
        <v>1134</v>
      </c>
      <c r="M949" s="10" t="n">
        <v>9</v>
      </c>
      <c r="N949" s="11" t="n">
        <v>10</v>
      </c>
      <c r="O949" s="18" t="s">
        <v>56</v>
      </c>
    </row>
    <row r="950" customFormat="false" ht="15" hidden="false" customHeight="false" outlineLevel="0" collapsed="false">
      <c r="A950" s="18" t="n">
        <v>136299633</v>
      </c>
      <c r="B950" s="10" t="n">
        <v>949</v>
      </c>
      <c r="C950" s="18" t="s">
        <v>43</v>
      </c>
      <c r="D950" s="9" t="s">
        <v>1996</v>
      </c>
      <c r="E950" s="9" t="s">
        <v>1574</v>
      </c>
      <c r="F950" s="15" t="s">
        <v>680</v>
      </c>
      <c r="G950" s="10" t="n">
        <v>2024</v>
      </c>
      <c r="H950" s="10" t="n">
        <v>5</v>
      </c>
      <c r="I950" s="19" t="n">
        <v>27550</v>
      </c>
      <c r="J950" s="19" t="n">
        <v>29000</v>
      </c>
      <c r="K950" s="10" t="n">
        <v>580</v>
      </c>
      <c r="L950" s="10" t="n">
        <v>480</v>
      </c>
      <c r="M950" s="10" t="n">
        <v>2</v>
      </c>
      <c r="N950" s="11" t="n">
        <v>10</v>
      </c>
      <c r="O950" s="18" t="s">
        <v>56</v>
      </c>
    </row>
    <row r="951" customFormat="false" ht="15" hidden="false" customHeight="false" outlineLevel="0" collapsed="false">
      <c r="A951" s="18" t="n">
        <v>136274608</v>
      </c>
      <c r="B951" s="10" t="n">
        <v>950</v>
      </c>
      <c r="C951" s="18" t="s">
        <v>43</v>
      </c>
      <c r="D951" s="9" t="s">
        <v>1997</v>
      </c>
      <c r="E951" s="9" t="s">
        <v>403</v>
      </c>
      <c r="F951" s="9" t="s">
        <v>161</v>
      </c>
      <c r="G951" s="10" t="n">
        <v>2024</v>
      </c>
      <c r="H951" s="10" t="n">
        <v>10</v>
      </c>
      <c r="I951" s="19" t="n">
        <v>13500</v>
      </c>
      <c r="J951" s="19" t="n">
        <v>15000</v>
      </c>
      <c r="K951" s="10" t="n">
        <v>750</v>
      </c>
      <c r="L951" s="10" t="n">
        <v>786</v>
      </c>
      <c r="M951" s="10" t="n">
        <v>2</v>
      </c>
      <c r="N951" s="11" t="n">
        <v>9</v>
      </c>
      <c r="O951" s="18" t="s">
        <v>56</v>
      </c>
    </row>
    <row r="952" customFormat="false" ht="15" hidden="false" customHeight="false" outlineLevel="0" collapsed="false">
      <c r="A952" s="18" t="n">
        <v>136263729</v>
      </c>
      <c r="B952" s="10" t="n">
        <v>951</v>
      </c>
      <c r="C952" s="18" t="s">
        <v>43</v>
      </c>
      <c r="D952" s="9" t="s">
        <v>1998</v>
      </c>
      <c r="E952" s="9" t="s">
        <v>1999</v>
      </c>
      <c r="F952" s="9" t="s">
        <v>14</v>
      </c>
      <c r="G952" s="10" t="n">
        <v>2024</v>
      </c>
      <c r="H952" s="10" t="n">
        <v>10</v>
      </c>
      <c r="I952" s="19" t="n">
        <v>23400</v>
      </c>
      <c r="J952" s="19" t="n">
        <v>26000</v>
      </c>
      <c r="K952" s="10" t="n">
        <v>1300</v>
      </c>
      <c r="L952" s="10" t="n">
        <v>780</v>
      </c>
      <c r="M952" s="10" t="n">
        <v>54</v>
      </c>
      <c r="N952" s="11" t="n">
        <v>9.9</v>
      </c>
      <c r="O952" s="18" t="s">
        <v>56</v>
      </c>
    </row>
    <row r="953" customFormat="false" ht="15" hidden="false" customHeight="false" outlineLevel="0" collapsed="false">
      <c r="A953" s="18" t="n">
        <v>135967948</v>
      </c>
      <c r="B953" s="10" t="n">
        <v>952</v>
      </c>
      <c r="C953" s="18" t="s">
        <v>43</v>
      </c>
      <c r="D953" s="9" t="s">
        <v>2000</v>
      </c>
      <c r="E953" s="9" t="s">
        <v>2001</v>
      </c>
      <c r="F953" s="9" t="s">
        <v>14</v>
      </c>
      <c r="G953" s="10" t="n">
        <v>2024</v>
      </c>
      <c r="H953" s="10" t="n">
        <v>10</v>
      </c>
      <c r="I953" s="19" t="n">
        <v>22500</v>
      </c>
      <c r="J953" s="19" t="n">
        <v>25000</v>
      </c>
      <c r="K953" s="10" t="n">
        <v>1250</v>
      </c>
      <c r="L953" s="10" t="n">
        <v>573</v>
      </c>
      <c r="M953" s="10" t="n">
        <v>23</v>
      </c>
      <c r="N953" s="11" t="n">
        <v>9.7</v>
      </c>
      <c r="O953" s="18" t="s">
        <v>56</v>
      </c>
    </row>
    <row r="954" customFormat="false" ht="15" hidden="false" customHeight="false" outlineLevel="0" collapsed="false">
      <c r="A954" s="18" t="n">
        <v>135911922</v>
      </c>
      <c r="B954" s="10" t="n">
        <v>953</v>
      </c>
      <c r="C954" s="18" t="s">
        <v>43</v>
      </c>
      <c r="D954" s="9" t="s">
        <v>2002</v>
      </c>
      <c r="E954" s="9" t="s">
        <v>2003</v>
      </c>
      <c r="F954" s="9" t="s">
        <v>21</v>
      </c>
      <c r="G954" s="10" t="n">
        <v>2024</v>
      </c>
      <c r="H954" s="10" t="n">
        <v>10</v>
      </c>
      <c r="I954" s="19" t="n">
        <v>25200</v>
      </c>
      <c r="J954" s="19" t="n">
        <v>28000</v>
      </c>
      <c r="K954" s="10" t="n">
        <v>1400</v>
      </c>
      <c r="L954" s="10" t="n">
        <v>300</v>
      </c>
      <c r="M954" s="10" t="n">
        <v>0</v>
      </c>
      <c r="N954" s="11" t="n">
        <v>0</v>
      </c>
      <c r="O954" s="18" t="s">
        <v>56</v>
      </c>
    </row>
    <row r="955" customFormat="false" ht="15" hidden="false" customHeight="false" outlineLevel="0" collapsed="false">
      <c r="A955" s="18" t="n">
        <v>135818136</v>
      </c>
      <c r="B955" s="10" t="n">
        <v>954</v>
      </c>
      <c r="C955" s="18" t="s">
        <v>43</v>
      </c>
      <c r="D955" s="9" t="s">
        <v>2004</v>
      </c>
      <c r="E955" s="9" t="s">
        <v>2005</v>
      </c>
      <c r="F955" s="9" t="s">
        <v>2006</v>
      </c>
      <c r="G955" s="10" t="n">
        <v>2024</v>
      </c>
      <c r="H955" s="10" t="n">
        <v>10</v>
      </c>
      <c r="I955" s="19" t="n">
        <v>21600</v>
      </c>
      <c r="J955" s="19" t="n">
        <v>24000</v>
      </c>
      <c r="K955" s="10" t="n">
        <v>1200</v>
      </c>
      <c r="L955" s="10" t="n">
        <v>882</v>
      </c>
      <c r="M955" s="10" t="n">
        <v>0</v>
      </c>
      <c r="N955" s="11" t="n">
        <v>0</v>
      </c>
      <c r="O955" s="18" t="s">
        <v>56</v>
      </c>
    </row>
    <row r="956" customFormat="false" ht="15" hidden="false" customHeight="false" outlineLevel="0" collapsed="false">
      <c r="A956" s="18" t="n">
        <v>134904743</v>
      </c>
      <c r="B956" s="10" t="n">
        <v>955</v>
      </c>
      <c r="C956" s="18" t="s">
        <v>43</v>
      </c>
      <c r="D956" s="9" t="s">
        <v>2007</v>
      </c>
      <c r="E956" s="9" t="s">
        <v>679</v>
      </c>
      <c r="F956" s="15" t="s">
        <v>680</v>
      </c>
      <c r="G956" s="10" t="n">
        <v>2024</v>
      </c>
      <c r="H956" s="10" t="n">
        <v>10</v>
      </c>
      <c r="I956" s="19" t="n">
        <v>44820</v>
      </c>
      <c r="J956" s="19" t="n">
        <v>49800</v>
      </c>
      <c r="K956" s="10" t="n">
        <v>2490</v>
      </c>
      <c r="L956" s="10" t="n">
        <v>774</v>
      </c>
      <c r="M956" s="10" t="n">
        <v>4</v>
      </c>
      <c r="N956" s="11" t="n">
        <v>10</v>
      </c>
      <c r="O956" s="18" t="s">
        <v>46</v>
      </c>
    </row>
    <row r="957" customFormat="false" ht="15" hidden="false" customHeight="false" outlineLevel="0" collapsed="false">
      <c r="A957" s="18" t="n">
        <v>134867624</v>
      </c>
      <c r="B957" s="10" t="n">
        <v>956</v>
      </c>
      <c r="C957" s="18" t="s">
        <v>43</v>
      </c>
      <c r="D957" s="9" t="s">
        <v>2008</v>
      </c>
      <c r="E957" s="15" t="s">
        <v>2009</v>
      </c>
      <c r="F957" s="9" t="s">
        <v>732</v>
      </c>
      <c r="G957" s="10" t="n">
        <v>2024</v>
      </c>
      <c r="H957" s="10" t="n">
        <v>0</v>
      </c>
      <c r="I957" s="19" t="n">
        <v>35000</v>
      </c>
      <c r="J957" s="19" t="n">
        <v>35000</v>
      </c>
      <c r="K957" s="10" t="n">
        <v>0</v>
      </c>
      <c r="L957" s="10" t="n">
        <v>264</v>
      </c>
      <c r="M957" s="10" t="n">
        <v>0</v>
      </c>
      <c r="N957" s="11" t="n">
        <v>0</v>
      </c>
      <c r="O957" s="18" t="s">
        <v>56</v>
      </c>
    </row>
    <row r="958" customFormat="false" ht="15" hidden="false" customHeight="false" outlineLevel="0" collapsed="false">
      <c r="A958" s="18" t="n">
        <v>134794414</v>
      </c>
      <c r="B958" s="10" t="n">
        <v>957</v>
      </c>
      <c r="C958" s="18" t="s">
        <v>43</v>
      </c>
      <c r="D958" s="9" t="s">
        <v>2010</v>
      </c>
      <c r="E958" s="9" t="s">
        <v>2011</v>
      </c>
      <c r="F958" s="9" t="s">
        <v>16</v>
      </c>
      <c r="G958" s="10" t="n">
        <v>2024</v>
      </c>
      <c r="H958" s="10" t="n">
        <v>10</v>
      </c>
      <c r="I958" s="19" t="n">
        <v>18000</v>
      </c>
      <c r="J958" s="19" t="n">
        <v>20000</v>
      </c>
      <c r="K958" s="10" t="n">
        <v>1000</v>
      </c>
      <c r="L958" s="10" t="n">
        <v>672</v>
      </c>
      <c r="M958" s="10" t="n">
        <v>7</v>
      </c>
      <c r="N958" s="11" t="n">
        <v>9.7</v>
      </c>
      <c r="O958" s="18" t="s">
        <v>56</v>
      </c>
    </row>
    <row r="959" customFormat="false" ht="15" hidden="false" customHeight="false" outlineLevel="0" collapsed="false">
      <c r="A959" s="18" t="n">
        <v>134648807</v>
      </c>
      <c r="B959" s="10" t="n">
        <v>958</v>
      </c>
      <c r="C959" s="18" t="s">
        <v>43</v>
      </c>
      <c r="D959" s="9" t="s">
        <v>2012</v>
      </c>
      <c r="E959" s="9" t="s">
        <v>285</v>
      </c>
      <c r="F959" s="9" t="s">
        <v>12</v>
      </c>
      <c r="G959" s="10" t="n">
        <v>2024</v>
      </c>
      <c r="H959" s="10" t="n">
        <v>10</v>
      </c>
      <c r="I959" s="19" t="n">
        <v>29700</v>
      </c>
      <c r="J959" s="19" t="n">
        <v>33000</v>
      </c>
      <c r="K959" s="10" t="n">
        <v>1650</v>
      </c>
      <c r="L959" s="10" t="n">
        <v>2364</v>
      </c>
      <c r="M959" s="10" t="n">
        <v>20</v>
      </c>
      <c r="N959" s="11" t="n">
        <v>9.7</v>
      </c>
      <c r="O959" s="18" t="s">
        <v>56</v>
      </c>
    </row>
    <row r="960" customFormat="false" ht="15" hidden="false" customHeight="false" outlineLevel="0" collapsed="false">
      <c r="A960" s="18" t="n">
        <v>134605465</v>
      </c>
      <c r="B960" s="10" t="n">
        <v>959</v>
      </c>
      <c r="C960" s="18" t="s">
        <v>43</v>
      </c>
      <c r="D960" s="9" t="s">
        <v>2013</v>
      </c>
      <c r="E960" s="9" t="s">
        <v>1696</v>
      </c>
      <c r="F960" s="9" t="s">
        <v>259</v>
      </c>
      <c r="G960" s="10" t="n">
        <v>2024</v>
      </c>
      <c r="H960" s="10" t="n">
        <v>10</v>
      </c>
      <c r="I960" s="19" t="n">
        <v>20700</v>
      </c>
      <c r="J960" s="19" t="n">
        <v>23000</v>
      </c>
      <c r="K960" s="10" t="n">
        <v>230</v>
      </c>
      <c r="L960" s="10" t="n">
        <v>1944</v>
      </c>
      <c r="M960" s="10" t="n">
        <v>4</v>
      </c>
      <c r="N960" s="11" t="n">
        <v>9.5</v>
      </c>
      <c r="O960" s="18" t="s">
        <v>56</v>
      </c>
    </row>
    <row r="961" customFormat="false" ht="15" hidden="false" customHeight="false" outlineLevel="0" collapsed="false">
      <c r="A961" s="18" t="n">
        <v>134244847</v>
      </c>
      <c r="B961" s="10" t="n">
        <v>960</v>
      </c>
      <c r="C961" s="18" t="s">
        <v>43</v>
      </c>
      <c r="D961" s="9" t="s">
        <v>2014</v>
      </c>
      <c r="E961" s="9" t="s">
        <v>2015</v>
      </c>
      <c r="F961" s="9" t="s">
        <v>12</v>
      </c>
      <c r="G961" s="10" t="n">
        <v>2024</v>
      </c>
      <c r="H961" s="10" t="n">
        <v>10</v>
      </c>
      <c r="I961" s="19" t="n">
        <v>28800</v>
      </c>
      <c r="J961" s="19" t="n">
        <v>32000</v>
      </c>
      <c r="K961" s="10" t="n">
        <v>1600</v>
      </c>
      <c r="L961" s="10" t="n">
        <v>354</v>
      </c>
      <c r="M961" s="10" t="n">
        <v>11</v>
      </c>
      <c r="N961" s="11" t="n">
        <v>9.8</v>
      </c>
      <c r="O961" s="18" t="s">
        <v>56</v>
      </c>
    </row>
    <row r="962" customFormat="false" ht="15" hidden="false" customHeight="false" outlineLevel="0" collapsed="false">
      <c r="A962" s="18" t="n">
        <v>134242062</v>
      </c>
      <c r="B962" s="10" t="n">
        <v>961</v>
      </c>
      <c r="C962" s="18" t="s">
        <v>43</v>
      </c>
      <c r="D962" s="9" t="s">
        <v>2016</v>
      </c>
      <c r="E962" s="9" t="s">
        <v>2017</v>
      </c>
      <c r="F962" s="9" t="s">
        <v>2018</v>
      </c>
      <c r="G962" s="10" t="n">
        <v>2024</v>
      </c>
      <c r="H962" s="10" t="n">
        <v>10</v>
      </c>
      <c r="I962" s="19" t="n">
        <v>20700</v>
      </c>
      <c r="J962" s="19" t="n">
        <v>23000</v>
      </c>
      <c r="K962" s="10" t="n">
        <v>1150</v>
      </c>
      <c r="L962" s="10" t="n">
        <v>930</v>
      </c>
      <c r="M962" s="10" t="n">
        <v>1</v>
      </c>
      <c r="N962" s="11" t="n">
        <v>2</v>
      </c>
      <c r="O962" s="18" t="s">
        <v>56</v>
      </c>
    </row>
    <row r="963" customFormat="false" ht="15" hidden="false" customHeight="false" outlineLevel="0" collapsed="false">
      <c r="A963" s="18" t="n">
        <v>133974164</v>
      </c>
      <c r="B963" s="10" t="n">
        <v>962</v>
      </c>
      <c r="C963" s="18" t="s">
        <v>43</v>
      </c>
      <c r="D963" s="9" t="s">
        <v>2019</v>
      </c>
      <c r="E963" s="9" t="s">
        <v>2020</v>
      </c>
      <c r="F963" s="9" t="s">
        <v>564</v>
      </c>
      <c r="G963" s="10" t="n">
        <v>2024</v>
      </c>
      <c r="H963" s="10" t="n">
        <v>10</v>
      </c>
      <c r="I963" s="19" t="n">
        <v>21600</v>
      </c>
      <c r="J963" s="19" t="n">
        <v>24000</v>
      </c>
      <c r="K963" s="10" t="n">
        <v>1200</v>
      </c>
      <c r="L963" s="10" t="n">
        <v>252</v>
      </c>
      <c r="M963" s="10" t="n">
        <v>5</v>
      </c>
      <c r="N963" s="11" t="n">
        <v>9.6</v>
      </c>
      <c r="O963" s="18" t="s">
        <v>56</v>
      </c>
    </row>
    <row r="964" customFormat="false" ht="15" hidden="false" customHeight="false" outlineLevel="0" collapsed="false">
      <c r="A964" s="18" t="n">
        <v>133892049</v>
      </c>
      <c r="B964" s="10" t="n">
        <v>963</v>
      </c>
      <c r="C964" s="18" t="s">
        <v>43</v>
      </c>
      <c r="D964" s="9" t="s">
        <v>2021</v>
      </c>
      <c r="E964" s="9" t="s">
        <v>2022</v>
      </c>
      <c r="F964" s="9" t="s">
        <v>14</v>
      </c>
      <c r="G964" s="10" t="n">
        <v>2024</v>
      </c>
      <c r="H964" s="10" t="n">
        <v>10</v>
      </c>
      <c r="I964" s="19" t="n">
        <v>19800</v>
      </c>
      <c r="J964" s="19" t="n">
        <v>22000</v>
      </c>
      <c r="K964" s="10" t="n">
        <v>1100</v>
      </c>
      <c r="L964" s="10" t="n">
        <v>906</v>
      </c>
      <c r="M964" s="10" t="n">
        <v>20</v>
      </c>
      <c r="N964" s="11" t="n">
        <v>10</v>
      </c>
      <c r="O964" s="18" t="s">
        <v>56</v>
      </c>
    </row>
    <row r="965" customFormat="false" ht="15" hidden="false" customHeight="false" outlineLevel="0" collapsed="false">
      <c r="A965" s="18" t="n">
        <v>133810549</v>
      </c>
      <c r="B965" s="10" t="n">
        <v>964</v>
      </c>
      <c r="C965" s="18" t="s">
        <v>43</v>
      </c>
      <c r="D965" s="15" t="s">
        <v>2023</v>
      </c>
      <c r="E965" s="9" t="s">
        <v>2024</v>
      </c>
      <c r="F965" s="9" t="s">
        <v>2025</v>
      </c>
      <c r="G965" s="10" t="n">
        <v>2024</v>
      </c>
      <c r="H965" s="10" t="n">
        <v>10</v>
      </c>
      <c r="I965" s="19" t="n">
        <v>15300</v>
      </c>
      <c r="J965" s="19" t="n">
        <v>17000</v>
      </c>
      <c r="K965" s="10" t="n">
        <v>850</v>
      </c>
      <c r="L965" s="10" t="n">
        <v>684</v>
      </c>
      <c r="M965" s="10" t="n">
        <v>29</v>
      </c>
      <c r="N965" s="11" t="n">
        <v>9.9</v>
      </c>
      <c r="O965" s="18" t="s">
        <v>56</v>
      </c>
    </row>
    <row r="966" customFormat="false" ht="15" hidden="false" customHeight="false" outlineLevel="0" collapsed="false">
      <c r="A966" s="18" t="n">
        <v>133337416</v>
      </c>
      <c r="B966" s="10" t="n">
        <v>965</v>
      </c>
      <c r="C966" s="18" t="s">
        <v>43</v>
      </c>
      <c r="D966" s="15" t="s">
        <v>2026</v>
      </c>
      <c r="E966" s="9" t="s">
        <v>395</v>
      </c>
      <c r="F966" s="9" t="s">
        <v>195</v>
      </c>
      <c r="G966" s="10" t="n">
        <v>2024</v>
      </c>
      <c r="H966" s="10" t="n">
        <v>10</v>
      </c>
      <c r="I966" s="19" t="n">
        <v>18000</v>
      </c>
      <c r="J966" s="19" t="n">
        <v>20000</v>
      </c>
      <c r="K966" s="10" t="n">
        <v>1000</v>
      </c>
      <c r="L966" s="10" t="n">
        <v>3972</v>
      </c>
      <c r="M966" s="10" t="n">
        <v>370</v>
      </c>
      <c r="N966" s="11" t="n">
        <v>9.7</v>
      </c>
      <c r="O966" s="18" t="s">
        <v>46</v>
      </c>
    </row>
    <row r="967" customFormat="false" ht="15" hidden="false" customHeight="false" outlineLevel="0" collapsed="false">
      <c r="A967" s="18" t="n">
        <v>133290567</v>
      </c>
      <c r="B967" s="10" t="n">
        <v>966</v>
      </c>
      <c r="C967" s="18" t="s">
        <v>43</v>
      </c>
      <c r="D967" s="9" t="s">
        <v>2027</v>
      </c>
      <c r="E967" s="9" t="s">
        <v>2028</v>
      </c>
      <c r="F967" s="9" t="s">
        <v>21</v>
      </c>
      <c r="G967" s="10" t="n">
        <v>2024</v>
      </c>
      <c r="H967" s="10" t="n">
        <v>10</v>
      </c>
      <c r="I967" s="19" t="n">
        <v>24300</v>
      </c>
      <c r="J967" s="19" t="n">
        <v>27000</v>
      </c>
      <c r="K967" s="10" t="n">
        <v>1350</v>
      </c>
      <c r="L967" s="10" t="n">
        <v>852</v>
      </c>
      <c r="M967" s="10" t="n">
        <v>5</v>
      </c>
      <c r="N967" s="11" t="n">
        <v>10</v>
      </c>
      <c r="O967" s="18" t="s">
        <v>56</v>
      </c>
    </row>
    <row r="968" customFormat="false" ht="15" hidden="false" customHeight="false" outlineLevel="0" collapsed="false">
      <c r="A968" s="18" t="n">
        <v>133282242</v>
      </c>
      <c r="B968" s="10" t="n">
        <v>967</v>
      </c>
      <c r="C968" s="18" t="s">
        <v>43</v>
      </c>
      <c r="D968" s="15" t="s">
        <v>2029</v>
      </c>
      <c r="E968" s="9" t="s">
        <v>2030</v>
      </c>
      <c r="F968" s="9" t="s">
        <v>25</v>
      </c>
      <c r="G968" s="10" t="n">
        <v>2024</v>
      </c>
      <c r="H968" s="10" t="n">
        <v>0</v>
      </c>
      <c r="I968" s="19" t="n">
        <v>12000</v>
      </c>
      <c r="J968" s="19" t="n">
        <v>12000</v>
      </c>
      <c r="K968" s="10" t="n">
        <v>0</v>
      </c>
      <c r="L968" s="10" t="n">
        <v>84</v>
      </c>
      <c r="M968" s="10" t="n">
        <v>0</v>
      </c>
      <c r="N968" s="11" t="n">
        <v>0</v>
      </c>
      <c r="O968" s="18" t="s">
        <v>56</v>
      </c>
    </row>
    <row r="969" customFormat="false" ht="15" hidden="false" customHeight="false" outlineLevel="0" collapsed="false">
      <c r="A969" s="18" t="n">
        <v>133218136</v>
      </c>
      <c r="B969" s="10" t="n">
        <v>968</v>
      </c>
      <c r="C969" s="18" t="s">
        <v>43</v>
      </c>
      <c r="D969" s="9" t="s">
        <v>2031</v>
      </c>
      <c r="E969" s="9" t="s">
        <v>2032</v>
      </c>
      <c r="F969" s="9" t="s">
        <v>12</v>
      </c>
      <c r="G969" s="10" t="n">
        <v>2024</v>
      </c>
      <c r="H969" s="10" t="n">
        <v>10</v>
      </c>
      <c r="I969" s="19" t="n">
        <v>28800</v>
      </c>
      <c r="J969" s="19" t="n">
        <v>32000</v>
      </c>
      <c r="K969" s="10" t="n">
        <v>1600</v>
      </c>
      <c r="L969" s="10" t="n">
        <v>312</v>
      </c>
      <c r="M969" s="10" t="n">
        <v>8</v>
      </c>
      <c r="N969" s="11" t="n">
        <v>9.5</v>
      </c>
      <c r="O969" s="18" t="s">
        <v>56</v>
      </c>
    </row>
    <row r="970" customFormat="false" ht="15" hidden="false" customHeight="false" outlineLevel="0" collapsed="false">
      <c r="A970" s="18" t="n">
        <v>133202481</v>
      </c>
      <c r="B970" s="10" t="n">
        <v>969</v>
      </c>
      <c r="C970" s="18" t="s">
        <v>43</v>
      </c>
      <c r="D970" s="9" t="s">
        <v>2033</v>
      </c>
      <c r="E970" s="9" t="s">
        <v>2034</v>
      </c>
      <c r="F970" s="9" t="s">
        <v>23</v>
      </c>
      <c r="G970" s="10" t="n">
        <v>2024</v>
      </c>
      <c r="H970" s="10" t="n">
        <v>10</v>
      </c>
      <c r="I970" s="19" t="n">
        <v>28800</v>
      </c>
      <c r="J970" s="19" t="n">
        <v>32000</v>
      </c>
      <c r="K970" s="10" t="n">
        <v>1600</v>
      </c>
      <c r="L970" s="10" t="n">
        <v>780</v>
      </c>
      <c r="M970" s="10" t="n">
        <v>2</v>
      </c>
      <c r="N970" s="11" t="n">
        <v>10</v>
      </c>
      <c r="O970" s="18" t="s">
        <v>56</v>
      </c>
    </row>
    <row r="971" customFormat="false" ht="15" hidden="false" customHeight="false" outlineLevel="0" collapsed="false">
      <c r="A971" s="18" t="n">
        <v>132891586</v>
      </c>
      <c r="B971" s="10" t="n">
        <v>970</v>
      </c>
      <c r="C971" s="18" t="s">
        <v>43</v>
      </c>
      <c r="D971" s="9" t="s">
        <v>2035</v>
      </c>
      <c r="E971" s="9" t="s">
        <v>2036</v>
      </c>
      <c r="F971" s="9" t="s">
        <v>12</v>
      </c>
      <c r="G971" s="10" t="n">
        <v>2024</v>
      </c>
      <c r="H971" s="10" t="n">
        <v>10</v>
      </c>
      <c r="I971" s="19" t="n">
        <v>22500</v>
      </c>
      <c r="J971" s="19" t="n">
        <v>25000</v>
      </c>
      <c r="K971" s="10" t="n">
        <v>1250</v>
      </c>
      <c r="L971" s="10" t="n">
        <v>918</v>
      </c>
      <c r="M971" s="10" t="n">
        <v>21</v>
      </c>
      <c r="N971" s="11" t="n">
        <v>9.8</v>
      </c>
      <c r="O971" s="18" t="s">
        <v>56</v>
      </c>
    </row>
    <row r="972" customFormat="false" ht="15" hidden="false" customHeight="false" outlineLevel="0" collapsed="false">
      <c r="A972" s="18" t="n">
        <v>132622950</v>
      </c>
      <c r="B972" s="10" t="n">
        <v>971</v>
      </c>
      <c r="C972" s="18" t="s">
        <v>43</v>
      </c>
      <c r="D972" s="9" t="s">
        <v>2037</v>
      </c>
      <c r="E972" s="9" t="s">
        <v>2038</v>
      </c>
      <c r="F972" s="9" t="s">
        <v>1654</v>
      </c>
      <c r="G972" s="10" t="n">
        <v>2024</v>
      </c>
      <c r="H972" s="10" t="n">
        <v>10</v>
      </c>
      <c r="I972" s="19" t="n">
        <v>12600</v>
      </c>
      <c r="J972" s="19" t="n">
        <v>14000</v>
      </c>
      <c r="K972" s="10" t="n">
        <v>700</v>
      </c>
      <c r="L972" s="10" t="n">
        <v>468</v>
      </c>
      <c r="M972" s="10" t="n">
        <v>0</v>
      </c>
      <c r="N972" s="11" t="n">
        <v>0</v>
      </c>
      <c r="O972" s="18" t="s">
        <v>56</v>
      </c>
    </row>
    <row r="973" customFormat="false" ht="15" hidden="false" customHeight="false" outlineLevel="0" collapsed="false">
      <c r="A973" s="18" t="n">
        <v>132620204</v>
      </c>
      <c r="B973" s="10" t="n">
        <v>972</v>
      </c>
      <c r="C973" s="18" t="s">
        <v>43</v>
      </c>
      <c r="D973" s="9" t="s">
        <v>2039</v>
      </c>
      <c r="E973" s="9" t="s">
        <v>2040</v>
      </c>
      <c r="F973" s="9" t="s">
        <v>1240</v>
      </c>
      <c r="G973" s="10" t="n">
        <v>2024</v>
      </c>
      <c r="H973" s="10" t="n">
        <v>5</v>
      </c>
      <c r="I973" s="19" t="n">
        <v>33250</v>
      </c>
      <c r="J973" s="19" t="n">
        <v>35000</v>
      </c>
      <c r="K973" s="10" t="n">
        <v>700</v>
      </c>
      <c r="L973" s="10" t="n">
        <v>132</v>
      </c>
      <c r="M973" s="10" t="n">
        <v>0</v>
      </c>
      <c r="N973" s="11" t="n">
        <v>0</v>
      </c>
      <c r="O973" s="18" t="s">
        <v>56</v>
      </c>
    </row>
    <row r="974" customFormat="false" ht="15" hidden="false" customHeight="false" outlineLevel="0" collapsed="false">
      <c r="A974" s="18" t="n">
        <v>132560857</v>
      </c>
      <c r="B974" s="10" t="n">
        <v>973</v>
      </c>
      <c r="C974" s="18" t="s">
        <v>43</v>
      </c>
      <c r="D974" s="9" t="s">
        <v>2041</v>
      </c>
      <c r="E974" s="9" t="s">
        <v>2042</v>
      </c>
      <c r="F974" s="9" t="s">
        <v>2043</v>
      </c>
      <c r="G974" s="10" t="n">
        <v>2024</v>
      </c>
      <c r="H974" s="10" t="n">
        <v>10</v>
      </c>
      <c r="I974" s="19" t="n">
        <v>14400</v>
      </c>
      <c r="J974" s="19" t="n">
        <v>16000</v>
      </c>
      <c r="K974" s="10" t="n">
        <v>800</v>
      </c>
      <c r="L974" s="10" t="n">
        <v>324</v>
      </c>
      <c r="M974" s="10" t="n">
        <v>5</v>
      </c>
      <c r="N974" s="11" t="n">
        <v>10</v>
      </c>
      <c r="O974" s="18" t="s">
        <v>56</v>
      </c>
    </row>
    <row r="975" customFormat="false" ht="15" hidden="false" customHeight="false" outlineLevel="0" collapsed="false">
      <c r="A975" s="18" t="n">
        <v>132560855</v>
      </c>
      <c r="B975" s="10" t="n">
        <v>974</v>
      </c>
      <c r="C975" s="18" t="s">
        <v>43</v>
      </c>
      <c r="D975" s="9" t="s">
        <v>2044</v>
      </c>
      <c r="E975" s="9" t="s">
        <v>2042</v>
      </c>
      <c r="F975" s="9" t="s">
        <v>2043</v>
      </c>
      <c r="G975" s="10" t="n">
        <v>2024</v>
      </c>
      <c r="H975" s="10" t="n">
        <v>10</v>
      </c>
      <c r="I975" s="19" t="n">
        <v>14400</v>
      </c>
      <c r="J975" s="19" t="n">
        <v>16000</v>
      </c>
      <c r="K975" s="10" t="n">
        <v>800</v>
      </c>
      <c r="L975" s="10" t="n">
        <v>354</v>
      </c>
      <c r="M975" s="10" t="n">
        <v>16</v>
      </c>
      <c r="N975" s="11" t="n">
        <v>10</v>
      </c>
      <c r="O975" s="18" t="s">
        <v>56</v>
      </c>
    </row>
    <row r="976" customFormat="false" ht="15" hidden="false" customHeight="false" outlineLevel="0" collapsed="false">
      <c r="A976" s="18" t="n">
        <v>132388664</v>
      </c>
      <c r="B976" s="10" t="n">
        <v>975</v>
      </c>
      <c r="C976" s="18" t="s">
        <v>43</v>
      </c>
      <c r="D976" s="9" t="s">
        <v>2045</v>
      </c>
      <c r="E976" s="9" t="s">
        <v>2046</v>
      </c>
      <c r="F976" s="9" t="s">
        <v>12</v>
      </c>
      <c r="G976" s="10" t="n">
        <v>2024</v>
      </c>
      <c r="H976" s="10" t="n">
        <v>10</v>
      </c>
      <c r="I976" s="19" t="n">
        <v>21600</v>
      </c>
      <c r="J976" s="19" t="n">
        <v>24000</v>
      </c>
      <c r="K976" s="10" t="n">
        <v>1200</v>
      </c>
      <c r="L976" s="10" t="n">
        <v>468</v>
      </c>
      <c r="M976" s="10" t="n">
        <v>14</v>
      </c>
      <c r="N976" s="11" t="n">
        <v>9.3</v>
      </c>
      <c r="O976" s="18" t="s">
        <v>56</v>
      </c>
    </row>
    <row r="977" customFormat="false" ht="15" hidden="false" customHeight="false" outlineLevel="0" collapsed="false">
      <c r="A977" s="18" t="n">
        <v>131192112</v>
      </c>
      <c r="B977" s="10" t="n">
        <v>976</v>
      </c>
      <c r="C977" s="18" t="s">
        <v>43</v>
      </c>
      <c r="D977" s="15" t="s">
        <v>2047</v>
      </c>
      <c r="E977" s="9" t="s">
        <v>2048</v>
      </c>
      <c r="F977" s="9" t="s">
        <v>109</v>
      </c>
      <c r="G977" s="10" t="n">
        <v>2024</v>
      </c>
      <c r="H977" s="10" t="n">
        <v>10</v>
      </c>
      <c r="I977" s="19" t="n">
        <v>39600</v>
      </c>
      <c r="J977" s="19" t="n">
        <v>44000</v>
      </c>
      <c r="K977" s="10" t="n">
        <v>2200</v>
      </c>
      <c r="L977" s="10" t="n">
        <v>414</v>
      </c>
      <c r="M977" s="10" t="n">
        <v>3</v>
      </c>
      <c r="N977" s="11" t="n">
        <v>10</v>
      </c>
      <c r="O977" s="18" t="s">
        <v>56</v>
      </c>
    </row>
    <row r="978" customFormat="false" ht="15" hidden="false" customHeight="false" outlineLevel="0" collapsed="false">
      <c r="A978" s="18" t="n">
        <v>131189891</v>
      </c>
      <c r="B978" s="10" t="n">
        <v>977</v>
      </c>
      <c r="C978" s="18" t="s">
        <v>43</v>
      </c>
      <c r="D978" s="9" t="s">
        <v>2049</v>
      </c>
      <c r="E978" s="9" t="s">
        <v>2050</v>
      </c>
      <c r="F978" s="9" t="s">
        <v>12</v>
      </c>
      <c r="G978" s="10" t="n">
        <v>2024</v>
      </c>
      <c r="H978" s="10" t="n">
        <v>10</v>
      </c>
      <c r="I978" s="19" t="n">
        <v>16200</v>
      </c>
      <c r="J978" s="19" t="n">
        <v>18000</v>
      </c>
      <c r="K978" s="10" t="n">
        <v>900</v>
      </c>
      <c r="L978" s="10" t="n">
        <v>1842</v>
      </c>
      <c r="M978" s="10" t="n">
        <v>35</v>
      </c>
      <c r="N978" s="11" t="n">
        <v>9.7</v>
      </c>
      <c r="O978" s="18" t="s">
        <v>56</v>
      </c>
    </row>
    <row r="979" customFormat="false" ht="15" hidden="false" customHeight="false" outlineLevel="0" collapsed="false">
      <c r="A979" s="18" t="n">
        <v>130705168</v>
      </c>
      <c r="B979" s="10" t="n">
        <v>978</v>
      </c>
      <c r="C979" s="18" t="s">
        <v>43</v>
      </c>
      <c r="D979" s="15" t="s">
        <v>2051</v>
      </c>
      <c r="E979" s="9" t="s">
        <v>2052</v>
      </c>
      <c r="F979" s="9" t="s">
        <v>14</v>
      </c>
      <c r="G979" s="10" t="n">
        <v>2024</v>
      </c>
      <c r="H979" s="10" t="n">
        <v>10</v>
      </c>
      <c r="I979" s="19" t="n">
        <v>34200</v>
      </c>
      <c r="J979" s="19" t="n">
        <v>38000</v>
      </c>
      <c r="K979" s="10" t="n">
        <v>1900</v>
      </c>
      <c r="L979" s="10" t="n">
        <v>456</v>
      </c>
      <c r="M979" s="10" t="n">
        <v>10</v>
      </c>
      <c r="N979" s="11" t="n">
        <v>10</v>
      </c>
      <c r="O979" s="18" t="s">
        <v>46</v>
      </c>
    </row>
    <row r="980" customFormat="false" ht="15" hidden="false" customHeight="false" outlineLevel="0" collapsed="false">
      <c r="A980" s="18" t="n">
        <v>130540946</v>
      </c>
      <c r="B980" s="10" t="n">
        <v>979</v>
      </c>
      <c r="C980" s="18" t="s">
        <v>43</v>
      </c>
      <c r="D980" s="9" t="s">
        <v>2053</v>
      </c>
      <c r="E980" s="9" t="s">
        <v>1720</v>
      </c>
      <c r="F980" s="9" t="s">
        <v>747</v>
      </c>
      <c r="G980" s="10" t="n">
        <v>2024</v>
      </c>
      <c r="H980" s="10" t="n">
        <v>10</v>
      </c>
      <c r="I980" s="19" t="n">
        <v>12600</v>
      </c>
      <c r="J980" s="19" t="n">
        <v>14000</v>
      </c>
      <c r="K980" s="10" t="n">
        <v>700</v>
      </c>
      <c r="L980" s="10" t="n">
        <v>216</v>
      </c>
      <c r="M980" s="10" t="n">
        <v>0</v>
      </c>
      <c r="N980" s="11" t="n">
        <v>0</v>
      </c>
      <c r="O980" s="18" t="s">
        <v>56</v>
      </c>
    </row>
    <row r="981" customFormat="false" ht="15" hidden="false" customHeight="false" outlineLevel="0" collapsed="false">
      <c r="A981" s="18" t="n">
        <v>130346848</v>
      </c>
      <c r="B981" s="10" t="n">
        <v>980</v>
      </c>
      <c r="C981" s="18" t="s">
        <v>43</v>
      </c>
      <c r="D981" s="9" t="s">
        <v>2054</v>
      </c>
      <c r="E981" s="9" t="s">
        <v>2055</v>
      </c>
      <c r="F981" s="9" t="s">
        <v>19</v>
      </c>
      <c r="G981" s="10" t="n">
        <v>2024</v>
      </c>
      <c r="H981" s="10" t="n">
        <v>10</v>
      </c>
      <c r="I981" s="19" t="n">
        <v>21600</v>
      </c>
      <c r="J981" s="19" t="n">
        <v>24000</v>
      </c>
      <c r="K981" s="10" t="n">
        <v>1200</v>
      </c>
      <c r="L981" s="10" t="n">
        <v>774</v>
      </c>
      <c r="M981" s="10" t="n">
        <v>2</v>
      </c>
      <c r="N981" s="11" t="n">
        <v>10</v>
      </c>
      <c r="O981" s="18" t="s">
        <v>56</v>
      </c>
    </row>
    <row r="982" customFormat="false" ht="15" hidden="false" customHeight="false" outlineLevel="0" collapsed="false">
      <c r="A982" s="18" t="n">
        <v>130346846</v>
      </c>
      <c r="B982" s="10" t="n">
        <v>981</v>
      </c>
      <c r="C982" s="18" t="s">
        <v>43</v>
      </c>
      <c r="D982" s="9" t="s">
        <v>2056</v>
      </c>
      <c r="E982" s="9" t="s">
        <v>2057</v>
      </c>
      <c r="F982" s="9" t="s">
        <v>16</v>
      </c>
      <c r="G982" s="10" t="n">
        <v>2024</v>
      </c>
      <c r="H982" s="10" t="n">
        <v>10</v>
      </c>
      <c r="I982" s="19" t="n">
        <v>24300</v>
      </c>
      <c r="J982" s="19" t="n">
        <v>27000</v>
      </c>
      <c r="K982" s="10" t="n">
        <v>1350</v>
      </c>
      <c r="L982" s="10" t="n">
        <v>294</v>
      </c>
      <c r="M982" s="10" t="n">
        <v>8</v>
      </c>
      <c r="N982" s="11" t="n">
        <v>9.5</v>
      </c>
      <c r="O982" s="18" t="s">
        <v>56</v>
      </c>
    </row>
    <row r="983" customFormat="false" ht="15" hidden="false" customHeight="false" outlineLevel="0" collapsed="false">
      <c r="A983" s="18" t="n">
        <v>130326801</v>
      </c>
      <c r="B983" s="10" t="n">
        <v>982</v>
      </c>
      <c r="C983" s="18" t="s">
        <v>43</v>
      </c>
      <c r="D983" s="9" t="s">
        <v>2058</v>
      </c>
      <c r="E983" s="9" t="s">
        <v>2059</v>
      </c>
      <c r="F983" s="9" t="s">
        <v>1660</v>
      </c>
      <c r="G983" s="10" t="n">
        <v>2024</v>
      </c>
      <c r="H983" s="10" t="n">
        <v>0</v>
      </c>
      <c r="I983" s="19" t="n">
        <v>18000</v>
      </c>
      <c r="J983" s="19" t="n">
        <v>18000</v>
      </c>
      <c r="K983" s="10" t="n">
        <v>0</v>
      </c>
      <c r="L983" s="10" t="n">
        <v>1356</v>
      </c>
      <c r="M983" s="10" t="n">
        <v>0</v>
      </c>
      <c r="N983" s="11" t="n">
        <v>0</v>
      </c>
      <c r="O983" s="18" t="s">
        <v>56</v>
      </c>
    </row>
    <row r="984" customFormat="false" ht="15" hidden="false" customHeight="false" outlineLevel="0" collapsed="false">
      <c r="A984" s="18" t="n">
        <v>130300826</v>
      </c>
      <c r="B984" s="10" t="n">
        <v>983</v>
      </c>
      <c r="C984" s="18" t="s">
        <v>43</v>
      </c>
      <c r="D984" s="9" t="s">
        <v>2060</v>
      </c>
      <c r="E984" s="9" t="s">
        <v>2061</v>
      </c>
      <c r="F984" s="9" t="s">
        <v>422</v>
      </c>
      <c r="G984" s="10" t="n">
        <v>2024</v>
      </c>
      <c r="H984" s="10" t="n">
        <v>10</v>
      </c>
      <c r="I984" s="19" t="n">
        <v>38700</v>
      </c>
      <c r="J984" s="19" t="n">
        <v>43000</v>
      </c>
      <c r="K984" s="10" t="n">
        <v>2150</v>
      </c>
      <c r="L984" s="10" t="n">
        <v>120</v>
      </c>
      <c r="M984" s="10" t="n">
        <v>1</v>
      </c>
      <c r="N984" s="11" t="n">
        <v>10</v>
      </c>
      <c r="O984" s="18" t="s">
        <v>56</v>
      </c>
    </row>
    <row r="985" customFormat="false" ht="15" hidden="false" customHeight="false" outlineLevel="0" collapsed="false">
      <c r="A985" s="18" t="n">
        <v>130271536</v>
      </c>
      <c r="B985" s="10" t="n">
        <v>984</v>
      </c>
      <c r="C985" s="18" t="s">
        <v>43</v>
      </c>
      <c r="D985" s="9" t="s">
        <v>2062</v>
      </c>
      <c r="E985" s="9" t="s">
        <v>2063</v>
      </c>
      <c r="F985" s="9" t="s">
        <v>21</v>
      </c>
      <c r="G985" s="10" t="n">
        <v>2024</v>
      </c>
      <c r="H985" s="10" t="n">
        <v>10</v>
      </c>
      <c r="I985" s="19" t="n">
        <v>25200</v>
      </c>
      <c r="J985" s="19" t="n">
        <v>28000</v>
      </c>
      <c r="K985" s="10" t="n">
        <v>1400</v>
      </c>
      <c r="L985" s="10" t="n">
        <v>168</v>
      </c>
      <c r="M985" s="10" t="n">
        <v>5</v>
      </c>
      <c r="N985" s="11" t="n">
        <v>9.6</v>
      </c>
      <c r="O985" s="18" t="s">
        <v>56</v>
      </c>
    </row>
    <row r="986" customFormat="false" ht="15" hidden="false" customHeight="false" outlineLevel="0" collapsed="false">
      <c r="A986" s="18" t="n">
        <v>130210509</v>
      </c>
      <c r="B986" s="10" t="n">
        <v>985</v>
      </c>
      <c r="C986" s="18" t="s">
        <v>43</v>
      </c>
      <c r="D986" s="9" t="s">
        <v>2064</v>
      </c>
      <c r="E986" s="9" t="s">
        <v>1167</v>
      </c>
      <c r="F986" s="9" t="s">
        <v>663</v>
      </c>
      <c r="G986" s="10" t="n">
        <v>2024</v>
      </c>
      <c r="H986" s="10" t="n">
        <v>10</v>
      </c>
      <c r="I986" s="19" t="n">
        <v>9000</v>
      </c>
      <c r="J986" s="19" t="n">
        <v>10000</v>
      </c>
      <c r="K986" s="10" t="n">
        <v>500</v>
      </c>
      <c r="L986" s="10" t="n">
        <v>1020</v>
      </c>
      <c r="M986" s="10" t="n">
        <v>0</v>
      </c>
      <c r="N986" s="11" t="n">
        <v>0</v>
      </c>
      <c r="O986" s="18" t="s">
        <v>56</v>
      </c>
    </row>
    <row r="987" customFormat="false" ht="15" hidden="false" customHeight="false" outlineLevel="0" collapsed="false">
      <c r="A987" s="18" t="n">
        <v>130210471</v>
      </c>
      <c r="B987" s="10" t="n">
        <v>986</v>
      </c>
      <c r="C987" s="18" t="s">
        <v>43</v>
      </c>
      <c r="D987" s="9" t="s">
        <v>2065</v>
      </c>
      <c r="E987" s="9" t="s">
        <v>1167</v>
      </c>
      <c r="F987" s="9" t="s">
        <v>663</v>
      </c>
      <c r="G987" s="10" t="n">
        <v>2024</v>
      </c>
      <c r="H987" s="10" t="n">
        <v>10</v>
      </c>
      <c r="I987" s="19" t="n">
        <v>9000</v>
      </c>
      <c r="J987" s="19" t="n">
        <v>10000</v>
      </c>
      <c r="K987" s="10" t="n">
        <v>500</v>
      </c>
      <c r="L987" s="10" t="n">
        <v>1209</v>
      </c>
      <c r="M987" s="10" t="n">
        <v>2</v>
      </c>
      <c r="N987" s="11" t="n">
        <v>10</v>
      </c>
      <c r="O987" s="18" t="s">
        <v>56</v>
      </c>
    </row>
    <row r="988" customFormat="false" ht="15" hidden="false" customHeight="false" outlineLevel="0" collapsed="false">
      <c r="A988" s="18" t="n">
        <v>130153561</v>
      </c>
      <c r="B988" s="10" t="n">
        <v>987</v>
      </c>
      <c r="C988" s="18" t="s">
        <v>43</v>
      </c>
      <c r="D988" s="9" t="s">
        <v>2066</v>
      </c>
      <c r="E988" s="9" t="s">
        <v>60</v>
      </c>
      <c r="F988" s="9" t="s">
        <v>116</v>
      </c>
      <c r="G988" s="10" t="n">
        <v>2024</v>
      </c>
      <c r="H988" s="10" t="n">
        <v>10</v>
      </c>
      <c r="I988" s="19" t="n">
        <v>25200</v>
      </c>
      <c r="J988" s="19" t="n">
        <v>28000</v>
      </c>
      <c r="K988" s="10" t="n">
        <v>1400</v>
      </c>
      <c r="L988" s="10" t="n">
        <v>1446</v>
      </c>
      <c r="M988" s="10" t="n">
        <v>19</v>
      </c>
      <c r="N988" s="11" t="n">
        <v>7.6</v>
      </c>
      <c r="O988" s="18" t="s">
        <v>56</v>
      </c>
    </row>
    <row r="989" customFormat="false" ht="15" hidden="false" customHeight="false" outlineLevel="0" collapsed="false">
      <c r="A989" s="18" t="n">
        <v>130139106</v>
      </c>
      <c r="B989" s="10" t="n">
        <v>988</v>
      </c>
      <c r="C989" s="18" t="s">
        <v>43</v>
      </c>
      <c r="D989" s="9" t="s">
        <v>2067</v>
      </c>
      <c r="E989" s="9" t="s">
        <v>2068</v>
      </c>
      <c r="F989" s="9" t="s">
        <v>25</v>
      </c>
      <c r="G989" s="10" t="n">
        <v>2024</v>
      </c>
      <c r="H989" s="10" t="n">
        <v>0</v>
      </c>
      <c r="I989" s="19" t="n">
        <v>12000</v>
      </c>
      <c r="J989" s="19" t="n">
        <v>12000</v>
      </c>
      <c r="K989" s="10" t="n">
        <v>0</v>
      </c>
      <c r="L989" s="10" t="n">
        <v>114</v>
      </c>
      <c r="M989" s="10" t="n">
        <v>0</v>
      </c>
      <c r="N989" s="11" t="n">
        <v>0</v>
      </c>
      <c r="O989" s="18" t="s">
        <v>56</v>
      </c>
    </row>
    <row r="990" customFormat="false" ht="15" hidden="false" customHeight="false" outlineLevel="0" collapsed="false">
      <c r="A990" s="18" t="n">
        <v>130039359</v>
      </c>
      <c r="B990" s="10" t="n">
        <v>989</v>
      </c>
      <c r="C990" s="18" t="s">
        <v>43</v>
      </c>
      <c r="D990" s="9" t="s">
        <v>2069</v>
      </c>
      <c r="E990" s="9" t="s">
        <v>2070</v>
      </c>
      <c r="F990" s="9" t="s">
        <v>16</v>
      </c>
      <c r="G990" s="10" t="n">
        <v>2024</v>
      </c>
      <c r="H990" s="10" t="n">
        <v>10</v>
      </c>
      <c r="I990" s="19" t="n">
        <v>25200</v>
      </c>
      <c r="J990" s="19" t="n">
        <v>28000</v>
      </c>
      <c r="K990" s="10" t="n">
        <v>1400</v>
      </c>
      <c r="L990" s="10" t="n">
        <v>1200</v>
      </c>
      <c r="M990" s="10" t="n">
        <v>8</v>
      </c>
      <c r="N990" s="11" t="n">
        <v>9</v>
      </c>
      <c r="O990" s="18" t="s">
        <v>56</v>
      </c>
    </row>
    <row r="991" customFormat="false" ht="15" hidden="false" customHeight="false" outlineLevel="0" collapsed="false">
      <c r="A991" s="18" t="n">
        <v>129587785</v>
      </c>
      <c r="B991" s="10" t="n">
        <v>990</v>
      </c>
      <c r="C991" s="18" t="s">
        <v>43</v>
      </c>
      <c r="D991" s="9" t="s">
        <v>2071</v>
      </c>
      <c r="E991" s="9" t="s">
        <v>2072</v>
      </c>
      <c r="F991" s="9" t="s">
        <v>23</v>
      </c>
      <c r="G991" s="10" t="n">
        <v>2024</v>
      </c>
      <c r="H991" s="10" t="n">
        <v>10</v>
      </c>
      <c r="I991" s="19" t="n">
        <v>39600</v>
      </c>
      <c r="J991" s="19" t="n">
        <v>44000</v>
      </c>
      <c r="K991" s="10" t="n">
        <v>2200</v>
      </c>
      <c r="L991" s="10" t="n">
        <v>216</v>
      </c>
      <c r="M991" s="10" t="n">
        <v>20</v>
      </c>
      <c r="N991" s="11" t="n">
        <v>9.7</v>
      </c>
      <c r="O991" s="18" t="s">
        <v>56</v>
      </c>
    </row>
    <row r="992" customFormat="false" ht="15" hidden="false" customHeight="false" outlineLevel="0" collapsed="false">
      <c r="A992" s="18" t="n">
        <v>129366411</v>
      </c>
      <c r="B992" s="10" t="n">
        <v>991</v>
      </c>
      <c r="C992" s="18" t="s">
        <v>43</v>
      </c>
      <c r="D992" s="9" t="s">
        <v>2073</v>
      </c>
      <c r="E992" s="9" t="s">
        <v>2074</v>
      </c>
      <c r="F992" s="9" t="s">
        <v>64</v>
      </c>
      <c r="G992" s="10" t="n">
        <v>2024</v>
      </c>
      <c r="H992" s="10" t="n">
        <v>10</v>
      </c>
      <c r="I992" s="19" t="n">
        <v>17820</v>
      </c>
      <c r="J992" s="19" t="n">
        <v>19800</v>
      </c>
      <c r="K992" s="10" t="n">
        <v>990</v>
      </c>
      <c r="L992" s="10" t="n">
        <v>978</v>
      </c>
      <c r="M992" s="10" t="n">
        <v>5</v>
      </c>
      <c r="N992" s="11" t="n">
        <v>10</v>
      </c>
      <c r="O992" s="18" t="s">
        <v>56</v>
      </c>
    </row>
    <row r="993" customFormat="false" ht="15" hidden="false" customHeight="false" outlineLevel="0" collapsed="false">
      <c r="A993" s="18" t="n">
        <v>129064913</v>
      </c>
      <c r="B993" s="10" t="n">
        <v>992</v>
      </c>
      <c r="C993" s="18" t="s">
        <v>43</v>
      </c>
      <c r="D993" s="9" t="s">
        <v>2075</v>
      </c>
      <c r="E993" s="9" t="s">
        <v>2076</v>
      </c>
      <c r="F993" s="9" t="s">
        <v>12</v>
      </c>
      <c r="G993" s="10" t="n">
        <v>2024</v>
      </c>
      <c r="H993" s="10" t="n">
        <v>10</v>
      </c>
      <c r="I993" s="19" t="n">
        <v>19800</v>
      </c>
      <c r="J993" s="19" t="n">
        <v>22000</v>
      </c>
      <c r="K993" s="10" t="n">
        <v>1100</v>
      </c>
      <c r="L993" s="10" t="n">
        <v>738</v>
      </c>
      <c r="M993" s="10" t="n">
        <v>30</v>
      </c>
      <c r="N993" s="11" t="n">
        <v>9.9</v>
      </c>
      <c r="O993" s="18" t="s">
        <v>56</v>
      </c>
    </row>
    <row r="994" customFormat="false" ht="15" hidden="false" customHeight="false" outlineLevel="0" collapsed="false">
      <c r="A994" s="18" t="n">
        <v>129053073</v>
      </c>
      <c r="B994" s="10" t="n">
        <v>993</v>
      </c>
      <c r="C994" s="18" t="s">
        <v>43</v>
      </c>
      <c r="D994" s="15" t="s">
        <v>2077</v>
      </c>
      <c r="E994" s="9" t="s">
        <v>2078</v>
      </c>
      <c r="F994" s="9" t="s">
        <v>1966</v>
      </c>
      <c r="G994" s="10" t="n">
        <v>2024</v>
      </c>
      <c r="H994" s="10" t="n">
        <v>10</v>
      </c>
      <c r="I994" s="19" t="n">
        <v>16200</v>
      </c>
      <c r="J994" s="19" t="n">
        <v>18000</v>
      </c>
      <c r="K994" s="10" t="n">
        <v>900</v>
      </c>
      <c r="L994" s="10" t="n">
        <v>108</v>
      </c>
      <c r="M994" s="10" t="n">
        <v>1</v>
      </c>
      <c r="N994" s="11" t="n">
        <v>10</v>
      </c>
      <c r="O994" s="18" t="s">
        <v>56</v>
      </c>
    </row>
    <row r="995" customFormat="false" ht="15" hidden="false" customHeight="false" outlineLevel="0" collapsed="false">
      <c r="A995" s="18" t="n">
        <v>128929260</v>
      </c>
      <c r="B995" s="10" t="n">
        <v>994</v>
      </c>
      <c r="C995" s="18" t="s">
        <v>43</v>
      </c>
      <c r="D995" s="9" t="s">
        <v>2079</v>
      </c>
      <c r="E995" s="9" t="s">
        <v>2080</v>
      </c>
      <c r="F995" s="9" t="s">
        <v>16</v>
      </c>
      <c r="G995" s="10" t="n">
        <v>2024</v>
      </c>
      <c r="H995" s="10" t="n">
        <v>10</v>
      </c>
      <c r="I995" s="19" t="n">
        <v>27000</v>
      </c>
      <c r="J995" s="19" t="n">
        <v>30000</v>
      </c>
      <c r="K995" s="10" t="n">
        <v>1500</v>
      </c>
      <c r="L995" s="10" t="n">
        <v>288</v>
      </c>
      <c r="M995" s="10" t="n">
        <v>12</v>
      </c>
      <c r="N995" s="11" t="n">
        <v>10</v>
      </c>
      <c r="O995" s="18" t="s">
        <v>56</v>
      </c>
    </row>
    <row r="996" customFormat="false" ht="15" hidden="false" customHeight="false" outlineLevel="0" collapsed="false">
      <c r="A996" s="18" t="n">
        <v>128928864</v>
      </c>
      <c r="B996" s="10" t="n">
        <v>995</v>
      </c>
      <c r="C996" s="18" t="s">
        <v>43</v>
      </c>
      <c r="D996" s="9" t="s">
        <v>2081</v>
      </c>
      <c r="E996" s="9" t="s">
        <v>2082</v>
      </c>
      <c r="F996" s="9" t="s">
        <v>16</v>
      </c>
      <c r="G996" s="10" t="n">
        <v>2024</v>
      </c>
      <c r="H996" s="10" t="n">
        <v>10</v>
      </c>
      <c r="I996" s="19" t="n">
        <v>34200</v>
      </c>
      <c r="J996" s="19" t="n">
        <v>38000</v>
      </c>
      <c r="K996" s="10" t="n">
        <v>1900</v>
      </c>
      <c r="L996" s="10" t="n">
        <v>870</v>
      </c>
      <c r="M996" s="10" t="n">
        <v>16</v>
      </c>
      <c r="N996" s="11" t="n">
        <v>9.9</v>
      </c>
      <c r="O996" s="18" t="s">
        <v>56</v>
      </c>
    </row>
    <row r="997" customFormat="false" ht="15" hidden="false" customHeight="false" outlineLevel="0" collapsed="false">
      <c r="A997" s="18" t="n">
        <v>128928355</v>
      </c>
      <c r="B997" s="10" t="n">
        <v>996</v>
      </c>
      <c r="C997" s="18" t="s">
        <v>43</v>
      </c>
      <c r="D997" s="9" t="s">
        <v>2083</v>
      </c>
      <c r="E997" s="9" t="s">
        <v>2084</v>
      </c>
      <c r="F997" s="9" t="s">
        <v>322</v>
      </c>
      <c r="G997" s="10" t="n">
        <v>2024</v>
      </c>
      <c r="H997" s="10" t="n">
        <v>0</v>
      </c>
      <c r="I997" s="19" t="n">
        <v>34000</v>
      </c>
      <c r="J997" s="19" t="n">
        <v>34000</v>
      </c>
      <c r="K997" s="10" t="n">
        <v>1020</v>
      </c>
      <c r="L997" s="10" t="n">
        <v>4746</v>
      </c>
      <c r="M997" s="10" t="n">
        <v>6</v>
      </c>
      <c r="N997" s="11" t="n">
        <v>10</v>
      </c>
      <c r="O997" s="18" t="s">
        <v>56</v>
      </c>
    </row>
    <row r="998" customFormat="false" ht="15" hidden="false" customHeight="false" outlineLevel="0" collapsed="false">
      <c r="A998" s="18" t="n">
        <v>128897247</v>
      </c>
      <c r="B998" s="10" t="n">
        <v>997</v>
      </c>
      <c r="C998" s="18" t="s">
        <v>43</v>
      </c>
      <c r="D998" s="9" t="s">
        <v>2085</v>
      </c>
      <c r="E998" s="9" t="s">
        <v>2086</v>
      </c>
      <c r="F998" s="9" t="s">
        <v>14</v>
      </c>
      <c r="G998" s="10" t="n">
        <v>2024</v>
      </c>
      <c r="H998" s="10" t="n">
        <v>10</v>
      </c>
      <c r="I998" s="19" t="n">
        <v>29700</v>
      </c>
      <c r="J998" s="19" t="n">
        <v>33000</v>
      </c>
      <c r="K998" s="10" t="n">
        <v>1650</v>
      </c>
      <c r="L998" s="10" t="n">
        <v>258</v>
      </c>
      <c r="M998" s="10" t="n">
        <v>11</v>
      </c>
      <c r="N998" s="11" t="n">
        <v>8.5</v>
      </c>
      <c r="O998" s="18" t="s">
        <v>56</v>
      </c>
    </row>
    <row r="999" customFormat="false" ht="15" hidden="false" customHeight="false" outlineLevel="0" collapsed="false">
      <c r="A999" s="18" t="n">
        <v>128869338</v>
      </c>
      <c r="B999" s="10" t="n">
        <v>998</v>
      </c>
      <c r="C999" s="18" t="s">
        <v>43</v>
      </c>
      <c r="D999" s="9" t="s">
        <v>2087</v>
      </c>
      <c r="E999" s="9" t="s">
        <v>941</v>
      </c>
      <c r="F999" s="9" t="s">
        <v>514</v>
      </c>
      <c r="G999" s="10" t="n">
        <v>2024</v>
      </c>
      <c r="H999" s="10" t="n">
        <v>0</v>
      </c>
      <c r="I999" s="19" t="n">
        <v>31000</v>
      </c>
      <c r="J999" s="19" t="n">
        <v>31000</v>
      </c>
      <c r="K999" s="10" t="n">
        <v>0</v>
      </c>
      <c r="L999" s="10" t="n">
        <v>1428</v>
      </c>
      <c r="M999" s="10" t="n">
        <v>5</v>
      </c>
      <c r="N999" s="11" t="n">
        <v>10</v>
      </c>
      <c r="O999" s="18" t="s">
        <v>56</v>
      </c>
    </row>
    <row r="1000" customFormat="false" ht="15" hidden="false" customHeight="false" outlineLevel="0" collapsed="false">
      <c r="A1000" s="18" t="n">
        <v>128724816</v>
      </c>
      <c r="B1000" s="10" t="n">
        <v>999</v>
      </c>
      <c r="C1000" s="18" t="s">
        <v>43</v>
      </c>
      <c r="D1000" s="9" t="s">
        <v>2088</v>
      </c>
      <c r="E1000" s="9" t="s">
        <v>2089</v>
      </c>
      <c r="F1000" s="9" t="s">
        <v>2090</v>
      </c>
      <c r="G1000" s="10" t="n">
        <v>2024</v>
      </c>
      <c r="H1000" s="10" t="n">
        <v>10</v>
      </c>
      <c r="I1000" s="19" t="n">
        <v>17550</v>
      </c>
      <c r="J1000" s="19" t="n">
        <v>19500</v>
      </c>
      <c r="K1000" s="10" t="n">
        <v>970</v>
      </c>
      <c r="L1000" s="10" t="n">
        <v>1863</v>
      </c>
      <c r="M1000" s="10" t="n">
        <v>54</v>
      </c>
      <c r="N1000" s="11" t="n">
        <v>9.7</v>
      </c>
      <c r="O1000" s="18" t="s">
        <v>46</v>
      </c>
    </row>
    <row r="1001" customFormat="false" ht="15" hidden="false" customHeight="false" outlineLevel="0" collapsed="false">
      <c r="A1001" s="18" t="n">
        <v>128710457</v>
      </c>
      <c r="B1001" s="10" t="n">
        <v>1000</v>
      </c>
      <c r="C1001" s="18" t="s">
        <v>43</v>
      </c>
      <c r="D1001" s="9" t="s">
        <v>2091</v>
      </c>
      <c r="E1001" s="9" t="s">
        <v>2092</v>
      </c>
      <c r="F1001" s="15" t="s">
        <v>680</v>
      </c>
      <c r="G1001" s="10" t="n">
        <v>2024</v>
      </c>
      <c r="H1001" s="10" t="n">
        <v>10</v>
      </c>
      <c r="I1001" s="19" t="n">
        <v>23400</v>
      </c>
      <c r="J1001" s="19" t="n">
        <v>26000</v>
      </c>
      <c r="K1001" s="10" t="n">
        <v>1300</v>
      </c>
      <c r="L1001" s="10" t="n">
        <v>456</v>
      </c>
      <c r="M1001" s="10" t="n">
        <v>7</v>
      </c>
      <c r="N1001" s="11" t="n">
        <v>9.7</v>
      </c>
      <c r="O1001" s="18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10.02"/>
    <col collapsed="false" customWidth="true" hidden="false" outlineLevel="0" max="2" min="2" style="0" width="9.18"/>
    <col collapsed="false" customWidth="true" hidden="false" outlineLevel="0" max="3" min="3" style="0" width="10.85"/>
    <col collapsed="false" customWidth="true" hidden="false" outlineLevel="0" max="4" min="4" style="0" width="44.23"/>
    <col collapsed="false" customWidth="true" hidden="false" outlineLevel="0" max="5" min="5" style="0" width="78.45"/>
    <col collapsed="false" customWidth="true" hidden="false" outlineLevel="0" max="6" min="6" style="0" width="10.02"/>
    <col collapsed="false" customWidth="true" hidden="false" outlineLevel="0" max="7" min="7" style="0" width="12.52"/>
    <col collapsed="false" customWidth="true" hidden="false" outlineLevel="0" max="8" min="8" style="0" width="13.35"/>
    <col collapsed="false" customWidth="true" hidden="false" outlineLevel="0" max="9" min="9" style="0" width="10.85"/>
    <col collapsed="false" customWidth="true" hidden="false" outlineLevel="0" max="10" min="10" style="0" width="14.19"/>
    <col collapsed="false" customWidth="true" hidden="false" outlineLevel="0" max="11" min="11" style="0" width="9.18"/>
    <col collapsed="false" customWidth="true" hidden="false" outlineLevel="0" max="12" min="12" style="0" width="10.85"/>
    <col collapsed="false" customWidth="true" hidden="false" outlineLevel="0" max="13" min="13" style="0" width="12.52"/>
    <col collapsed="false" customWidth="true" hidden="false" outlineLevel="0" max="14" min="14" style="0" width="9.18"/>
    <col collapsed="false" customWidth="true" hidden="false" outlineLevel="0" max="15" min="15" style="0" width="14.19"/>
  </cols>
  <sheetData>
    <row r="1" customFormat="false" ht="15" hidden="false" customHeight="false" outlineLevel="0" collapsed="false">
      <c r="A1" s="17" t="s">
        <v>28</v>
      </c>
      <c r="B1" s="17" t="s">
        <v>29</v>
      </c>
      <c r="C1" s="17" t="s">
        <v>30</v>
      </c>
      <c r="D1" s="17" t="s">
        <v>31</v>
      </c>
      <c r="E1" s="17" t="s">
        <v>32</v>
      </c>
      <c r="F1" s="17" t="s">
        <v>33</v>
      </c>
      <c r="G1" s="17" t="s">
        <v>34</v>
      </c>
      <c r="H1" s="17" t="s">
        <v>35</v>
      </c>
      <c r="I1" s="17" t="s">
        <v>36</v>
      </c>
      <c r="J1" s="17" t="s">
        <v>37</v>
      </c>
      <c r="K1" s="17" t="s">
        <v>38</v>
      </c>
      <c r="L1" s="17" t="s">
        <v>39</v>
      </c>
      <c r="M1" s="17" t="s">
        <v>40</v>
      </c>
      <c r="N1" s="17" t="s">
        <v>41</v>
      </c>
      <c r="O1" s="17" t="s">
        <v>42</v>
      </c>
    </row>
    <row r="2" customFormat="false" ht="15" hidden="false" customHeight="false" outlineLevel="0" collapsed="false">
      <c r="A2" s="18" t="n">
        <v>167573138</v>
      </c>
      <c r="B2" s="10" t="n">
        <v>1</v>
      </c>
      <c r="C2" s="18" t="s">
        <v>43</v>
      </c>
      <c r="D2" s="9" t="s">
        <v>44</v>
      </c>
      <c r="E2" s="9" t="s">
        <v>45</v>
      </c>
      <c r="F2" s="9" t="s">
        <v>12</v>
      </c>
      <c r="G2" s="10" t="n">
        <v>2025</v>
      </c>
      <c r="H2" s="10" t="n">
        <v>10</v>
      </c>
      <c r="I2" s="19" t="n">
        <v>27000</v>
      </c>
      <c r="J2" s="19" t="n">
        <v>30000</v>
      </c>
      <c r="K2" s="10" t="n">
        <v>1500</v>
      </c>
      <c r="L2" s="10" t="n">
        <v>71388</v>
      </c>
      <c r="M2" s="10" t="n">
        <v>163</v>
      </c>
      <c r="N2" s="11" t="n">
        <v>9.9</v>
      </c>
      <c r="O2" s="18" t="s">
        <v>46</v>
      </c>
    </row>
    <row r="3" customFormat="false" ht="15" hidden="false" customHeight="false" outlineLevel="0" collapsed="false">
      <c r="A3" s="18" t="n">
        <v>189855418</v>
      </c>
      <c r="B3" s="10" t="n">
        <v>4</v>
      </c>
      <c r="C3" s="18" t="s">
        <v>43</v>
      </c>
      <c r="D3" s="9" t="s">
        <v>52</v>
      </c>
      <c r="E3" s="9" t="s">
        <v>53</v>
      </c>
      <c r="F3" s="9" t="s">
        <v>12</v>
      </c>
      <c r="G3" s="10" t="n">
        <v>2026</v>
      </c>
      <c r="H3" s="10" t="n">
        <v>10</v>
      </c>
      <c r="I3" s="19" t="n">
        <v>27000</v>
      </c>
      <c r="J3" s="19" t="n">
        <v>30000</v>
      </c>
      <c r="K3" s="10" t="n">
        <v>1500</v>
      </c>
      <c r="L3" s="10" t="n">
        <v>14598</v>
      </c>
      <c r="M3" s="10" t="n">
        <v>0</v>
      </c>
      <c r="N3" s="11" t="n">
        <v>0</v>
      </c>
      <c r="O3" s="18" t="s">
        <v>46</v>
      </c>
    </row>
    <row r="4" customFormat="false" ht="15" hidden="false" customHeight="false" outlineLevel="0" collapsed="false">
      <c r="A4" s="18" t="n">
        <v>189818905</v>
      </c>
      <c r="B4" s="10" t="n">
        <v>6</v>
      </c>
      <c r="C4" s="18" t="s">
        <v>43</v>
      </c>
      <c r="D4" s="9" t="s">
        <v>57</v>
      </c>
      <c r="E4" s="9" t="s">
        <v>58</v>
      </c>
      <c r="F4" s="9" t="s">
        <v>12</v>
      </c>
      <c r="G4" s="10" t="n">
        <v>2026</v>
      </c>
      <c r="H4" s="10" t="n">
        <v>10</v>
      </c>
      <c r="I4" s="19" t="n">
        <v>27000</v>
      </c>
      <c r="J4" s="19" t="n">
        <v>30000</v>
      </c>
      <c r="K4" s="10" t="n">
        <v>1500</v>
      </c>
      <c r="L4" s="10" t="n">
        <v>6846</v>
      </c>
      <c r="M4" s="10" t="n">
        <v>0</v>
      </c>
      <c r="N4" s="11" t="n">
        <v>0</v>
      </c>
      <c r="O4" s="18" t="s">
        <v>56</v>
      </c>
    </row>
    <row r="5" customFormat="false" ht="15" hidden="false" customHeight="false" outlineLevel="0" collapsed="false">
      <c r="A5" s="18" t="n">
        <v>186846424</v>
      </c>
      <c r="B5" s="10" t="n">
        <v>11</v>
      </c>
      <c r="C5" s="18" t="s">
        <v>43</v>
      </c>
      <c r="D5" s="9" t="s">
        <v>70</v>
      </c>
      <c r="E5" s="9" t="s">
        <v>71</v>
      </c>
      <c r="F5" s="9" t="s">
        <v>12</v>
      </c>
      <c r="G5" s="10" t="n">
        <v>2026</v>
      </c>
      <c r="H5" s="10" t="n">
        <v>10</v>
      </c>
      <c r="I5" s="19" t="n">
        <v>32400</v>
      </c>
      <c r="J5" s="19" t="n">
        <v>36000</v>
      </c>
      <c r="K5" s="10" t="n">
        <v>1800</v>
      </c>
      <c r="L5" s="10" t="n">
        <v>17472</v>
      </c>
      <c r="M5" s="10" t="n">
        <v>22</v>
      </c>
      <c r="N5" s="11" t="n">
        <v>9.8</v>
      </c>
      <c r="O5" s="18" t="s">
        <v>46</v>
      </c>
    </row>
    <row r="6" customFormat="false" ht="15" hidden="false" customHeight="false" outlineLevel="0" collapsed="false">
      <c r="A6" s="18" t="n">
        <v>183751609</v>
      </c>
      <c r="B6" s="10" t="n">
        <v>12</v>
      </c>
      <c r="C6" s="18" t="s">
        <v>43</v>
      </c>
      <c r="D6" s="9" t="s">
        <v>72</v>
      </c>
      <c r="E6" s="15" t="s">
        <v>73</v>
      </c>
      <c r="F6" s="9" t="s">
        <v>12</v>
      </c>
      <c r="G6" s="10" t="n">
        <v>2026</v>
      </c>
      <c r="H6" s="10" t="n">
        <v>10</v>
      </c>
      <c r="I6" s="19" t="n">
        <v>23400</v>
      </c>
      <c r="J6" s="19" t="n">
        <v>26000</v>
      </c>
      <c r="K6" s="10" t="n">
        <v>1300</v>
      </c>
      <c r="L6" s="10" t="n">
        <v>10959</v>
      </c>
      <c r="M6" s="10" t="n">
        <v>146</v>
      </c>
      <c r="N6" s="11" t="n">
        <v>9.9</v>
      </c>
      <c r="O6" s="18" t="s">
        <v>56</v>
      </c>
    </row>
    <row r="7" customFormat="false" ht="15" hidden="false" customHeight="false" outlineLevel="0" collapsed="false">
      <c r="A7" s="18" t="n">
        <v>183674597</v>
      </c>
      <c r="B7" s="10" t="n">
        <v>21</v>
      </c>
      <c r="C7" s="18" t="s">
        <v>43</v>
      </c>
      <c r="D7" s="9" t="s">
        <v>94</v>
      </c>
      <c r="E7" s="9" t="s">
        <v>95</v>
      </c>
      <c r="F7" s="9" t="s">
        <v>12</v>
      </c>
      <c r="G7" s="10" t="n">
        <v>2026</v>
      </c>
      <c r="H7" s="10" t="n">
        <v>10</v>
      </c>
      <c r="I7" s="19" t="n">
        <v>23400</v>
      </c>
      <c r="J7" s="19" t="n">
        <v>26000</v>
      </c>
      <c r="K7" s="10" t="n">
        <v>1300</v>
      </c>
      <c r="L7" s="10" t="n">
        <v>15819</v>
      </c>
      <c r="M7" s="10" t="n">
        <v>23</v>
      </c>
      <c r="N7" s="11" t="n">
        <v>9.1</v>
      </c>
      <c r="O7" s="18" t="s">
        <v>56</v>
      </c>
    </row>
    <row r="8" customFormat="false" ht="15" hidden="false" customHeight="false" outlineLevel="0" collapsed="false">
      <c r="A8" s="18" t="n">
        <v>187173505</v>
      </c>
      <c r="B8" s="10" t="n">
        <v>22</v>
      </c>
      <c r="C8" s="18" t="s">
        <v>43</v>
      </c>
      <c r="D8" s="9" t="s">
        <v>96</v>
      </c>
      <c r="E8" s="9" t="s">
        <v>97</v>
      </c>
      <c r="F8" s="9" t="s">
        <v>12</v>
      </c>
      <c r="G8" s="10" t="n">
        <v>2026</v>
      </c>
      <c r="H8" s="10" t="n">
        <v>10</v>
      </c>
      <c r="I8" s="19" t="n">
        <v>19800</v>
      </c>
      <c r="J8" s="19" t="n">
        <v>22000</v>
      </c>
      <c r="K8" s="10" t="n">
        <v>1100</v>
      </c>
      <c r="L8" s="10" t="n">
        <v>7707</v>
      </c>
      <c r="M8" s="10" t="n">
        <v>52</v>
      </c>
      <c r="N8" s="11" t="n">
        <v>10</v>
      </c>
      <c r="O8" s="18" t="s">
        <v>46</v>
      </c>
    </row>
    <row r="9" customFormat="false" ht="15" hidden="false" customHeight="false" outlineLevel="0" collapsed="false">
      <c r="A9" s="18" t="n">
        <v>180510836</v>
      </c>
      <c r="B9" s="10" t="n">
        <v>27</v>
      </c>
      <c r="C9" s="18" t="s">
        <v>43</v>
      </c>
      <c r="D9" s="9" t="s">
        <v>110</v>
      </c>
      <c r="E9" s="9" t="s">
        <v>111</v>
      </c>
      <c r="F9" s="9" t="s">
        <v>12</v>
      </c>
      <c r="G9" s="10" t="n">
        <v>2026</v>
      </c>
      <c r="H9" s="10" t="n">
        <v>10</v>
      </c>
      <c r="I9" s="19" t="n">
        <v>19800</v>
      </c>
      <c r="J9" s="19" t="n">
        <v>22000</v>
      </c>
      <c r="K9" s="10" t="n">
        <v>1100</v>
      </c>
      <c r="L9" s="10" t="n">
        <v>12564</v>
      </c>
      <c r="M9" s="10" t="n">
        <v>25</v>
      </c>
      <c r="N9" s="11" t="n">
        <v>9.5</v>
      </c>
      <c r="O9" s="18" t="s">
        <v>56</v>
      </c>
    </row>
    <row r="10" customFormat="false" ht="15" hidden="false" customHeight="false" outlineLevel="0" collapsed="false">
      <c r="A10" s="18" t="n">
        <v>187703288</v>
      </c>
      <c r="B10" s="10" t="n">
        <v>28</v>
      </c>
      <c r="C10" s="18" t="s">
        <v>43</v>
      </c>
      <c r="D10" s="9" t="s">
        <v>112</v>
      </c>
      <c r="E10" s="9" t="s">
        <v>113</v>
      </c>
      <c r="F10" s="9" t="s">
        <v>12</v>
      </c>
      <c r="G10" s="10" t="n">
        <v>2026</v>
      </c>
      <c r="H10" s="10" t="n">
        <v>10</v>
      </c>
      <c r="I10" s="19" t="n">
        <v>33300</v>
      </c>
      <c r="J10" s="19" t="n">
        <v>37000</v>
      </c>
      <c r="K10" s="10" t="n">
        <v>1850</v>
      </c>
      <c r="L10" s="10" t="n">
        <v>4989</v>
      </c>
      <c r="M10" s="10" t="n">
        <v>42</v>
      </c>
      <c r="N10" s="11" t="n">
        <v>10</v>
      </c>
      <c r="O10" s="18" t="s">
        <v>56</v>
      </c>
    </row>
    <row r="11" customFormat="false" ht="15" hidden="false" customHeight="false" outlineLevel="0" collapsed="false">
      <c r="A11" s="18" t="n">
        <v>109625396</v>
      </c>
      <c r="B11" s="10" t="n">
        <v>30</v>
      </c>
      <c r="C11" s="18" t="s">
        <v>43</v>
      </c>
      <c r="D11" s="9" t="s">
        <v>117</v>
      </c>
      <c r="E11" s="9" t="s">
        <v>118</v>
      </c>
      <c r="F11" s="9" t="s">
        <v>12</v>
      </c>
      <c r="G11" s="10" t="n">
        <v>2022</v>
      </c>
      <c r="H11" s="10" t="n">
        <v>10</v>
      </c>
      <c r="I11" s="19" t="n">
        <v>19800</v>
      </c>
      <c r="J11" s="19" t="n">
        <v>22000</v>
      </c>
      <c r="K11" s="10" t="n">
        <v>1100</v>
      </c>
      <c r="L11" s="10" t="n">
        <v>23343</v>
      </c>
      <c r="M11" s="10" t="n">
        <v>104</v>
      </c>
      <c r="N11" s="11" t="n">
        <v>9.4</v>
      </c>
      <c r="O11" s="18" t="s">
        <v>46</v>
      </c>
    </row>
    <row r="12" customFormat="false" ht="15" hidden="false" customHeight="false" outlineLevel="0" collapsed="false">
      <c r="A12" s="18" t="n">
        <v>174018513</v>
      </c>
      <c r="B12" s="10" t="n">
        <v>34</v>
      </c>
      <c r="C12" s="18" t="s">
        <v>43</v>
      </c>
      <c r="D12" s="15" t="s">
        <v>128</v>
      </c>
      <c r="E12" s="9" t="s">
        <v>129</v>
      </c>
      <c r="F12" s="9" t="s">
        <v>12</v>
      </c>
      <c r="G12" s="10" t="n">
        <v>2026</v>
      </c>
      <c r="H12" s="10" t="n">
        <v>10</v>
      </c>
      <c r="I12" s="19" t="n">
        <v>28800</v>
      </c>
      <c r="J12" s="19" t="n">
        <v>32000</v>
      </c>
      <c r="K12" s="10" t="n">
        <v>1600</v>
      </c>
      <c r="L12" s="10" t="n">
        <v>11946</v>
      </c>
      <c r="M12" s="10" t="n">
        <v>17</v>
      </c>
      <c r="N12" s="11" t="n">
        <v>9.5</v>
      </c>
      <c r="O12" s="18" t="s">
        <v>56</v>
      </c>
    </row>
    <row r="13" customFormat="false" ht="15" hidden="false" customHeight="false" outlineLevel="0" collapsed="false">
      <c r="A13" s="18" t="n">
        <v>189413191</v>
      </c>
      <c r="B13" s="10" t="n">
        <v>37</v>
      </c>
      <c r="C13" s="18" t="s">
        <v>43</v>
      </c>
      <c r="D13" s="9" t="s">
        <v>134</v>
      </c>
      <c r="E13" s="9" t="s">
        <v>135</v>
      </c>
      <c r="F13" s="9" t="s">
        <v>12</v>
      </c>
      <c r="G13" s="10" t="n">
        <v>2026</v>
      </c>
      <c r="H13" s="10" t="n">
        <v>10</v>
      </c>
      <c r="I13" s="19" t="n">
        <v>19800</v>
      </c>
      <c r="J13" s="19" t="n">
        <v>22000</v>
      </c>
      <c r="K13" s="10" t="n">
        <v>1100</v>
      </c>
      <c r="L13" s="10" t="n">
        <v>3558</v>
      </c>
      <c r="M13" s="10" t="n">
        <v>53</v>
      </c>
      <c r="N13" s="11" t="n">
        <v>10</v>
      </c>
      <c r="O13" s="18" t="s">
        <v>56</v>
      </c>
    </row>
    <row r="14" customFormat="false" ht="15" hidden="false" customHeight="false" outlineLevel="0" collapsed="false">
      <c r="A14" s="18" t="n">
        <v>183538633</v>
      </c>
      <c r="B14" s="10" t="n">
        <v>38</v>
      </c>
      <c r="C14" s="18" t="s">
        <v>43</v>
      </c>
      <c r="D14" s="9" t="s">
        <v>136</v>
      </c>
      <c r="E14" s="9" t="s">
        <v>137</v>
      </c>
      <c r="F14" s="9" t="s">
        <v>12</v>
      </c>
      <c r="G14" s="10" t="n">
        <v>2026</v>
      </c>
      <c r="H14" s="10" t="n">
        <v>10</v>
      </c>
      <c r="I14" s="19" t="n">
        <v>21600</v>
      </c>
      <c r="J14" s="19" t="n">
        <v>24000</v>
      </c>
      <c r="K14" s="10" t="n">
        <v>1200</v>
      </c>
      <c r="L14" s="10" t="n">
        <v>12321</v>
      </c>
      <c r="M14" s="10" t="n">
        <v>123</v>
      </c>
      <c r="N14" s="11" t="n">
        <v>9.9</v>
      </c>
      <c r="O14" s="18" t="s">
        <v>56</v>
      </c>
    </row>
    <row r="15" customFormat="false" ht="15" hidden="false" customHeight="false" outlineLevel="0" collapsed="false">
      <c r="A15" s="18" t="n">
        <v>145426898</v>
      </c>
      <c r="B15" s="10" t="n">
        <v>39</v>
      </c>
      <c r="C15" s="18" t="s">
        <v>43</v>
      </c>
      <c r="D15" s="9" t="s">
        <v>138</v>
      </c>
      <c r="E15" s="9" t="s">
        <v>139</v>
      </c>
      <c r="F15" s="9" t="s">
        <v>12</v>
      </c>
      <c r="G15" s="10" t="n">
        <v>2025</v>
      </c>
      <c r="H15" s="10" t="n">
        <v>10</v>
      </c>
      <c r="I15" s="19" t="n">
        <v>18000</v>
      </c>
      <c r="J15" s="19" t="n">
        <v>20000</v>
      </c>
      <c r="K15" s="10" t="n">
        <v>1000</v>
      </c>
      <c r="L15" s="10" t="n">
        <v>87480</v>
      </c>
      <c r="M15" s="10" t="n">
        <v>65</v>
      </c>
      <c r="N15" s="11" t="n">
        <v>9.8</v>
      </c>
      <c r="O15" s="18" t="s">
        <v>56</v>
      </c>
    </row>
    <row r="16" customFormat="false" ht="15" hidden="false" customHeight="false" outlineLevel="0" collapsed="false">
      <c r="A16" s="18" t="n">
        <v>187519430</v>
      </c>
      <c r="B16" s="10" t="n">
        <v>53</v>
      </c>
      <c r="C16" s="18" t="s">
        <v>43</v>
      </c>
      <c r="D16" s="9" t="s">
        <v>168</v>
      </c>
      <c r="E16" s="9" t="s">
        <v>169</v>
      </c>
      <c r="F16" s="9" t="s">
        <v>12</v>
      </c>
      <c r="G16" s="10" t="n">
        <v>2026</v>
      </c>
      <c r="H16" s="10" t="n">
        <v>10</v>
      </c>
      <c r="I16" s="19" t="n">
        <v>37800</v>
      </c>
      <c r="J16" s="19" t="n">
        <v>42000</v>
      </c>
      <c r="K16" s="10" t="n">
        <v>2100</v>
      </c>
      <c r="L16" s="10" t="n">
        <v>2631</v>
      </c>
      <c r="M16" s="10" t="n">
        <v>12</v>
      </c>
      <c r="N16" s="11" t="n">
        <v>9.7</v>
      </c>
      <c r="O16" s="18" t="s">
        <v>56</v>
      </c>
    </row>
    <row r="17" customFormat="false" ht="15" hidden="false" customHeight="false" outlineLevel="0" collapsed="false">
      <c r="A17" s="18" t="n">
        <v>188882750</v>
      </c>
      <c r="B17" s="10" t="n">
        <v>76</v>
      </c>
      <c r="C17" s="18" t="s">
        <v>43</v>
      </c>
      <c r="D17" s="9" t="s">
        <v>218</v>
      </c>
      <c r="E17" s="9" t="s">
        <v>219</v>
      </c>
      <c r="F17" s="9" t="s">
        <v>12</v>
      </c>
      <c r="G17" s="10" t="n">
        <v>2026</v>
      </c>
      <c r="H17" s="10" t="n">
        <v>10</v>
      </c>
      <c r="I17" s="19" t="n">
        <v>16200</v>
      </c>
      <c r="J17" s="19" t="n">
        <v>18000</v>
      </c>
      <c r="K17" s="10" t="n">
        <v>900</v>
      </c>
      <c r="L17" s="10" t="n">
        <v>1806</v>
      </c>
      <c r="M17" s="10" t="n">
        <v>9</v>
      </c>
      <c r="N17" s="11" t="n">
        <v>10</v>
      </c>
      <c r="O17" s="18" t="s">
        <v>56</v>
      </c>
    </row>
    <row r="18" customFormat="false" ht="15" hidden="false" customHeight="false" outlineLevel="0" collapsed="false">
      <c r="A18" s="18" t="n">
        <v>182256559</v>
      </c>
      <c r="B18" s="10" t="n">
        <v>78</v>
      </c>
      <c r="C18" s="18" t="s">
        <v>43</v>
      </c>
      <c r="D18" s="9" t="s">
        <v>222</v>
      </c>
      <c r="E18" s="9" t="s">
        <v>223</v>
      </c>
      <c r="F18" s="9" t="s">
        <v>12</v>
      </c>
      <c r="G18" s="10" t="n">
        <v>2026</v>
      </c>
      <c r="H18" s="10" t="n">
        <v>10</v>
      </c>
      <c r="I18" s="19" t="n">
        <v>17100</v>
      </c>
      <c r="J18" s="19" t="n">
        <v>19000</v>
      </c>
      <c r="K18" s="10" t="n">
        <v>950</v>
      </c>
      <c r="L18" s="10" t="n">
        <v>3306</v>
      </c>
      <c r="M18" s="10" t="n">
        <v>33</v>
      </c>
      <c r="N18" s="11" t="n">
        <v>9.3</v>
      </c>
      <c r="O18" s="18" t="s">
        <v>56</v>
      </c>
    </row>
    <row r="19" customFormat="false" ht="15" hidden="false" customHeight="false" outlineLevel="0" collapsed="false">
      <c r="A19" s="18" t="n">
        <v>151066074</v>
      </c>
      <c r="B19" s="10" t="n">
        <v>81</v>
      </c>
      <c r="C19" s="18" t="s">
        <v>43</v>
      </c>
      <c r="D19" s="9" t="s">
        <v>227</v>
      </c>
      <c r="E19" s="9" t="s">
        <v>228</v>
      </c>
      <c r="F19" s="9" t="s">
        <v>12</v>
      </c>
      <c r="G19" s="10" t="n">
        <v>2025</v>
      </c>
      <c r="H19" s="10" t="n">
        <v>10</v>
      </c>
      <c r="I19" s="19" t="n">
        <v>24300</v>
      </c>
      <c r="J19" s="19" t="n">
        <v>27000</v>
      </c>
      <c r="K19" s="10" t="n">
        <v>1350</v>
      </c>
      <c r="L19" s="10" t="n">
        <v>13251</v>
      </c>
      <c r="M19" s="10" t="n">
        <v>42</v>
      </c>
      <c r="N19" s="11" t="n">
        <v>9.6</v>
      </c>
      <c r="O19" s="18" t="s">
        <v>46</v>
      </c>
    </row>
    <row r="20" customFormat="false" ht="15" hidden="false" customHeight="false" outlineLevel="0" collapsed="false">
      <c r="A20" s="18" t="n">
        <v>187954810</v>
      </c>
      <c r="B20" s="10" t="n">
        <v>86</v>
      </c>
      <c r="C20" s="18" t="s">
        <v>43</v>
      </c>
      <c r="D20" s="9" t="s">
        <v>239</v>
      </c>
      <c r="E20" s="9" t="s">
        <v>240</v>
      </c>
      <c r="F20" s="9" t="s">
        <v>12</v>
      </c>
      <c r="G20" s="10" t="n">
        <v>2026</v>
      </c>
      <c r="H20" s="10" t="n">
        <v>10</v>
      </c>
      <c r="I20" s="19" t="n">
        <v>19800</v>
      </c>
      <c r="J20" s="19" t="n">
        <v>22000</v>
      </c>
      <c r="K20" s="10" t="n">
        <v>1100</v>
      </c>
      <c r="L20" s="10" t="n">
        <v>2883</v>
      </c>
      <c r="M20" s="10" t="n">
        <v>13</v>
      </c>
      <c r="N20" s="11" t="n">
        <v>10</v>
      </c>
      <c r="O20" s="18" t="s">
        <v>56</v>
      </c>
    </row>
    <row r="21" customFormat="false" ht="15" hidden="false" customHeight="false" outlineLevel="0" collapsed="false">
      <c r="A21" s="18" t="n">
        <v>187222189</v>
      </c>
      <c r="B21" s="10" t="n">
        <v>87</v>
      </c>
      <c r="C21" s="18" t="s">
        <v>43</v>
      </c>
      <c r="D21" s="9" t="s">
        <v>241</v>
      </c>
      <c r="E21" s="9" t="s">
        <v>242</v>
      </c>
      <c r="F21" s="9" t="s">
        <v>12</v>
      </c>
      <c r="G21" s="10" t="n">
        <v>2026</v>
      </c>
      <c r="H21" s="10" t="n">
        <v>10</v>
      </c>
      <c r="I21" s="19" t="n">
        <v>21600</v>
      </c>
      <c r="J21" s="19" t="n">
        <v>24000</v>
      </c>
      <c r="K21" s="10" t="n">
        <v>1200</v>
      </c>
      <c r="L21" s="10" t="n">
        <v>3927</v>
      </c>
      <c r="M21" s="10" t="n">
        <v>102</v>
      </c>
      <c r="N21" s="11" t="n">
        <v>10</v>
      </c>
      <c r="O21" s="18" t="s">
        <v>56</v>
      </c>
    </row>
    <row r="22" customFormat="false" ht="15" hidden="false" customHeight="false" outlineLevel="0" collapsed="false">
      <c r="A22" s="18" t="n">
        <v>179619230</v>
      </c>
      <c r="B22" s="10" t="n">
        <v>88</v>
      </c>
      <c r="C22" s="18" t="s">
        <v>43</v>
      </c>
      <c r="D22" s="9" t="s">
        <v>243</v>
      </c>
      <c r="E22" s="9" t="s">
        <v>244</v>
      </c>
      <c r="F22" s="9" t="s">
        <v>12</v>
      </c>
      <c r="G22" s="10" t="n">
        <v>2026</v>
      </c>
      <c r="H22" s="10" t="n">
        <v>10</v>
      </c>
      <c r="I22" s="19" t="n">
        <v>24300</v>
      </c>
      <c r="J22" s="19" t="n">
        <v>27000</v>
      </c>
      <c r="K22" s="10" t="n">
        <v>1350</v>
      </c>
      <c r="L22" s="10" t="n">
        <v>3204</v>
      </c>
      <c r="M22" s="10" t="n">
        <v>123</v>
      </c>
      <c r="N22" s="11" t="n">
        <v>9.9</v>
      </c>
      <c r="O22" s="18" t="s">
        <v>46</v>
      </c>
    </row>
    <row r="23" customFormat="false" ht="15" hidden="false" customHeight="false" outlineLevel="0" collapsed="false">
      <c r="A23" s="18" t="n">
        <v>172517063</v>
      </c>
      <c r="B23" s="10" t="n">
        <v>89</v>
      </c>
      <c r="C23" s="18" t="s">
        <v>43</v>
      </c>
      <c r="D23" s="9" t="s">
        <v>245</v>
      </c>
      <c r="E23" s="9" t="s">
        <v>246</v>
      </c>
      <c r="F23" s="9" t="s">
        <v>12</v>
      </c>
      <c r="G23" s="10" t="n">
        <v>2026</v>
      </c>
      <c r="H23" s="10" t="n">
        <v>10</v>
      </c>
      <c r="I23" s="19" t="n">
        <v>17100</v>
      </c>
      <c r="J23" s="19" t="n">
        <v>19000</v>
      </c>
      <c r="K23" s="10" t="n">
        <v>950</v>
      </c>
      <c r="L23" s="10" t="n">
        <v>13983</v>
      </c>
      <c r="M23" s="10" t="n">
        <v>43</v>
      </c>
      <c r="N23" s="11" t="n">
        <v>9.5</v>
      </c>
      <c r="O23" s="18" t="s">
        <v>46</v>
      </c>
    </row>
    <row r="24" customFormat="false" ht="15" hidden="false" customHeight="false" outlineLevel="0" collapsed="false">
      <c r="A24" s="18" t="n">
        <v>189759363</v>
      </c>
      <c r="B24" s="10" t="n">
        <v>96</v>
      </c>
      <c r="C24" s="18" t="s">
        <v>43</v>
      </c>
      <c r="D24" s="9" t="s">
        <v>262</v>
      </c>
      <c r="E24" s="9" t="s">
        <v>263</v>
      </c>
      <c r="F24" s="9" t="s">
        <v>12</v>
      </c>
      <c r="G24" s="10" t="n">
        <v>2026</v>
      </c>
      <c r="H24" s="10" t="n">
        <v>10</v>
      </c>
      <c r="I24" s="19" t="n">
        <v>35100</v>
      </c>
      <c r="J24" s="19" t="n">
        <v>39000</v>
      </c>
      <c r="K24" s="10" t="n">
        <v>1950</v>
      </c>
      <c r="L24" s="10" t="n">
        <v>678</v>
      </c>
      <c r="M24" s="10" t="n">
        <v>0</v>
      </c>
      <c r="N24" s="11" t="n">
        <v>0</v>
      </c>
      <c r="O24" s="18" t="s">
        <v>46</v>
      </c>
    </row>
    <row r="25" customFormat="false" ht="15" hidden="false" customHeight="false" outlineLevel="0" collapsed="false">
      <c r="A25" s="18" t="n">
        <v>185269651</v>
      </c>
      <c r="B25" s="10" t="n">
        <v>98</v>
      </c>
      <c r="C25" s="18" t="s">
        <v>43</v>
      </c>
      <c r="D25" s="15" t="s">
        <v>266</v>
      </c>
      <c r="E25" s="9" t="s">
        <v>267</v>
      </c>
      <c r="F25" s="9" t="s">
        <v>12</v>
      </c>
      <c r="G25" s="10" t="n">
        <v>2026</v>
      </c>
      <c r="H25" s="10" t="n">
        <v>10</v>
      </c>
      <c r="I25" s="19" t="n">
        <v>25200</v>
      </c>
      <c r="J25" s="19" t="n">
        <v>28000</v>
      </c>
      <c r="K25" s="10" t="n">
        <v>1400</v>
      </c>
      <c r="L25" s="10" t="n">
        <v>2841</v>
      </c>
      <c r="M25" s="10" t="n">
        <v>113</v>
      </c>
      <c r="N25" s="11" t="n">
        <v>9.9</v>
      </c>
      <c r="O25" s="18" t="s">
        <v>56</v>
      </c>
    </row>
    <row r="26" customFormat="false" ht="15" hidden="false" customHeight="false" outlineLevel="0" collapsed="false">
      <c r="A26" s="18" t="n">
        <v>147735087</v>
      </c>
      <c r="B26" s="10" t="n">
        <v>104</v>
      </c>
      <c r="C26" s="18" t="s">
        <v>43</v>
      </c>
      <c r="D26" s="9" t="s">
        <v>280</v>
      </c>
      <c r="E26" s="9" t="s">
        <v>281</v>
      </c>
      <c r="F26" s="9" t="s">
        <v>12</v>
      </c>
      <c r="G26" s="10" t="n">
        <v>2025</v>
      </c>
      <c r="H26" s="10" t="n">
        <v>10</v>
      </c>
      <c r="I26" s="19" t="n">
        <v>34200</v>
      </c>
      <c r="J26" s="19" t="n">
        <v>38000</v>
      </c>
      <c r="K26" s="10" t="n">
        <v>1900</v>
      </c>
      <c r="L26" s="10" t="n">
        <v>5934</v>
      </c>
      <c r="M26" s="10" t="n">
        <v>9</v>
      </c>
      <c r="N26" s="11" t="n">
        <v>10</v>
      </c>
      <c r="O26" s="18" t="s">
        <v>56</v>
      </c>
    </row>
    <row r="27" customFormat="false" ht="15" hidden="false" customHeight="false" outlineLevel="0" collapsed="false">
      <c r="A27" s="18" t="n">
        <v>143912145</v>
      </c>
      <c r="B27" s="10" t="n">
        <v>105</v>
      </c>
      <c r="C27" s="18" t="s">
        <v>43</v>
      </c>
      <c r="D27" s="9" t="s">
        <v>282</v>
      </c>
      <c r="E27" s="9" t="s">
        <v>283</v>
      </c>
      <c r="F27" s="9" t="s">
        <v>12</v>
      </c>
      <c r="G27" s="10" t="n">
        <v>2025</v>
      </c>
      <c r="H27" s="10" t="n">
        <v>10</v>
      </c>
      <c r="I27" s="19" t="n">
        <v>28800</v>
      </c>
      <c r="J27" s="19" t="n">
        <v>32000</v>
      </c>
      <c r="K27" s="10" t="n">
        <v>1600</v>
      </c>
      <c r="L27" s="10" t="n">
        <v>17148</v>
      </c>
      <c r="M27" s="10" t="n">
        <v>147</v>
      </c>
      <c r="N27" s="11" t="n">
        <v>9.7</v>
      </c>
      <c r="O27" s="18" t="s">
        <v>46</v>
      </c>
    </row>
    <row r="28" customFormat="false" ht="15" hidden="false" customHeight="false" outlineLevel="0" collapsed="false">
      <c r="A28" s="18" t="n">
        <v>141787639</v>
      </c>
      <c r="B28" s="10" t="n">
        <v>106</v>
      </c>
      <c r="C28" s="18" t="s">
        <v>43</v>
      </c>
      <c r="D28" s="9" t="s">
        <v>284</v>
      </c>
      <c r="E28" s="9" t="s">
        <v>285</v>
      </c>
      <c r="F28" s="9" t="s">
        <v>12</v>
      </c>
      <c r="G28" s="10" t="n">
        <v>2025</v>
      </c>
      <c r="H28" s="10" t="n">
        <v>10</v>
      </c>
      <c r="I28" s="19" t="n">
        <v>23400</v>
      </c>
      <c r="J28" s="19" t="n">
        <v>26000</v>
      </c>
      <c r="K28" s="10" t="n">
        <v>1300</v>
      </c>
      <c r="L28" s="10" t="n">
        <v>9309</v>
      </c>
      <c r="M28" s="10" t="n">
        <v>138</v>
      </c>
      <c r="N28" s="11" t="n">
        <v>9.3</v>
      </c>
      <c r="O28" s="18" t="s">
        <v>56</v>
      </c>
    </row>
    <row r="29" customFormat="false" ht="15" hidden="false" customHeight="false" outlineLevel="0" collapsed="false">
      <c r="A29" s="18" t="n">
        <v>189753516</v>
      </c>
      <c r="B29" s="10" t="n">
        <v>110</v>
      </c>
      <c r="C29" s="18" t="s">
        <v>43</v>
      </c>
      <c r="D29" s="15" t="s">
        <v>291</v>
      </c>
      <c r="E29" s="9" t="s">
        <v>292</v>
      </c>
      <c r="F29" s="9" t="s">
        <v>12</v>
      </c>
      <c r="G29" s="10" t="n">
        <v>2026</v>
      </c>
      <c r="H29" s="10" t="n">
        <v>10</v>
      </c>
      <c r="I29" s="19" t="n">
        <v>28800</v>
      </c>
      <c r="J29" s="19" t="n">
        <v>32000</v>
      </c>
      <c r="K29" s="10" t="n">
        <v>1600</v>
      </c>
      <c r="L29" s="10" t="n">
        <v>672</v>
      </c>
      <c r="M29" s="10" t="n">
        <v>1</v>
      </c>
      <c r="N29" s="11" t="n">
        <v>10</v>
      </c>
      <c r="O29" s="18" t="s">
        <v>56</v>
      </c>
    </row>
    <row r="30" customFormat="false" ht="15" hidden="false" customHeight="false" outlineLevel="0" collapsed="false">
      <c r="A30" s="18" t="n">
        <v>188108093</v>
      </c>
      <c r="B30" s="10" t="n">
        <v>111</v>
      </c>
      <c r="C30" s="18" t="s">
        <v>43</v>
      </c>
      <c r="D30" s="9" t="s">
        <v>293</v>
      </c>
      <c r="E30" s="9" t="s">
        <v>294</v>
      </c>
      <c r="F30" s="9" t="s">
        <v>12</v>
      </c>
      <c r="G30" s="10" t="n">
        <v>2026</v>
      </c>
      <c r="H30" s="10" t="n">
        <v>10</v>
      </c>
      <c r="I30" s="19" t="n">
        <v>23400</v>
      </c>
      <c r="J30" s="19" t="n">
        <v>26000</v>
      </c>
      <c r="K30" s="10" t="n">
        <v>1300</v>
      </c>
      <c r="L30" s="10" t="n">
        <v>1275</v>
      </c>
      <c r="M30" s="10" t="n">
        <v>40</v>
      </c>
      <c r="N30" s="11" t="n">
        <v>9.9</v>
      </c>
      <c r="O30" s="18" t="s">
        <v>56</v>
      </c>
    </row>
    <row r="31" customFormat="false" ht="15" hidden="false" customHeight="false" outlineLevel="0" collapsed="false">
      <c r="A31" s="18" t="n">
        <v>159167901</v>
      </c>
      <c r="B31" s="10" t="n">
        <v>115</v>
      </c>
      <c r="C31" s="18" t="s">
        <v>43</v>
      </c>
      <c r="D31" s="15" t="s">
        <v>300</v>
      </c>
      <c r="E31" s="9" t="s">
        <v>301</v>
      </c>
      <c r="F31" s="9" t="s">
        <v>12</v>
      </c>
      <c r="G31" s="10" t="n">
        <v>2025</v>
      </c>
      <c r="H31" s="10" t="n">
        <v>10</v>
      </c>
      <c r="I31" s="19" t="n">
        <v>18000</v>
      </c>
      <c r="J31" s="19" t="n">
        <v>20000</v>
      </c>
      <c r="K31" s="10" t="n">
        <v>1000</v>
      </c>
      <c r="L31" s="10" t="n">
        <v>10272</v>
      </c>
      <c r="M31" s="10" t="n">
        <v>37</v>
      </c>
      <c r="N31" s="11" t="n">
        <v>9.6</v>
      </c>
      <c r="O31" s="18" t="s">
        <v>56</v>
      </c>
    </row>
    <row r="32" customFormat="false" ht="15" hidden="false" customHeight="false" outlineLevel="0" collapsed="false">
      <c r="A32" s="18" t="n">
        <v>154925812</v>
      </c>
      <c r="B32" s="10" t="n">
        <v>116</v>
      </c>
      <c r="C32" s="18" t="s">
        <v>43</v>
      </c>
      <c r="D32" s="15" t="s">
        <v>302</v>
      </c>
      <c r="E32" s="9" t="s">
        <v>303</v>
      </c>
      <c r="F32" s="9" t="s">
        <v>12</v>
      </c>
      <c r="G32" s="10" t="n">
        <v>2025</v>
      </c>
      <c r="H32" s="10" t="n">
        <v>10</v>
      </c>
      <c r="I32" s="19" t="n">
        <v>36000</v>
      </c>
      <c r="J32" s="19" t="n">
        <v>40000</v>
      </c>
      <c r="K32" s="10" t="n">
        <v>2000</v>
      </c>
      <c r="L32" s="10" t="n">
        <v>14463</v>
      </c>
      <c r="M32" s="10" t="n">
        <v>17</v>
      </c>
      <c r="N32" s="11" t="n">
        <v>9.9</v>
      </c>
      <c r="O32" s="18" t="s">
        <v>46</v>
      </c>
    </row>
    <row r="33" customFormat="false" ht="15" hidden="false" customHeight="false" outlineLevel="0" collapsed="false">
      <c r="A33" s="18" t="n">
        <v>11523815</v>
      </c>
      <c r="B33" s="10" t="n">
        <v>120</v>
      </c>
      <c r="C33" s="18" t="s">
        <v>43</v>
      </c>
      <c r="D33" s="9" t="s">
        <v>312</v>
      </c>
      <c r="E33" s="9" t="s">
        <v>313</v>
      </c>
      <c r="F33" s="9" t="s">
        <v>12</v>
      </c>
      <c r="G33" s="10" t="n">
        <v>2013</v>
      </c>
      <c r="H33" s="10" t="n">
        <v>10</v>
      </c>
      <c r="I33" s="19" t="n">
        <v>17100</v>
      </c>
      <c r="J33" s="19" t="n">
        <v>19000</v>
      </c>
      <c r="K33" s="10" t="n">
        <v>950</v>
      </c>
      <c r="L33" s="10" t="n">
        <v>5244</v>
      </c>
      <c r="M33" s="10" t="n">
        <v>64</v>
      </c>
      <c r="N33" s="11" t="n">
        <v>9.5</v>
      </c>
      <c r="O33" s="18" t="s">
        <v>56</v>
      </c>
    </row>
    <row r="34" customFormat="false" ht="15" hidden="false" customHeight="false" outlineLevel="0" collapsed="false">
      <c r="A34" s="18" t="n">
        <v>182750165</v>
      </c>
      <c r="B34" s="10" t="n">
        <v>129</v>
      </c>
      <c r="C34" s="18" t="s">
        <v>43</v>
      </c>
      <c r="D34" s="9" t="s">
        <v>332</v>
      </c>
      <c r="E34" s="9" t="s">
        <v>333</v>
      </c>
      <c r="F34" s="9" t="s">
        <v>12</v>
      </c>
      <c r="G34" s="10" t="n">
        <v>2026</v>
      </c>
      <c r="H34" s="10" t="n">
        <v>10</v>
      </c>
      <c r="I34" s="19" t="n">
        <v>36000</v>
      </c>
      <c r="J34" s="19" t="n">
        <v>40000</v>
      </c>
      <c r="K34" s="10" t="n">
        <v>2000</v>
      </c>
      <c r="L34" s="10" t="n">
        <v>1044</v>
      </c>
      <c r="M34" s="10" t="n">
        <v>12</v>
      </c>
      <c r="N34" s="11" t="n">
        <v>9.8</v>
      </c>
      <c r="O34" s="18" t="s">
        <v>56</v>
      </c>
    </row>
    <row r="35" customFormat="false" ht="15" hidden="false" customHeight="false" outlineLevel="0" collapsed="false">
      <c r="A35" s="18" t="n">
        <v>177894447</v>
      </c>
      <c r="B35" s="10" t="n">
        <v>131</v>
      </c>
      <c r="C35" s="18" t="s">
        <v>43</v>
      </c>
      <c r="D35" s="9" t="s">
        <v>337</v>
      </c>
      <c r="E35" s="9" t="s">
        <v>246</v>
      </c>
      <c r="F35" s="9" t="s">
        <v>12</v>
      </c>
      <c r="G35" s="10" t="n">
        <v>2026</v>
      </c>
      <c r="H35" s="10" t="n">
        <v>10</v>
      </c>
      <c r="I35" s="19" t="n">
        <v>17100</v>
      </c>
      <c r="J35" s="19" t="n">
        <v>19000</v>
      </c>
      <c r="K35" s="10" t="n">
        <v>950</v>
      </c>
      <c r="L35" s="10" t="n">
        <v>4236</v>
      </c>
      <c r="M35" s="10" t="n">
        <v>33</v>
      </c>
      <c r="N35" s="11" t="n">
        <v>9.6</v>
      </c>
      <c r="O35" s="18" t="s">
        <v>46</v>
      </c>
    </row>
    <row r="36" customFormat="false" ht="15" hidden="false" customHeight="false" outlineLevel="0" collapsed="false">
      <c r="A36" s="18" t="n">
        <v>151350143</v>
      </c>
      <c r="B36" s="10" t="n">
        <v>137</v>
      </c>
      <c r="C36" s="18" t="s">
        <v>43</v>
      </c>
      <c r="D36" s="9" t="s">
        <v>346</v>
      </c>
      <c r="E36" s="9" t="s">
        <v>347</v>
      </c>
      <c r="F36" s="9" t="s">
        <v>12</v>
      </c>
      <c r="G36" s="10" t="n">
        <v>2025</v>
      </c>
      <c r="H36" s="10" t="n">
        <v>10</v>
      </c>
      <c r="I36" s="19" t="n">
        <v>19800</v>
      </c>
      <c r="J36" s="19" t="n">
        <v>22000</v>
      </c>
      <c r="K36" s="10" t="n">
        <v>1100</v>
      </c>
      <c r="L36" s="10" t="n">
        <v>10167</v>
      </c>
      <c r="M36" s="10" t="n">
        <v>34</v>
      </c>
      <c r="N36" s="11" t="n">
        <v>9.8</v>
      </c>
      <c r="O36" s="18" t="s">
        <v>56</v>
      </c>
    </row>
    <row r="37" customFormat="false" ht="15" hidden="false" customHeight="false" outlineLevel="0" collapsed="false">
      <c r="A37" s="18" t="n">
        <v>125830483</v>
      </c>
      <c r="B37" s="10" t="n">
        <v>143</v>
      </c>
      <c r="C37" s="18" t="s">
        <v>43</v>
      </c>
      <c r="D37" s="9" t="s">
        <v>356</v>
      </c>
      <c r="E37" s="9" t="s">
        <v>357</v>
      </c>
      <c r="F37" s="9" t="s">
        <v>12</v>
      </c>
      <c r="G37" s="10" t="n">
        <v>2024</v>
      </c>
      <c r="H37" s="10" t="n">
        <v>10</v>
      </c>
      <c r="I37" s="19" t="n">
        <v>25200</v>
      </c>
      <c r="J37" s="19" t="n">
        <v>28000</v>
      </c>
      <c r="K37" s="10" t="n">
        <v>1400</v>
      </c>
      <c r="L37" s="10" t="n">
        <v>8964</v>
      </c>
      <c r="M37" s="10" t="n">
        <v>49</v>
      </c>
      <c r="N37" s="11" t="n">
        <v>9.8</v>
      </c>
      <c r="O37" s="18" t="s">
        <v>46</v>
      </c>
    </row>
    <row r="38" customFormat="false" ht="15" hidden="false" customHeight="false" outlineLevel="0" collapsed="false">
      <c r="A38" s="18" t="n">
        <v>186663875</v>
      </c>
      <c r="B38" s="10" t="n">
        <v>145</v>
      </c>
      <c r="C38" s="18" t="s">
        <v>43</v>
      </c>
      <c r="D38" s="9" t="s">
        <v>361</v>
      </c>
      <c r="E38" s="9" t="s">
        <v>362</v>
      </c>
      <c r="F38" s="9" t="s">
        <v>12</v>
      </c>
      <c r="G38" s="10" t="n">
        <v>2026</v>
      </c>
      <c r="H38" s="10" t="n">
        <v>10</v>
      </c>
      <c r="I38" s="19" t="n">
        <v>29700</v>
      </c>
      <c r="J38" s="19" t="n">
        <v>33000</v>
      </c>
      <c r="K38" s="10" t="n">
        <v>1650</v>
      </c>
      <c r="L38" s="10" t="n">
        <v>1575</v>
      </c>
      <c r="M38" s="10" t="n">
        <v>9</v>
      </c>
      <c r="N38" s="11" t="n">
        <v>9.6</v>
      </c>
      <c r="O38" s="18" t="s">
        <v>56</v>
      </c>
    </row>
    <row r="39" customFormat="false" ht="15" hidden="false" customHeight="false" outlineLevel="0" collapsed="false">
      <c r="A39" s="18" t="n">
        <v>188859248</v>
      </c>
      <c r="B39" s="10" t="n">
        <v>148</v>
      </c>
      <c r="C39" s="18" t="s">
        <v>43</v>
      </c>
      <c r="D39" s="9" t="s">
        <v>368</v>
      </c>
      <c r="E39" s="9" t="s">
        <v>369</v>
      </c>
      <c r="F39" s="9" t="s">
        <v>12</v>
      </c>
      <c r="G39" s="10" t="n">
        <v>2026</v>
      </c>
      <c r="H39" s="10" t="n">
        <v>10</v>
      </c>
      <c r="I39" s="19" t="n">
        <v>20700</v>
      </c>
      <c r="J39" s="19" t="n">
        <v>23000</v>
      </c>
      <c r="K39" s="10" t="n">
        <v>1150</v>
      </c>
      <c r="L39" s="10" t="n">
        <v>1044</v>
      </c>
      <c r="M39" s="10" t="n">
        <v>5</v>
      </c>
      <c r="N39" s="11" t="n">
        <v>10</v>
      </c>
      <c r="O39" s="18" t="s">
        <v>56</v>
      </c>
    </row>
    <row r="40" customFormat="false" ht="15" hidden="false" customHeight="false" outlineLevel="0" collapsed="false">
      <c r="A40" s="18" t="n">
        <v>177187498</v>
      </c>
      <c r="B40" s="10" t="n">
        <v>156</v>
      </c>
      <c r="C40" s="18" t="s">
        <v>43</v>
      </c>
      <c r="D40" s="15" t="s">
        <v>384</v>
      </c>
      <c r="E40" s="9" t="s">
        <v>385</v>
      </c>
      <c r="F40" s="9" t="s">
        <v>12</v>
      </c>
      <c r="G40" s="10" t="n">
        <v>2026</v>
      </c>
      <c r="H40" s="10" t="n">
        <v>10</v>
      </c>
      <c r="I40" s="19" t="n">
        <v>28800</v>
      </c>
      <c r="J40" s="19" t="n">
        <v>32000</v>
      </c>
      <c r="K40" s="10" t="n">
        <v>1600</v>
      </c>
      <c r="L40" s="10" t="n">
        <v>2682</v>
      </c>
      <c r="M40" s="10" t="n">
        <v>25</v>
      </c>
      <c r="N40" s="11" t="n">
        <v>9.4</v>
      </c>
      <c r="O40" s="18" t="s">
        <v>56</v>
      </c>
    </row>
    <row r="41" customFormat="false" ht="15" hidden="false" customHeight="false" outlineLevel="0" collapsed="false">
      <c r="A41" s="18" t="n">
        <v>176410996</v>
      </c>
      <c r="B41" s="10" t="n">
        <v>157</v>
      </c>
      <c r="C41" s="18" t="s">
        <v>43</v>
      </c>
      <c r="D41" s="9" t="s">
        <v>386</v>
      </c>
      <c r="E41" s="9" t="s">
        <v>387</v>
      </c>
      <c r="F41" s="9" t="s">
        <v>12</v>
      </c>
      <c r="G41" s="10" t="n">
        <v>2026</v>
      </c>
      <c r="H41" s="10" t="n">
        <v>10</v>
      </c>
      <c r="I41" s="19" t="n">
        <v>23400</v>
      </c>
      <c r="J41" s="19" t="n">
        <v>26000</v>
      </c>
      <c r="K41" s="10" t="n">
        <v>1300</v>
      </c>
      <c r="L41" s="10" t="n">
        <v>4920</v>
      </c>
      <c r="M41" s="10" t="n">
        <v>139</v>
      </c>
      <c r="N41" s="11" t="n">
        <v>10</v>
      </c>
      <c r="O41" s="18" t="s">
        <v>46</v>
      </c>
    </row>
    <row r="42" customFormat="false" ht="15" hidden="false" customHeight="false" outlineLevel="0" collapsed="false">
      <c r="A42" s="18" t="n">
        <v>146828240</v>
      </c>
      <c r="B42" s="10" t="n">
        <v>162</v>
      </c>
      <c r="C42" s="18" t="s">
        <v>43</v>
      </c>
      <c r="D42" s="9" t="s">
        <v>396</v>
      </c>
      <c r="E42" s="9" t="s">
        <v>397</v>
      </c>
      <c r="F42" s="9" t="s">
        <v>12</v>
      </c>
      <c r="G42" s="10" t="n">
        <v>2025</v>
      </c>
      <c r="H42" s="10" t="n">
        <v>10</v>
      </c>
      <c r="I42" s="19" t="n">
        <v>34200</v>
      </c>
      <c r="J42" s="19" t="n">
        <v>38000</v>
      </c>
      <c r="K42" s="10" t="n">
        <v>1900</v>
      </c>
      <c r="L42" s="10" t="n">
        <v>6828</v>
      </c>
      <c r="M42" s="10" t="n">
        <v>24</v>
      </c>
      <c r="N42" s="11" t="n">
        <v>9.8</v>
      </c>
      <c r="O42" s="18" t="s">
        <v>56</v>
      </c>
    </row>
    <row r="43" customFormat="false" ht="15" hidden="false" customHeight="false" outlineLevel="0" collapsed="false">
      <c r="A43" s="18" t="n">
        <v>118982111</v>
      </c>
      <c r="B43" s="10" t="n">
        <v>170</v>
      </c>
      <c r="C43" s="18" t="s">
        <v>43</v>
      </c>
      <c r="D43" s="9" t="s">
        <v>414</v>
      </c>
      <c r="E43" s="9" t="s">
        <v>415</v>
      </c>
      <c r="F43" s="9" t="s">
        <v>12</v>
      </c>
      <c r="G43" s="10" t="n">
        <v>2023</v>
      </c>
      <c r="H43" s="10" t="n">
        <v>10</v>
      </c>
      <c r="I43" s="19" t="n">
        <v>23400</v>
      </c>
      <c r="J43" s="19" t="n">
        <v>26000</v>
      </c>
      <c r="K43" s="10" t="n">
        <v>1300</v>
      </c>
      <c r="L43" s="10" t="n">
        <v>11424</v>
      </c>
      <c r="M43" s="10" t="n">
        <v>54</v>
      </c>
      <c r="N43" s="11" t="n">
        <v>9.6</v>
      </c>
      <c r="O43" s="18" t="s">
        <v>46</v>
      </c>
    </row>
    <row r="44" customFormat="false" ht="15" hidden="false" customHeight="false" outlineLevel="0" collapsed="false">
      <c r="A44" s="18" t="n">
        <v>111378840</v>
      </c>
      <c r="B44" s="10" t="n">
        <v>172</v>
      </c>
      <c r="C44" s="18" t="s">
        <v>43</v>
      </c>
      <c r="D44" s="9" t="s">
        <v>419</v>
      </c>
      <c r="E44" s="9" t="s">
        <v>357</v>
      </c>
      <c r="F44" s="9" t="s">
        <v>12</v>
      </c>
      <c r="G44" s="10" t="n">
        <v>2022</v>
      </c>
      <c r="H44" s="10" t="n">
        <v>10</v>
      </c>
      <c r="I44" s="19" t="n">
        <v>25200</v>
      </c>
      <c r="J44" s="19" t="n">
        <v>28000</v>
      </c>
      <c r="K44" s="10" t="n">
        <v>1400</v>
      </c>
      <c r="L44" s="10" t="n">
        <v>13212</v>
      </c>
      <c r="M44" s="10" t="n">
        <v>119</v>
      </c>
      <c r="N44" s="11" t="n">
        <v>9.8</v>
      </c>
      <c r="O44" s="18" t="s">
        <v>46</v>
      </c>
    </row>
    <row r="45" customFormat="false" ht="15" hidden="false" customHeight="false" outlineLevel="0" collapsed="false">
      <c r="A45" s="18" t="n">
        <v>190213684</v>
      </c>
      <c r="B45" s="10" t="n">
        <v>175</v>
      </c>
      <c r="C45" s="18" t="s">
        <v>43</v>
      </c>
      <c r="D45" s="9" t="s">
        <v>425</v>
      </c>
      <c r="E45" s="9" t="s">
        <v>426</v>
      </c>
      <c r="F45" s="9" t="s">
        <v>12</v>
      </c>
      <c r="G45" s="10" t="n">
        <v>2026</v>
      </c>
      <c r="H45" s="10" t="n">
        <v>10</v>
      </c>
      <c r="I45" s="19" t="n">
        <v>31500</v>
      </c>
      <c r="J45" s="19" t="n">
        <v>35000</v>
      </c>
      <c r="K45" s="10" t="n">
        <v>1750</v>
      </c>
      <c r="L45" s="10" t="n">
        <v>360</v>
      </c>
      <c r="M45" s="10" t="n">
        <v>0</v>
      </c>
      <c r="N45" s="11" t="n">
        <v>0</v>
      </c>
      <c r="O45" s="18" t="s">
        <v>56</v>
      </c>
    </row>
    <row r="46" customFormat="false" ht="15" hidden="false" customHeight="false" outlineLevel="0" collapsed="false">
      <c r="A46" s="18" t="n">
        <v>179694520</v>
      </c>
      <c r="B46" s="10" t="n">
        <v>187</v>
      </c>
      <c r="C46" s="18" t="s">
        <v>43</v>
      </c>
      <c r="D46" s="9" t="s">
        <v>451</v>
      </c>
      <c r="E46" s="9" t="s">
        <v>452</v>
      </c>
      <c r="F46" s="9" t="s">
        <v>12</v>
      </c>
      <c r="G46" s="10" t="n">
        <v>2026</v>
      </c>
      <c r="H46" s="10" t="n">
        <v>10</v>
      </c>
      <c r="I46" s="19" t="n">
        <v>25200</v>
      </c>
      <c r="J46" s="19" t="n">
        <v>28000</v>
      </c>
      <c r="K46" s="10" t="n">
        <v>1400</v>
      </c>
      <c r="L46" s="10" t="n">
        <v>1788</v>
      </c>
      <c r="M46" s="10" t="n">
        <v>124</v>
      </c>
      <c r="N46" s="11" t="n">
        <v>9.9</v>
      </c>
      <c r="O46" s="18" t="s">
        <v>56</v>
      </c>
    </row>
    <row r="47" customFormat="false" ht="15" hidden="false" customHeight="false" outlineLevel="0" collapsed="false">
      <c r="A47" s="18" t="n">
        <v>171377541</v>
      </c>
      <c r="B47" s="10" t="n">
        <v>191</v>
      </c>
      <c r="C47" s="18" t="s">
        <v>43</v>
      </c>
      <c r="D47" s="9" t="s">
        <v>460</v>
      </c>
      <c r="E47" s="9" t="s">
        <v>385</v>
      </c>
      <c r="F47" s="9" t="s">
        <v>12</v>
      </c>
      <c r="G47" s="10" t="n">
        <v>2026</v>
      </c>
      <c r="H47" s="10" t="n">
        <v>10</v>
      </c>
      <c r="I47" s="19" t="n">
        <v>22500</v>
      </c>
      <c r="J47" s="19" t="n">
        <v>25000</v>
      </c>
      <c r="K47" s="10" t="n">
        <v>1250</v>
      </c>
      <c r="L47" s="10" t="n">
        <v>2268</v>
      </c>
      <c r="M47" s="10" t="n">
        <v>10</v>
      </c>
      <c r="N47" s="11" t="n">
        <v>9.8</v>
      </c>
      <c r="O47" s="18" t="s">
        <v>56</v>
      </c>
    </row>
    <row r="48" customFormat="false" ht="15" hidden="false" customHeight="false" outlineLevel="0" collapsed="false">
      <c r="A48" s="18" t="n">
        <v>167452561</v>
      </c>
      <c r="B48" s="10" t="n">
        <v>193</v>
      </c>
      <c r="C48" s="18" t="s">
        <v>43</v>
      </c>
      <c r="D48" s="15" t="s">
        <v>463</v>
      </c>
      <c r="E48" s="9" t="s">
        <v>464</v>
      </c>
      <c r="F48" s="9" t="s">
        <v>12</v>
      </c>
      <c r="G48" s="10" t="n">
        <v>2025</v>
      </c>
      <c r="H48" s="10" t="n">
        <v>10</v>
      </c>
      <c r="I48" s="19" t="n">
        <v>20700</v>
      </c>
      <c r="J48" s="19" t="n">
        <v>23000</v>
      </c>
      <c r="K48" s="10" t="n">
        <v>1150</v>
      </c>
      <c r="L48" s="10" t="n">
        <v>5928</v>
      </c>
      <c r="M48" s="10" t="n">
        <v>134</v>
      </c>
      <c r="N48" s="11" t="n">
        <v>9.9</v>
      </c>
      <c r="O48" s="18" t="s">
        <v>56</v>
      </c>
    </row>
    <row r="49" customFormat="false" ht="15" hidden="false" customHeight="false" outlineLevel="0" collapsed="false">
      <c r="A49" s="18" t="n">
        <v>142763143</v>
      </c>
      <c r="B49" s="10" t="n">
        <v>204</v>
      </c>
      <c r="C49" s="18" t="s">
        <v>43</v>
      </c>
      <c r="D49" s="9" t="s">
        <v>486</v>
      </c>
      <c r="E49" s="9" t="s">
        <v>487</v>
      </c>
      <c r="F49" s="9" t="s">
        <v>12</v>
      </c>
      <c r="G49" s="10" t="n">
        <v>2025</v>
      </c>
      <c r="H49" s="10" t="n">
        <v>10</v>
      </c>
      <c r="I49" s="19" t="n">
        <v>59400</v>
      </c>
      <c r="J49" s="19" t="n">
        <v>66000</v>
      </c>
      <c r="K49" s="10" t="n">
        <v>3300</v>
      </c>
      <c r="L49" s="10" t="n">
        <v>4218</v>
      </c>
      <c r="M49" s="10" t="n">
        <v>73</v>
      </c>
      <c r="N49" s="11" t="n">
        <v>9.7</v>
      </c>
      <c r="O49" s="18" t="s">
        <v>46</v>
      </c>
    </row>
    <row r="50" customFormat="false" ht="15" hidden="false" customHeight="false" outlineLevel="0" collapsed="false">
      <c r="A50" s="18" t="n">
        <v>124821050</v>
      </c>
      <c r="B50" s="10" t="n">
        <v>208</v>
      </c>
      <c r="C50" s="18" t="s">
        <v>43</v>
      </c>
      <c r="D50" s="9" t="s">
        <v>494</v>
      </c>
      <c r="E50" s="9" t="s">
        <v>495</v>
      </c>
      <c r="F50" s="9" t="s">
        <v>12</v>
      </c>
      <c r="G50" s="10" t="n">
        <v>2024</v>
      </c>
      <c r="H50" s="10" t="n">
        <v>10</v>
      </c>
      <c r="I50" s="19" t="n">
        <v>25200</v>
      </c>
      <c r="J50" s="19" t="n">
        <v>28000</v>
      </c>
      <c r="K50" s="10" t="n">
        <v>1400</v>
      </c>
      <c r="L50" s="10" t="n">
        <v>3366</v>
      </c>
      <c r="M50" s="10" t="n">
        <v>91</v>
      </c>
      <c r="N50" s="11" t="n">
        <v>9.8</v>
      </c>
      <c r="O50" s="18" t="s">
        <v>46</v>
      </c>
    </row>
    <row r="51" customFormat="false" ht="15" hidden="false" customHeight="false" outlineLevel="0" collapsed="false">
      <c r="A51" s="18" t="n">
        <v>122338517</v>
      </c>
      <c r="B51" s="10" t="n">
        <v>212</v>
      </c>
      <c r="C51" s="18" t="s">
        <v>43</v>
      </c>
      <c r="D51" s="9" t="s">
        <v>502</v>
      </c>
      <c r="E51" s="9" t="s">
        <v>503</v>
      </c>
      <c r="F51" s="9" t="s">
        <v>12</v>
      </c>
      <c r="G51" s="10" t="n">
        <v>2023</v>
      </c>
      <c r="H51" s="10" t="n">
        <v>10</v>
      </c>
      <c r="I51" s="19" t="n">
        <v>54000</v>
      </c>
      <c r="J51" s="19" t="n">
        <v>60000</v>
      </c>
      <c r="K51" s="10" t="n">
        <v>3000</v>
      </c>
      <c r="L51" s="10" t="n">
        <v>4548</v>
      </c>
      <c r="M51" s="10" t="n">
        <v>39</v>
      </c>
      <c r="N51" s="11" t="n">
        <v>9.7</v>
      </c>
      <c r="O51" s="18" t="s">
        <v>46</v>
      </c>
    </row>
    <row r="52" customFormat="false" ht="15" hidden="false" customHeight="false" outlineLevel="0" collapsed="false">
      <c r="A52" s="18" t="n">
        <v>121913198</v>
      </c>
      <c r="B52" s="10" t="n">
        <v>213</v>
      </c>
      <c r="C52" s="18" t="s">
        <v>43</v>
      </c>
      <c r="D52" s="9" t="s">
        <v>504</v>
      </c>
      <c r="E52" s="9" t="s">
        <v>505</v>
      </c>
      <c r="F52" s="9" t="s">
        <v>12</v>
      </c>
      <c r="G52" s="10" t="n">
        <v>2023</v>
      </c>
      <c r="H52" s="10" t="n">
        <v>10</v>
      </c>
      <c r="I52" s="19" t="n">
        <v>19800</v>
      </c>
      <c r="J52" s="19" t="n">
        <v>22000</v>
      </c>
      <c r="K52" s="10" t="n">
        <v>1100</v>
      </c>
      <c r="L52" s="10" t="n">
        <v>2652</v>
      </c>
      <c r="M52" s="10" t="n">
        <v>41</v>
      </c>
      <c r="N52" s="11" t="n">
        <v>9.7</v>
      </c>
      <c r="O52" s="18" t="s">
        <v>56</v>
      </c>
    </row>
    <row r="53" customFormat="false" ht="15" hidden="false" customHeight="false" outlineLevel="0" collapsed="false">
      <c r="A53" s="18" t="n">
        <v>119267145</v>
      </c>
      <c r="B53" s="10" t="n">
        <v>214</v>
      </c>
      <c r="C53" s="18" t="s">
        <v>43</v>
      </c>
      <c r="D53" s="9" t="s">
        <v>506</v>
      </c>
      <c r="E53" s="9" t="s">
        <v>507</v>
      </c>
      <c r="F53" s="9" t="s">
        <v>12</v>
      </c>
      <c r="G53" s="10" t="n">
        <v>2023</v>
      </c>
      <c r="H53" s="10" t="n">
        <v>10</v>
      </c>
      <c r="I53" s="19" t="n">
        <v>21600</v>
      </c>
      <c r="J53" s="19" t="n">
        <v>24000</v>
      </c>
      <c r="K53" s="10" t="n">
        <v>1200</v>
      </c>
      <c r="L53" s="10" t="n">
        <v>3120</v>
      </c>
      <c r="M53" s="10" t="n">
        <v>33</v>
      </c>
      <c r="N53" s="11" t="n">
        <v>9.8</v>
      </c>
      <c r="O53" s="18" t="s">
        <v>56</v>
      </c>
    </row>
    <row r="54" customFormat="false" ht="15" hidden="false" customHeight="false" outlineLevel="0" collapsed="false">
      <c r="A54" s="18" t="n">
        <v>116253011</v>
      </c>
      <c r="B54" s="10" t="n">
        <v>215</v>
      </c>
      <c r="C54" s="18" t="s">
        <v>43</v>
      </c>
      <c r="D54" s="9" t="s">
        <v>508</v>
      </c>
      <c r="E54" s="9" t="s">
        <v>283</v>
      </c>
      <c r="F54" s="9" t="s">
        <v>12</v>
      </c>
      <c r="G54" s="10" t="n">
        <v>2023</v>
      </c>
      <c r="H54" s="10" t="n">
        <v>10</v>
      </c>
      <c r="I54" s="19" t="n">
        <v>23400</v>
      </c>
      <c r="J54" s="19" t="n">
        <v>26000</v>
      </c>
      <c r="K54" s="10" t="n">
        <v>1300</v>
      </c>
      <c r="L54" s="10" t="n">
        <v>6738</v>
      </c>
      <c r="M54" s="10" t="n">
        <v>69</v>
      </c>
      <c r="N54" s="11" t="n">
        <v>9.8</v>
      </c>
      <c r="O54" s="18" t="s">
        <v>46</v>
      </c>
    </row>
    <row r="55" customFormat="false" ht="15" hidden="false" customHeight="false" outlineLevel="0" collapsed="false">
      <c r="A55" s="18" t="n">
        <v>182629754</v>
      </c>
      <c r="B55" s="10" t="n">
        <v>224</v>
      </c>
      <c r="C55" s="18" t="s">
        <v>43</v>
      </c>
      <c r="D55" s="9" t="s">
        <v>529</v>
      </c>
      <c r="E55" s="9" t="s">
        <v>530</v>
      </c>
      <c r="F55" s="9" t="s">
        <v>12</v>
      </c>
      <c r="G55" s="10" t="n">
        <v>2026</v>
      </c>
      <c r="H55" s="10" t="n">
        <v>10</v>
      </c>
      <c r="I55" s="19" t="n">
        <v>25200</v>
      </c>
      <c r="J55" s="19" t="n">
        <v>28000</v>
      </c>
      <c r="K55" s="10" t="n">
        <v>1400</v>
      </c>
      <c r="L55" s="10" t="n">
        <v>2166</v>
      </c>
      <c r="M55" s="10" t="n">
        <v>112</v>
      </c>
      <c r="N55" s="11" t="n">
        <v>10</v>
      </c>
      <c r="O55" s="18" t="s">
        <v>56</v>
      </c>
    </row>
    <row r="56" customFormat="false" ht="15" hidden="false" customHeight="false" outlineLevel="0" collapsed="false">
      <c r="A56" s="18" t="n">
        <v>145761422</v>
      </c>
      <c r="B56" s="10" t="n">
        <v>229</v>
      </c>
      <c r="C56" s="18" t="s">
        <v>43</v>
      </c>
      <c r="D56" s="9" t="s">
        <v>539</v>
      </c>
      <c r="E56" s="9" t="s">
        <v>540</v>
      </c>
      <c r="F56" s="9" t="s">
        <v>12</v>
      </c>
      <c r="G56" s="10" t="n">
        <v>2025</v>
      </c>
      <c r="H56" s="10" t="n">
        <v>10</v>
      </c>
      <c r="I56" s="19" t="n">
        <v>25200</v>
      </c>
      <c r="J56" s="19" t="n">
        <v>28000</v>
      </c>
      <c r="K56" s="10" t="n">
        <v>1400</v>
      </c>
      <c r="L56" s="10" t="n">
        <v>7272</v>
      </c>
      <c r="M56" s="10" t="n">
        <v>28</v>
      </c>
      <c r="N56" s="11" t="n">
        <v>9.8</v>
      </c>
      <c r="O56" s="18" t="s">
        <v>56</v>
      </c>
    </row>
    <row r="57" customFormat="false" ht="15" hidden="false" customHeight="false" outlineLevel="0" collapsed="false">
      <c r="A57" s="18" t="n">
        <v>184402508</v>
      </c>
      <c r="B57" s="10" t="n">
        <v>242</v>
      </c>
      <c r="C57" s="18" t="s">
        <v>43</v>
      </c>
      <c r="D57" s="15" t="s">
        <v>569</v>
      </c>
      <c r="E57" s="9" t="s">
        <v>570</v>
      </c>
      <c r="F57" s="9" t="s">
        <v>12</v>
      </c>
      <c r="G57" s="10" t="n">
        <v>2026</v>
      </c>
      <c r="H57" s="10" t="n">
        <v>10</v>
      </c>
      <c r="I57" s="19" t="n">
        <v>22500</v>
      </c>
      <c r="J57" s="19" t="n">
        <v>25000</v>
      </c>
      <c r="K57" s="10" t="n">
        <v>1250</v>
      </c>
      <c r="L57" s="10" t="n">
        <v>1236</v>
      </c>
      <c r="M57" s="10" t="n">
        <v>9</v>
      </c>
      <c r="N57" s="11" t="n">
        <v>8.9</v>
      </c>
      <c r="O57" s="18" t="s">
        <v>56</v>
      </c>
    </row>
    <row r="58" customFormat="false" ht="15" hidden="false" customHeight="false" outlineLevel="0" collapsed="false">
      <c r="A58" s="18" t="n">
        <v>182628538</v>
      </c>
      <c r="B58" s="10" t="n">
        <v>244</v>
      </c>
      <c r="C58" s="18" t="s">
        <v>43</v>
      </c>
      <c r="D58" s="9" t="s">
        <v>574</v>
      </c>
      <c r="E58" s="9" t="s">
        <v>575</v>
      </c>
      <c r="F58" s="9" t="s">
        <v>12</v>
      </c>
      <c r="G58" s="10" t="n">
        <v>2026</v>
      </c>
      <c r="H58" s="10" t="n">
        <v>10</v>
      </c>
      <c r="I58" s="19" t="n">
        <v>20700</v>
      </c>
      <c r="J58" s="19" t="n">
        <v>23000</v>
      </c>
      <c r="K58" s="10" t="n">
        <v>1150</v>
      </c>
      <c r="L58" s="10" t="n">
        <v>1704</v>
      </c>
      <c r="M58" s="10" t="n">
        <v>18</v>
      </c>
      <c r="N58" s="11" t="n">
        <v>10</v>
      </c>
      <c r="O58" s="18" t="s">
        <v>56</v>
      </c>
    </row>
    <row r="59" customFormat="false" ht="15" hidden="false" customHeight="false" outlineLevel="0" collapsed="false">
      <c r="A59" s="18" t="n">
        <v>180317043</v>
      </c>
      <c r="B59" s="10" t="n">
        <v>250</v>
      </c>
      <c r="C59" s="18" t="s">
        <v>43</v>
      </c>
      <c r="D59" s="9" t="s">
        <v>585</v>
      </c>
      <c r="E59" s="9" t="s">
        <v>586</v>
      </c>
      <c r="F59" s="9" t="s">
        <v>12</v>
      </c>
      <c r="G59" s="10" t="n">
        <v>2026</v>
      </c>
      <c r="H59" s="10" t="n">
        <v>10</v>
      </c>
      <c r="I59" s="19" t="n">
        <v>18000</v>
      </c>
      <c r="J59" s="19" t="n">
        <v>20000</v>
      </c>
      <c r="K59" s="10" t="n">
        <v>1000</v>
      </c>
      <c r="L59" s="10" t="n">
        <v>1164</v>
      </c>
      <c r="M59" s="10" t="n">
        <v>24</v>
      </c>
      <c r="N59" s="11" t="n">
        <v>9.3</v>
      </c>
      <c r="O59" s="18" t="s">
        <v>56</v>
      </c>
    </row>
    <row r="60" customFormat="false" ht="15" hidden="false" customHeight="false" outlineLevel="0" collapsed="false">
      <c r="A60" s="18" t="n">
        <v>167573116</v>
      </c>
      <c r="B60" s="10" t="n">
        <v>262</v>
      </c>
      <c r="C60" s="18" t="s">
        <v>43</v>
      </c>
      <c r="D60" s="9" t="s">
        <v>609</v>
      </c>
      <c r="E60" s="9" t="s">
        <v>610</v>
      </c>
      <c r="F60" s="9" t="s">
        <v>12</v>
      </c>
      <c r="G60" s="10" t="n">
        <v>2025</v>
      </c>
      <c r="H60" s="10" t="n">
        <v>10</v>
      </c>
      <c r="I60" s="19" t="n">
        <v>21600</v>
      </c>
      <c r="J60" s="19" t="n">
        <v>24000</v>
      </c>
      <c r="K60" s="10" t="n">
        <v>1200</v>
      </c>
      <c r="L60" s="10" t="n">
        <v>7014</v>
      </c>
      <c r="M60" s="10" t="n">
        <v>21</v>
      </c>
      <c r="N60" s="11" t="n">
        <v>9.8</v>
      </c>
      <c r="O60" s="18" t="s">
        <v>56</v>
      </c>
    </row>
    <row r="61" customFormat="false" ht="15" hidden="false" customHeight="false" outlineLevel="0" collapsed="false">
      <c r="A61" s="18" t="n">
        <v>163601068</v>
      </c>
      <c r="B61" s="10" t="n">
        <v>269</v>
      </c>
      <c r="C61" s="18" t="s">
        <v>43</v>
      </c>
      <c r="D61" s="9" t="s">
        <v>623</v>
      </c>
      <c r="E61" s="9" t="s">
        <v>624</v>
      </c>
      <c r="F61" s="9" t="s">
        <v>12</v>
      </c>
      <c r="G61" s="10" t="n">
        <v>2025</v>
      </c>
      <c r="H61" s="10" t="n">
        <v>10</v>
      </c>
      <c r="I61" s="19" t="n">
        <v>20700</v>
      </c>
      <c r="J61" s="19" t="n">
        <v>23000</v>
      </c>
      <c r="K61" s="10" t="n">
        <v>1150</v>
      </c>
      <c r="L61" s="10" t="n">
        <v>4809</v>
      </c>
      <c r="M61" s="10" t="n">
        <v>26</v>
      </c>
      <c r="N61" s="11" t="n">
        <v>9.7</v>
      </c>
      <c r="O61" s="18" t="s">
        <v>56</v>
      </c>
    </row>
    <row r="62" customFormat="false" ht="15" hidden="false" customHeight="false" outlineLevel="0" collapsed="false">
      <c r="A62" s="18" t="n">
        <v>151789405</v>
      </c>
      <c r="B62" s="10" t="n">
        <v>281</v>
      </c>
      <c r="C62" s="18" t="s">
        <v>43</v>
      </c>
      <c r="D62" s="9" t="s">
        <v>648</v>
      </c>
      <c r="E62" s="9" t="s">
        <v>649</v>
      </c>
      <c r="F62" s="9" t="s">
        <v>12</v>
      </c>
      <c r="G62" s="10" t="n">
        <v>2025</v>
      </c>
      <c r="H62" s="10" t="n">
        <v>10</v>
      </c>
      <c r="I62" s="19" t="n">
        <v>21600</v>
      </c>
      <c r="J62" s="19" t="n">
        <v>24000</v>
      </c>
      <c r="K62" s="10" t="n">
        <v>1200</v>
      </c>
      <c r="L62" s="10" t="n">
        <v>12672</v>
      </c>
      <c r="M62" s="10" t="n">
        <v>22</v>
      </c>
      <c r="N62" s="11" t="n">
        <v>9.5</v>
      </c>
      <c r="O62" s="18" t="s">
        <v>46</v>
      </c>
    </row>
    <row r="63" customFormat="false" ht="15" hidden="false" customHeight="false" outlineLevel="0" collapsed="false">
      <c r="A63" s="18" t="n">
        <v>142258696</v>
      </c>
      <c r="B63" s="10" t="n">
        <v>290</v>
      </c>
      <c r="C63" s="18" t="s">
        <v>43</v>
      </c>
      <c r="D63" s="9" t="s">
        <v>666</v>
      </c>
      <c r="E63" s="9" t="s">
        <v>667</v>
      </c>
      <c r="F63" s="9" t="s">
        <v>12</v>
      </c>
      <c r="G63" s="10" t="n">
        <v>2025</v>
      </c>
      <c r="H63" s="10" t="n">
        <v>10</v>
      </c>
      <c r="I63" s="19" t="n">
        <v>23400</v>
      </c>
      <c r="J63" s="19" t="n">
        <v>26000</v>
      </c>
      <c r="K63" s="10" t="n">
        <v>1300</v>
      </c>
      <c r="L63" s="10" t="n">
        <v>2940</v>
      </c>
      <c r="M63" s="10" t="n">
        <v>38</v>
      </c>
      <c r="N63" s="11" t="n">
        <v>9.7</v>
      </c>
      <c r="O63" s="18" t="s">
        <v>46</v>
      </c>
    </row>
    <row r="64" customFormat="false" ht="15" hidden="false" customHeight="false" outlineLevel="0" collapsed="false">
      <c r="A64" s="18" t="n">
        <v>141311181</v>
      </c>
      <c r="B64" s="10" t="n">
        <v>292</v>
      </c>
      <c r="C64" s="18" t="s">
        <v>43</v>
      </c>
      <c r="D64" s="9" t="s">
        <v>671</v>
      </c>
      <c r="E64" s="9" t="s">
        <v>672</v>
      </c>
      <c r="F64" s="9" t="s">
        <v>12</v>
      </c>
      <c r="G64" s="10" t="n">
        <v>2025</v>
      </c>
      <c r="H64" s="10" t="n">
        <v>10</v>
      </c>
      <c r="I64" s="19" t="n">
        <v>25200</v>
      </c>
      <c r="J64" s="19" t="n">
        <v>28000</v>
      </c>
      <c r="K64" s="10" t="n">
        <v>1400</v>
      </c>
      <c r="L64" s="10" t="n">
        <v>1512</v>
      </c>
      <c r="M64" s="10" t="n">
        <v>27</v>
      </c>
      <c r="N64" s="11" t="n">
        <v>9.4</v>
      </c>
      <c r="O64" s="18" t="s">
        <v>56</v>
      </c>
    </row>
    <row r="65" customFormat="false" ht="15" hidden="false" customHeight="false" outlineLevel="0" collapsed="false">
      <c r="A65" s="18" t="n">
        <v>139798543</v>
      </c>
      <c r="B65" s="10" t="n">
        <v>293</v>
      </c>
      <c r="C65" s="18" t="s">
        <v>43</v>
      </c>
      <c r="D65" s="9" t="s">
        <v>673</v>
      </c>
      <c r="E65" s="9" t="s">
        <v>246</v>
      </c>
      <c r="F65" s="9" t="s">
        <v>12</v>
      </c>
      <c r="G65" s="10" t="n">
        <v>2024</v>
      </c>
      <c r="H65" s="10" t="n">
        <v>10</v>
      </c>
      <c r="I65" s="19" t="n">
        <v>15300</v>
      </c>
      <c r="J65" s="19" t="n">
        <v>17000</v>
      </c>
      <c r="K65" s="10" t="n">
        <v>850</v>
      </c>
      <c r="L65" s="10" t="n">
        <v>6768</v>
      </c>
      <c r="M65" s="10" t="n">
        <v>37</v>
      </c>
      <c r="N65" s="11" t="n">
        <v>9.7</v>
      </c>
      <c r="O65" s="18" t="s">
        <v>46</v>
      </c>
    </row>
    <row r="66" customFormat="false" ht="15" hidden="false" customHeight="false" outlineLevel="0" collapsed="false">
      <c r="A66" s="18" t="n">
        <v>130179291</v>
      </c>
      <c r="B66" s="10" t="n">
        <v>298</v>
      </c>
      <c r="C66" s="18" t="s">
        <v>43</v>
      </c>
      <c r="D66" s="9" t="s">
        <v>682</v>
      </c>
      <c r="E66" s="9" t="s">
        <v>357</v>
      </c>
      <c r="F66" s="9" t="s">
        <v>12</v>
      </c>
      <c r="G66" s="10" t="n">
        <v>2024</v>
      </c>
      <c r="H66" s="10" t="n">
        <v>10</v>
      </c>
      <c r="I66" s="19" t="n">
        <v>32400</v>
      </c>
      <c r="J66" s="19" t="n">
        <v>36000</v>
      </c>
      <c r="K66" s="10" t="n">
        <v>1800</v>
      </c>
      <c r="L66" s="10" t="n">
        <v>3048</v>
      </c>
      <c r="M66" s="10" t="n">
        <v>32</v>
      </c>
      <c r="N66" s="11" t="n">
        <v>9.8</v>
      </c>
      <c r="O66" s="18" t="s">
        <v>46</v>
      </c>
    </row>
    <row r="67" customFormat="false" ht="15" hidden="false" customHeight="false" outlineLevel="0" collapsed="false">
      <c r="A67" s="18" t="n">
        <v>130156635</v>
      </c>
      <c r="B67" s="10" t="n">
        <v>299</v>
      </c>
      <c r="C67" s="18" t="s">
        <v>43</v>
      </c>
      <c r="D67" s="15" t="s">
        <v>683</v>
      </c>
      <c r="E67" s="9" t="s">
        <v>684</v>
      </c>
      <c r="F67" s="9" t="s">
        <v>12</v>
      </c>
      <c r="G67" s="10" t="n">
        <v>2024</v>
      </c>
      <c r="H67" s="10" t="n">
        <v>10</v>
      </c>
      <c r="I67" s="19" t="n">
        <v>40500</v>
      </c>
      <c r="J67" s="19" t="n">
        <v>45000</v>
      </c>
      <c r="K67" s="10" t="n">
        <v>2250</v>
      </c>
      <c r="L67" s="10" t="n">
        <v>2514</v>
      </c>
      <c r="M67" s="10" t="n">
        <v>12</v>
      </c>
      <c r="N67" s="11" t="n">
        <v>9.5</v>
      </c>
      <c r="O67" s="18" t="s">
        <v>56</v>
      </c>
    </row>
    <row r="68" customFormat="false" ht="15" hidden="false" customHeight="false" outlineLevel="0" collapsed="false">
      <c r="A68" s="18" t="n">
        <v>119712582</v>
      </c>
      <c r="B68" s="10" t="n">
        <v>312</v>
      </c>
      <c r="C68" s="18" t="s">
        <v>43</v>
      </c>
      <c r="D68" s="9" t="s">
        <v>708</v>
      </c>
      <c r="E68" s="9" t="s">
        <v>709</v>
      </c>
      <c r="F68" s="9" t="s">
        <v>12</v>
      </c>
      <c r="G68" s="10" t="n">
        <v>2023</v>
      </c>
      <c r="H68" s="10" t="n">
        <v>10</v>
      </c>
      <c r="I68" s="19" t="n">
        <v>34200</v>
      </c>
      <c r="J68" s="19" t="n">
        <v>38000</v>
      </c>
      <c r="K68" s="10" t="n">
        <v>1900</v>
      </c>
      <c r="L68" s="10" t="n">
        <v>1848</v>
      </c>
      <c r="M68" s="10" t="n">
        <v>39</v>
      </c>
      <c r="N68" s="11" t="n">
        <v>9.2</v>
      </c>
      <c r="O68" s="18" t="s">
        <v>56</v>
      </c>
    </row>
    <row r="69" customFormat="false" ht="15" hidden="false" customHeight="false" outlineLevel="0" collapsed="false">
      <c r="A69" s="18" t="n">
        <v>118827280</v>
      </c>
      <c r="B69" s="10" t="n">
        <v>313</v>
      </c>
      <c r="C69" s="18" t="s">
        <v>43</v>
      </c>
      <c r="D69" s="9" t="s">
        <v>710</v>
      </c>
      <c r="E69" s="9" t="s">
        <v>711</v>
      </c>
      <c r="F69" s="9" t="s">
        <v>12</v>
      </c>
      <c r="G69" s="10" t="n">
        <v>2023</v>
      </c>
      <c r="H69" s="10" t="n">
        <v>10</v>
      </c>
      <c r="I69" s="19" t="n">
        <v>18000</v>
      </c>
      <c r="J69" s="19" t="n">
        <v>20000</v>
      </c>
      <c r="K69" s="10" t="n">
        <v>1000</v>
      </c>
      <c r="L69" s="10" t="n">
        <v>1656</v>
      </c>
      <c r="M69" s="10" t="n">
        <v>37</v>
      </c>
      <c r="N69" s="11" t="n">
        <v>9.5</v>
      </c>
      <c r="O69" s="18" t="s">
        <v>56</v>
      </c>
    </row>
    <row r="70" customFormat="false" ht="15" hidden="false" customHeight="false" outlineLevel="0" collapsed="false">
      <c r="A70" s="18" t="n">
        <v>118685906</v>
      </c>
      <c r="B70" s="10" t="n">
        <v>314</v>
      </c>
      <c r="C70" s="18" t="s">
        <v>43</v>
      </c>
      <c r="D70" s="9" t="s">
        <v>712</v>
      </c>
      <c r="E70" s="9" t="s">
        <v>713</v>
      </c>
      <c r="F70" s="9" t="s">
        <v>12</v>
      </c>
      <c r="G70" s="10" t="n">
        <v>2023</v>
      </c>
      <c r="H70" s="10" t="n">
        <v>10</v>
      </c>
      <c r="I70" s="19" t="n">
        <v>32400</v>
      </c>
      <c r="J70" s="19" t="n">
        <v>36000</v>
      </c>
      <c r="K70" s="10" t="n">
        <v>1800</v>
      </c>
      <c r="L70" s="10" t="n">
        <v>2988</v>
      </c>
      <c r="M70" s="10" t="n">
        <v>30</v>
      </c>
      <c r="N70" s="11" t="n">
        <v>9.1</v>
      </c>
      <c r="O70" s="18" t="s">
        <v>46</v>
      </c>
    </row>
    <row r="71" customFormat="false" ht="15" hidden="false" customHeight="false" outlineLevel="0" collapsed="false">
      <c r="A71" s="18" t="n">
        <v>104661489</v>
      </c>
      <c r="B71" s="10" t="n">
        <v>322</v>
      </c>
      <c r="C71" s="18" t="s">
        <v>43</v>
      </c>
      <c r="D71" s="9" t="s">
        <v>727</v>
      </c>
      <c r="E71" s="9" t="s">
        <v>333</v>
      </c>
      <c r="F71" s="9" t="s">
        <v>12</v>
      </c>
      <c r="G71" s="10" t="n">
        <v>2021</v>
      </c>
      <c r="H71" s="10" t="n">
        <v>10</v>
      </c>
      <c r="I71" s="19" t="n">
        <v>21600</v>
      </c>
      <c r="J71" s="19" t="n">
        <v>24000</v>
      </c>
      <c r="K71" s="10" t="n">
        <v>1200</v>
      </c>
      <c r="L71" s="10" t="n">
        <v>4623</v>
      </c>
      <c r="M71" s="10" t="n">
        <v>52</v>
      </c>
      <c r="N71" s="11" t="n">
        <v>9.7</v>
      </c>
      <c r="O71" s="18" t="s">
        <v>46</v>
      </c>
    </row>
    <row r="72" customFormat="false" ht="15" hidden="false" customHeight="false" outlineLevel="0" collapsed="false">
      <c r="A72" s="18" t="n">
        <v>11775117</v>
      </c>
      <c r="B72" s="10" t="n">
        <v>335</v>
      </c>
      <c r="C72" s="18" t="s">
        <v>43</v>
      </c>
      <c r="D72" s="9" t="s">
        <v>756</v>
      </c>
      <c r="E72" s="9" t="s">
        <v>757</v>
      </c>
      <c r="F72" s="9" t="s">
        <v>12</v>
      </c>
      <c r="G72" s="10" t="n">
        <v>2014</v>
      </c>
      <c r="H72" s="10" t="n">
        <v>10</v>
      </c>
      <c r="I72" s="19" t="n">
        <v>25200</v>
      </c>
      <c r="J72" s="19" t="n">
        <v>28000</v>
      </c>
      <c r="K72" s="10" t="n">
        <v>1400</v>
      </c>
      <c r="L72" s="10" t="n">
        <v>1674</v>
      </c>
      <c r="M72" s="10" t="n">
        <v>11</v>
      </c>
      <c r="N72" s="11" t="n">
        <v>9.4</v>
      </c>
      <c r="O72" s="18" t="s">
        <v>56</v>
      </c>
    </row>
    <row r="73" customFormat="false" ht="15" hidden="false" customHeight="false" outlineLevel="0" collapsed="false">
      <c r="A73" s="18" t="n">
        <v>181177659</v>
      </c>
      <c r="B73" s="10" t="n">
        <v>341</v>
      </c>
      <c r="C73" s="18" t="s">
        <v>43</v>
      </c>
      <c r="D73" s="9" t="s">
        <v>770</v>
      </c>
      <c r="E73" s="9" t="s">
        <v>495</v>
      </c>
      <c r="F73" s="9" t="s">
        <v>12</v>
      </c>
      <c r="G73" s="10" t="n">
        <v>2026</v>
      </c>
      <c r="H73" s="10" t="n">
        <v>10</v>
      </c>
      <c r="I73" s="19" t="n">
        <v>31500</v>
      </c>
      <c r="J73" s="19" t="n">
        <v>35000</v>
      </c>
      <c r="K73" s="10" t="n">
        <v>1750</v>
      </c>
      <c r="L73" s="10" t="n">
        <v>1029</v>
      </c>
      <c r="M73" s="10" t="n">
        <v>11</v>
      </c>
      <c r="N73" s="11" t="n">
        <v>10</v>
      </c>
      <c r="O73" s="18" t="s">
        <v>56</v>
      </c>
    </row>
    <row r="74" customFormat="false" ht="15" hidden="false" customHeight="false" outlineLevel="0" collapsed="false">
      <c r="A74" s="18" t="n">
        <v>188859267</v>
      </c>
      <c r="B74" s="10" t="n">
        <v>360</v>
      </c>
      <c r="C74" s="18" t="s">
        <v>43</v>
      </c>
      <c r="D74" s="9" t="s">
        <v>812</v>
      </c>
      <c r="E74" s="9" t="s">
        <v>813</v>
      </c>
      <c r="F74" s="9" t="s">
        <v>12</v>
      </c>
      <c r="G74" s="10" t="n">
        <v>2026</v>
      </c>
      <c r="H74" s="10" t="n">
        <v>10</v>
      </c>
      <c r="I74" s="19" t="n">
        <v>24300</v>
      </c>
      <c r="J74" s="19" t="n">
        <v>27000</v>
      </c>
      <c r="K74" s="10" t="n">
        <v>1350</v>
      </c>
      <c r="L74" s="10" t="n">
        <v>576</v>
      </c>
      <c r="M74" s="10" t="n">
        <v>25</v>
      </c>
      <c r="N74" s="11" t="n">
        <v>9.8</v>
      </c>
      <c r="O74" s="18" t="s">
        <v>56</v>
      </c>
    </row>
    <row r="75" customFormat="false" ht="15" hidden="false" customHeight="false" outlineLevel="0" collapsed="false">
      <c r="A75" s="18" t="n">
        <v>185472118</v>
      </c>
      <c r="B75" s="10" t="n">
        <v>366</v>
      </c>
      <c r="C75" s="18" t="s">
        <v>43</v>
      </c>
      <c r="D75" s="9" t="s">
        <v>824</v>
      </c>
      <c r="E75" s="9" t="s">
        <v>825</v>
      </c>
      <c r="F75" s="9" t="s">
        <v>12</v>
      </c>
      <c r="G75" s="10" t="n">
        <v>2026</v>
      </c>
      <c r="H75" s="10" t="n">
        <v>10</v>
      </c>
      <c r="I75" s="19" t="n">
        <v>25200</v>
      </c>
      <c r="J75" s="19" t="n">
        <v>28000</v>
      </c>
      <c r="K75" s="10" t="n">
        <v>1400</v>
      </c>
      <c r="L75" s="10" t="n">
        <v>564</v>
      </c>
      <c r="M75" s="10" t="n">
        <v>13</v>
      </c>
      <c r="N75" s="11" t="n">
        <v>9.8</v>
      </c>
      <c r="O75" s="18" t="s">
        <v>56</v>
      </c>
    </row>
    <row r="76" customFormat="false" ht="15" hidden="false" customHeight="false" outlineLevel="0" collapsed="false">
      <c r="A76" s="18" t="n">
        <v>183747150</v>
      </c>
      <c r="B76" s="10" t="n">
        <v>371</v>
      </c>
      <c r="C76" s="18" t="s">
        <v>43</v>
      </c>
      <c r="D76" s="9" t="s">
        <v>834</v>
      </c>
      <c r="E76" s="9" t="s">
        <v>835</v>
      </c>
      <c r="F76" s="9" t="s">
        <v>12</v>
      </c>
      <c r="G76" s="10" t="n">
        <v>2026</v>
      </c>
      <c r="H76" s="10" t="n">
        <v>10</v>
      </c>
      <c r="I76" s="19" t="n">
        <v>24300</v>
      </c>
      <c r="J76" s="19" t="n">
        <v>27000</v>
      </c>
      <c r="K76" s="10" t="n">
        <v>1350</v>
      </c>
      <c r="L76" s="10" t="n">
        <v>984</v>
      </c>
      <c r="M76" s="10" t="n">
        <v>35</v>
      </c>
      <c r="N76" s="11" t="n">
        <v>9.8</v>
      </c>
      <c r="O76" s="18" t="s">
        <v>56</v>
      </c>
    </row>
    <row r="77" customFormat="false" ht="15" hidden="false" customHeight="false" outlineLevel="0" collapsed="false">
      <c r="A77" s="18" t="n">
        <v>182019497</v>
      </c>
      <c r="B77" s="10" t="n">
        <v>375</v>
      </c>
      <c r="C77" s="18" t="s">
        <v>43</v>
      </c>
      <c r="D77" s="9" t="s">
        <v>840</v>
      </c>
      <c r="E77" s="9" t="s">
        <v>841</v>
      </c>
      <c r="F77" s="9" t="s">
        <v>12</v>
      </c>
      <c r="G77" s="10" t="n">
        <v>2026</v>
      </c>
      <c r="H77" s="10" t="n">
        <v>10</v>
      </c>
      <c r="I77" s="19" t="n">
        <v>24300</v>
      </c>
      <c r="J77" s="19" t="n">
        <v>27000</v>
      </c>
      <c r="K77" s="10" t="n">
        <v>1350</v>
      </c>
      <c r="L77" s="10" t="n">
        <v>1086</v>
      </c>
      <c r="M77" s="10" t="n">
        <v>10</v>
      </c>
      <c r="N77" s="11" t="n">
        <v>9.8</v>
      </c>
      <c r="O77" s="18" t="s">
        <v>56</v>
      </c>
    </row>
    <row r="78" customFormat="false" ht="15" hidden="false" customHeight="false" outlineLevel="0" collapsed="false">
      <c r="A78" s="18" t="n">
        <v>180488781</v>
      </c>
      <c r="B78" s="10" t="n">
        <v>381</v>
      </c>
      <c r="C78" s="18" t="s">
        <v>43</v>
      </c>
      <c r="D78" s="9" t="s">
        <v>853</v>
      </c>
      <c r="E78" s="9" t="s">
        <v>854</v>
      </c>
      <c r="F78" s="9" t="s">
        <v>12</v>
      </c>
      <c r="G78" s="10" t="n">
        <v>2026</v>
      </c>
      <c r="H78" s="10" t="n">
        <v>10</v>
      </c>
      <c r="I78" s="19" t="n">
        <v>32400</v>
      </c>
      <c r="J78" s="19" t="n">
        <v>36000</v>
      </c>
      <c r="K78" s="10" t="n">
        <v>1800</v>
      </c>
      <c r="L78" s="10" t="n">
        <v>1266</v>
      </c>
      <c r="M78" s="10" t="n">
        <v>3</v>
      </c>
      <c r="N78" s="11" t="n">
        <v>10</v>
      </c>
      <c r="O78" s="18" t="s">
        <v>56</v>
      </c>
    </row>
    <row r="79" customFormat="false" ht="15" hidden="false" customHeight="false" outlineLevel="0" collapsed="false">
      <c r="A79" s="18" t="n">
        <v>180162710</v>
      </c>
      <c r="B79" s="10" t="n">
        <v>382</v>
      </c>
      <c r="C79" s="18" t="s">
        <v>43</v>
      </c>
      <c r="D79" s="15" t="s">
        <v>855</v>
      </c>
      <c r="E79" s="9" t="s">
        <v>856</v>
      </c>
      <c r="F79" s="9" t="s">
        <v>12</v>
      </c>
      <c r="G79" s="10" t="n">
        <v>2026</v>
      </c>
      <c r="H79" s="10" t="n">
        <v>10</v>
      </c>
      <c r="I79" s="19" t="n">
        <v>21600</v>
      </c>
      <c r="J79" s="19" t="n">
        <v>24000</v>
      </c>
      <c r="K79" s="10" t="n">
        <v>1200</v>
      </c>
      <c r="L79" s="10" t="n">
        <v>2460</v>
      </c>
      <c r="M79" s="10" t="n">
        <v>34</v>
      </c>
      <c r="N79" s="11" t="n">
        <v>9.9</v>
      </c>
      <c r="O79" s="18" t="s">
        <v>46</v>
      </c>
    </row>
    <row r="80" customFormat="false" ht="15" hidden="false" customHeight="false" outlineLevel="0" collapsed="false">
      <c r="A80" s="18" t="n">
        <v>174795790</v>
      </c>
      <c r="B80" s="10" t="n">
        <v>389</v>
      </c>
      <c r="C80" s="18" t="s">
        <v>43</v>
      </c>
      <c r="D80" s="9" t="s">
        <v>871</v>
      </c>
      <c r="E80" s="9" t="s">
        <v>872</v>
      </c>
      <c r="F80" s="9" t="s">
        <v>12</v>
      </c>
      <c r="G80" s="10" t="n">
        <v>2026</v>
      </c>
      <c r="H80" s="10" t="n">
        <v>10</v>
      </c>
      <c r="I80" s="19" t="n">
        <v>19800</v>
      </c>
      <c r="J80" s="19" t="n">
        <v>22000</v>
      </c>
      <c r="K80" s="10" t="n">
        <v>1100</v>
      </c>
      <c r="L80" s="10" t="n">
        <v>1188</v>
      </c>
      <c r="M80" s="10" t="n">
        <v>44</v>
      </c>
      <c r="N80" s="11" t="n">
        <v>9.8</v>
      </c>
      <c r="O80" s="18" t="s">
        <v>56</v>
      </c>
    </row>
    <row r="81" customFormat="false" ht="15" hidden="false" customHeight="false" outlineLevel="0" collapsed="false">
      <c r="A81" s="18" t="n">
        <v>167475617</v>
      </c>
      <c r="B81" s="10" t="n">
        <v>406</v>
      </c>
      <c r="C81" s="18" t="s">
        <v>43</v>
      </c>
      <c r="D81" s="9" t="s">
        <v>906</v>
      </c>
      <c r="E81" s="9" t="s">
        <v>907</v>
      </c>
      <c r="F81" s="9" t="s">
        <v>12</v>
      </c>
      <c r="G81" s="10" t="n">
        <v>2025</v>
      </c>
      <c r="H81" s="10" t="n">
        <v>10</v>
      </c>
      <c r="I81" s="19" t="n">
        <v>15300</v>
      </c>
      <c r="J81" s="19" t="n">
        <v>17000</v>
      </c>
      <c r="K81" s="10" t="n">
        <v>850</v>
      </c>
      <c r="L81" s="10" t="n">
        <v>1686</v>
      </c>
      <c r="M81" s="10" t="n">
        <v>28</v>
      </c>
      <c r="N81" s="11" t="n">
        <v>10</v>
      </c>
      <c r="O81" s="18" t="s">
        <v>56</v>
      </c>
    </row>
    <row r="82" customFormat="false" ht="15" hidden="false" customHeight="false" outlineLevel="0" collapsed="false">
      <c r="A82" s="18" t="n">
        <v>159168206</v>
      </c>
      <c r="B82" s="10" t="n">
        <v>412</v>
      </c>
      <c r="C82" s="18" t="s">
        <v>43</v>
      </c>
      <c r="D82" s="9" t="s">
        <v>917</v>
      </c>
      <c r="E82" s="9" t="s">
        <v>918</v>
      </c>
      <c r="F82" s="9" t="s">
        <v>12</v>
      </c>
      <c r="G82" s="10" t="n">
        <v>2025</v>
      </c>
      <c r="H82" s="10" t="n">
        <v>10</v>
      </c>
      <c r="I82" s="19" t="n">
        <v>15300</v>
      </c>
      <c r="J82" s="19" t="n">
        <v>17000</v>
      </c>
      <c r="K82" s="10" t="n">
        <v>850</v>
      </c>
      <c r="L82" s="10" t="n">
        <v>6708</v>
      </c>
      <c r="M82" s="10" t="n">
        <v>26</v>
      </c>
      <c r="N82" s="11" t="n">
        <v>9.8</v>
      </c>
      <c r="O82" s="18" t="s">
        <v>56</v>
      </c>
    </row>
    <row r="83" customFormat="false" ht="15" hidden="false" customHeight="false" outlineLevel="0" collapsed="false">
      <c r="A83" s="18" t="n">
        <v>154076881</v>
      </c>
      <c r="B83" s="10" t="n">
        <v>416</v>
      </c>
      <c r="C83" s="18" t="s">
        <v>43</v>
      </c>
      <c r="D83" s="9" t="s">
        <v>924</v>
      </c>
      <c r="E83" s="9" t="s">
        <v>925</v>
      </c>
      <c r="F83" s="9" t="s">
        <v>12</v>
      </c>
      <c r="G83" s="10" t="n">
        <v>2025</v>
      </c>
      <c r="H83" s="10" t="n">
        <v>10</v>
      </c>
      <c r="I83" s="19" t="n">
        <v>54000</v>
      </c>
      <c r="J83" s="19" t="n">
        <v>60000</v>
      </c>
      <c r="K83" s="10" t="n">
        <v>3000</v>
      </c>
      <c r="L83" s="10" t="n">
        <v>2256</v>
      </c>
      <c r="M83" s="10" t="n">
        <v>31</v>
      </c>
      <c r="N83" s="11" t="n">
        <v>9.7</v>
      </c>
      <c r="O83" s="18" t="s">
        <v>56</v>
      </c>
    </row>
    <row r="84" customFormat="false" ht="15" hidden="false" customHeight="false" outlineLevel="0" collapsed="false">
      <c r="A84" s="18" t="n">
        <v>153499985</v>
      </c>
      <c r="B84" s="10" t="n">
        <v>418</v>
      </c>
      <c r="C84" s="18" t="s">
        <v>43</v>
      </c>
      <c r="D84" s="9" t="s">
        <v>927</v>
      </c>
      <c r="E84" s="9" t="s">
        <v>928</v>
      </c>
      <c r="F84" s="9" t="s">
        <v>12</v>
      </c>
      <c r="G84" s="10" t="n">
        <v>2025</v>
      </c>
      <c r="H84" s="10" t="n">
        <v>10</v>
      </c>
      <c r="I84" s="19" t="n">
        <v>40500</v>
      </c>
      <c r="J84" s="19" t="n">
        <v>45000</v>
      </c>
      <c r="K84" s="10" t="n">
        <v>2250</v>
      </c>
      <c r="L84" s="10" t="n">
        <v>2250</v>
      </c>
      <c r="M84" s="10" t="n">
        <v>5</v>
      </c>
      <c r="N84" s="11" t="n">
        <v>10</v>
      </c>
      <c r="O84" s="18" t="s">
        <v>56</v>
      </c>
    </row>
    <row r="85" customFormat="false" ht="15" hidden="false" customHeight="false" outlineLevel="0" collapsed="false">
      <c r="A85" s="18" t="n">
        <v>148184558</v>
      </c>
      <c r="B85" s="10" t="n">
        <v>428</v>
      </c>
      <c r="C85" s="18" t="s">
        <v>43</v>
      </c>
      <c r="D85" s="9" t="s">
        <v>947</v>
      </c>
      <c r="E85" s="9" t="s">
        <v>948</v>
      </c>
      <c r="F85" s="9" t="s">
        <v>12</v>
      </c>
      <c r="G85" s="10" t="n">
        <v>2025</v>
      </c>
      <c r="H85" s="10" t="n">
        <v>10</v>
      </c>
      <c r="I85" s="19" t="n">
        <v>21600</v>
      </c>
      <c r="J85" s="19" t="n">
        <v>24000</v>
      </c>
      <c r="K85" s="10" t="n">
        <v>1200</v>
      </c>
      <c r="L85" s="10" t="n">
        <v>1128</v>
      </c>
      <c r="M85" s="10" t="n">
        <v>3</v>
      </c>
      <c r="N85" s="11" t="n">
        <v>9.3</v>
      </c>
      <c r="O85" s="18" t="s">
        <v>56</v>
      </c>
    </row>
    <row r="86" customFormat="false" ht="15" hidden="false" customHeight="false" outlineLevel="0" collapsed="false">
      <c r="A86" s="18" t="n">
        <v>147648741</v>
      </c>
      <c r="B86" s="10" t="n">
        <v>433</v>
      </c>
      <c r="C86" s="18" t="s">
        <v>43</v>
      </c>
      <c r="D86" s="9" t="s">
        <v>957</v>
      </c>
      <c r="E86" s="9" t="s">
        <v>958</v>
      </c>
      <c r="F86" s="9" t="s">
        <v>12</v>
      </c>
      <c r="G86" s="10" t="n">
        <v>2025</v>
      </c>
      <c r="H86" s="10" t="n">
        <v>10</v>
      </c>
      <c r="I86" s="19" t="n">
        <v>32400</v>
      </c>
      <c r="J86" s="19" t="n">
        <v>36000</v>
      </c>
      <c r="K86" s="10" t="n">
        <v>1800</v>
      </c>
      <c r="L86" s="10" t="n">
        <v>2418</v>
      </c>
      <c r="M86" s="10" t="n">
        <v>29</v>
      </c>
      <c r="N86" s="11" t="n">
        <v>9.9</v>
      </c>
      <c r="O86" s="18" t="s">
        <v>56</v>
      </c>
    </row>
    <row r="87" customFormat="false" ht="15" hidden="false" customHeight="false" outlineLevel="0" collapsed="false">
      <c r="A87" s="18" t="n">
        <v>145632328</v>
      </c>
      <c r="B87" s="10" t="n">
        <v>439</v>
      </c>
      <c r="C87" s="18" t="s">
        <v>43</v>
      </c>
      <c r="D87" s="9" t="s">
        <v>970</v>
      </c>
      <c r="E87" s="9" t="s">
        <v>53</v>
      </c>
      <c r="F87" s="9" t="s">
        <v>12</v>
      </c>
      <c r="G87" s="10" t="n">
        <v>2025</v>
      </c>
      <c r="H87" s="10" t="n">
        <v>10</v>
      </c>
      <c r="I87" s="19" t="n">
        <v>26100</v>
      </c>
      <c r="J87" s="19" t="n">
        <v>29000</v>
      </c>
      <c r="K87" s="10" t="n">
        <v>1450</v>
      </c>
      <c r="L87" s="10" t="n">
        <v>2220</v>
      </c>
      <c r="M87" s="10" t="n">
        <v>10</v>
      </c>
      <c r="N87" s="11" t="n">
        <v>8.6</v>
      </c>
      <c r="O87" s="18" t="s">
        <v>56</v>
      </c>
    </row>
    <row r="88" customFormat="false" ht="15" hidden="false" customHeight="false" outlineLevel="0" collapsed="false">
      <c r="A88" s="18" t="n">
        <v>140456813</v>
      </c>
      <c r="B88" s="10" t="n">
        <v>457</v>
      </c>
      <c r="C88" s="18" t="s">
        <v>43</v>
      </c>
      <c r="D88" s="9" t="s">
        <v>1005</v>
      </c>
      <c r="E88" s="9" t="s">
        <v>1006</v>
      </c>
      <c r="F88" s="9" t="s">
        <v>12</v>
      </c>
      <c r="G88" s="10" t="n">
        <v>2025</v>
      </c>
      <c r="H88" s="10" t="n">
        <v>10</v>
      </c>
      <c r="I88" s="19" t="n">
        <v>23400</v>
      </c>
      <c r="J88" s="19" t="n">
        <v>26000</v>
      </c>
      <c r="K88" s="10" t="n">
        <v>1300</v>
      </c>
      <c r="L88" s="10" t="n">
        <v>846</v>
      </c>
      <c r="M88" s="10" t="n">
        <v>18</v>
      </c>
      <c r="N88" s="11" t="n">
        <v>10</v>
      </c>
      <c r="O88" s="18" t="s">
        <v>56</v>
      </c>
    </row>
    <row r="89" customFormat="false" ht="15" hidden="false" customHeight="false" outlineLevel="0" collapsed="false">
      <c r="A89" s="18" t="n">
        <v>135854770</v>
      </c>
      <c r="B89" s="10" t="n">
        <v>467</v>
      </c>
      <c r="C89" s="18" t="s">
        <v>43</v>
      </c>
      <c r="D89" s="9" t="s">
        <v>1024</v>
      </c>
      <c r="E89" s="9" t="s">
        <v>1025</v>
      </c>
      <c r="F89" s="9" t="s">
        <v>12</v>
      </c>
      <c r="G89" s="10" t="n">
        <v>2024</v>
      </c>
      <c r="H89" s="10" t="n">
        <v>10</v>
      </c>
      <c r="I89" s="19" t="n">
        <v>25200</v>
      </c>
      <c r="J89" s="19" t="n">
        <v>28000</v>
      </c>
      <c r="K89" s="10" t="n">
        <v>1400</v>
      </c>
      <c r="L89" s="10" t="n">
        <v>1392</v>
      </c>
      <c r="M89" s="10" t="n">
        <v>12</v>
      </c>
      <c r="N89" s="11" t="n">
        <v>9.7</v>
      </c>
      <c r="O89" s="18" t="s">
        <v>56</v>
      </c>
    </row>
    <row r="90" customFormat="false" ht="15" hidden="false" customHeight="false" outlineLevel="0" collapsed="false">
      <c r="A90" s="18" t="n">
        <v>135800272</v>
      </c>
      <c r="B90" s="10" t="n">
        <v>468</v>
      </c>
      <c r="C90" s="18" t="s">
        <v>43</v>
      </c>
      <c r="D90" s="9" t="s">
        <v>1026</v>
      </c>
      <c r="E90" s="9" t="s">
        <v>1027</v>
      </c>
      <c r="F90" s="9" t="s">
        <v>12</v>
      </c>
      <c r="G90" s="10" t="n">
        <v>2024</v>
      </c>
      <c r="H90" s="10" t="n">
        <v>10</v>
      </c>
      <c r="I90" s="19" t="n">
        <v>32400</v>
      </c>
      <c r="J90" s="19" t="n">
        <v>36000</v>
      </c>
      <c r="K90" s="10" t="n">
        <v>1800</v>
      </c>
      <c r="L90" s="10" t="n">
        <v>2466</v>
      </c>
      <c r="M90" s="10" t="n">
        <v>25</v>
      </c>
      <c r="N90" s="11" t="n">
        <v>9.7</v>
      </c>
      <c r="O90" s="18" t="s">
        <v>46</v>
      </c>
    </row>
    <row r="91" customFormat="false" ht="15" hidden="false" customHeight="false" outlineLevel="0" collapsed="false">
      <c r="A91" s="18" t="n">
        <v>135796323</v>
      </c>
      <c r="B91" s="10" t="n">
        <v>469</v>
      </c>
      <c r="C91" s="18" t="s">
        <v>43</v>
      </c>
      <c r="D91" s="9" t="s">
        <v>1028</v>
      </c>
      <c r="E91" s="9" t="s">
        <v>1029</v>
      </c>
      <c r="F91" s="9" t="s">
        <v>12</v>
      </c>
      <c r="G91" s="10" t="n">
        <v>2024</v>
      </c>
      <c r="H91" s="10" t="n">
        <v>10</v>
      </c>
      <c r="I91" s="19" t="n">
        <v>19800</v>
      </c>
      <c r="J91" s="19" t="n">
        <v>22000</v>
      </c>
      <c r="K91" s="10" t="n">
        <v>1100</v>
      </c>
      <c r="L91" s="10" t="n">
        <v>1308</v>
      </c>
      <c r="M91" s="10" t="n">
        <v>32</v>
      </c>
      <c r="N91" s="11" t="n">
        <v>9.5</v>
      </c>
      <c r="O91" s="18" t="s">
        <v>56</v>
      </c>
    </row>
    <row r="92" customFormat="false" ht="15" hidden="false" customHeight="false" outlineLevel="0" collapsed="false">
      <c r="A92" s="18" t="n">
        <v>135760031</v>
      </c>
      <c r="B92" s="10" t="n">
        <v>470</v>
      </c>
      <c r="C92" s="18" t="s">
        <v>43</v>
      </c>
      <c r="D92" s="9" t="s">
        <v>1030</v>
      </c>
      <c r="E92" s="9" t="s">
        <v>1031</v>
      </c>
      <c r="F92" s="9" t="s">
        <v>12</v>
      </c>
      <c r="G92" s="10" t="n">
        <v>2024</v>
      </c>
      <c r="H92" s="10" t="n">
        <v>10</v>
      </c>
      <c r="I92" s="19" t="n">
        <v>20700</v>
      </c>
      <c r="J92" s="19" t="n">
        <v>23000</v>
      </c>
      <c r="K92" s="10" t="n">
        <v>1150</v>
      </c>
      <c r="L92" s="10" t="n">
        <v>16704</v>
      </c>
      <c r="M92" s="10" t="n">
        <v>59</v>
      </c>
      <c r="N92" s="11" t="n">
        <v>9.7</v>
      </c>
      <c r="O92" s="18" t="s">
        <v>46</v>
      </c>
    </row>
    <row r="93" customFormat="false" ht="15" hidden="false" customHeight="false" outlineLevel="0" collapsed="false">
      <c r="A93" s="18" t="n">
        <v>126970158</v>
      </c>
      <c r="B93" s="10" t="n">
        <v>482</v>
      </c>
      <c r="C93" s="18" t="s">
        <v>43</v>
      </c>
      <c r="D93" s="9" t="s">
        <v>1055</v>
      </c>
      <c r="E93" s="9" t="s">
        <v>1056</v>
      </c>
      <c r="F93" s="9" t="s">
        <v>12</v>
      </c>
      <c r="G93" s="10" t="n">
        <v>2024</v>
      </c>
      <c r="H93" s="10" t="n">
        <v>10</v>
      </c>
      <c r="I93" s="19" t="n">
        <v>16200</v>
      </c>
      <c r="J93" s="19" t="n">
        <v>18000</v>
      </c>
      <c r="K93" s="10" t="n">
        <v>900</v>
      </c>
      <c r="L93" s="10" t="n">
        <v>1278</v>
      </c>
      <c r="M93" s="10" t="n">
        <v>36</v>
      </c>
      <c r="N93" s="11" t="n">
        <v>9.7</v>
      </c>
      <c r="O93" s="18" t="s">
        <v>56</v>
      </c>
    </row>
    <row r="94" customFormat="false" ht="15" hidden="false" customHeight="false" outlineLevel="0" collapsed="false">
      <c r="A94" s="18" t="n">
        <v>126805136</v>
      </c>
      <c r="B94" s="10" t="n">
        <v>484</v>
      </c>
      <c r="C94" s="18" t="s">
        <v>43</v>
      </c>
      <c r="D94" s="9" t="s">
        <v>1059</v>
      </c>
      <c r="E94" s="9" t="s">
        <v>1060</v>
      </c>
      <c r="F94" s="9" t="s">
        <v>12</v>
      </c>
      <c r="G94" s="10" t="n">
        <v>2024</v>
      </c>
      <c r="H94" s="10" t="n">
        <v>10</v>
      </c>
      <c r="I94" s="19" t="n">
        <v>17820</v>
      </c>
      <c r="J94" s="19" t="n">
        <v>19800</v>
      </c>
      <c r="K94" s="10" t="n">
        <v>990</v>
      </c>
      <c r="L94" s="10" t="n">
        <v>1542</v>
      </c>
      <c r="M94" s="10" t="n">
        <v>202</v>
      </c>
      <c r="N94" s="11" t="n">
        <v>9.8</v>
      </c>
      <c r="O94" s="18" t="s">
        <v>46</v>
      </c>
    </row>
    <row r="95" customFormat="false" ht="15" hidden="false" customHeight="false" outlineLevel="0" collapsed="false">
      <c r="A95" s="18" t="n">
        <v>126804246</v>
      </c>
      <c r="B95" s="10" t="n">
        <v>485</v>
      </c>
      <c r="C95" s="18" t="s">
        <v>43</v>
      </c>
      <c r="D95" s="9" t="s">
        <v>1061</v>
      </c>
      <c r="E95" s="9" t="s">
        <v>1062</v>
      </c>
      <c r="F95" s="9" t="s">
        <v>12</v>
      </c>
      <c r="G95" s="10" t="n">
        <v>2024</v>
      </c>
      <c r="H95" s="10" t="n">
        <v>10</v>
      </c>
      <c r="I95" s="19" t="n">
        <v>27000</v>
      </c>
      <c r="J95" s="19" t="n">
        <v>30000</v>
      </c>
      <c r="K95" s="10" t="n">
        <v>1500</v>
      </c>
      <c r="L95" s="10" t="n">
        <v>4062</v>
      </c>
      <c r="M95" s="10" t="n">
        <v>37</v>
      </c>
      <c r="N95" s="11" t="n">
        <v>9.7</v>
      </c>
      <c r="O95" s="18" t="s">
        <v>46</v>
      </c>
    </row>
    <row r="96" customFormat="false" ht="15" hidden="false" customHeight="false" outlineLevel="0" collapsed="false">
      <c r="A96" s="18" t="n">
        <v>125709726</v>
      </c>
      <c r="B96" s="10" t="n">
        <v>493</v>
      </c>
      <c r="C96" s="18" t="s">
        <v>43</v>
      </c>
      <c r="D96" s="9" t="s">
        <v>1077</v>
      </c>
      <c r="E96" s="9" t="s">
        <v>667</v>
      </c>
      <c r="F96" s="9" t="s">
        <v>12</v>
      </c>
      <c r="G96" s="10" t="n">
        <v>2024</v>
      </c>
      <c r="H96" s="10" t="n">
        <v>10</v>
      </c>
      <c r="I96" s="19" t="n">
        <v>18900</v>
      </c>
      <c r="J96" s="19" t="n">
        <v>21000</v>
      </c>
      <c r="K96" s="10" t="n">
        <v>1050</v>
      </c>
      <c r="L96" s="10" t="n">
        <v>876</v>
      </c>
      <c r="M96" s="10" t="n">
        <v>29</v>
      </c>
      <c r="N96" s="11" t="n">
        <v>9.9</v>
      </c>
      <c r="O96" s="18" t="s">
        <v>46</v>
      </c>
    </row>
    <row r="97" customFormat="false" ht="15" hidden="false" customHeight="false" outlineLevel="0" collapsed="false">
      <c r="A97" s="18" t="n">
        <v>125131637</v>
      </c>
      <c r="B97" s="10" t="n">
        <v>496</v>
      </c>
      <c r="C97" s="18" t="s">
        <v>43</v>
      </c>
      <c r="D97" s="9" t="s">
        <v>1082</v>
      </c>
      <c r="E97" s="9" t="s">
        <v>1083</v>
      </c>
      <c r="F97" s="9" t="s">
        <v>12</v>
      </c>
      <c r="G97" s="10" t="n">
        <v>2024</v>
      </c>
      <c r="H97" s="10" t="n">
        <v>10</v>
      </c>
      <c r="I97" s="19" t="n">
        <v>26100</v>
      </c>
      <c r="J97" s="19" t="n">
        <v>29000</v>
      </c>
      <c r="K97" s="10" t="n">
        <v>1450</v>
      </c>
      <c r="L97" s="10" t="n">
        <v>3204</v>
      </c>
      <c r="M97" s="10" t="n">
        <v>30</v>
      </c>
      <c r="N97" s="11" t="n">
        <v>9.7</v>
      </c>
      <c r="O97" s="18" t="s">
        <v>56</v>
      </c>
    </row>
    <row r="98" customFormat="false" ht="15" hidden="false" customHeight="false" outlineLevel="0" collapsed="false">
      <c r="A98" s="18" t="n">
        <v>122109062</v>
      </c>
      <c r="B98" s="10" t="n">
        <v>504</v>
      </c>
      <c r="C98" s="18" t="s">
        <v>43</v>
      </c>
      <c r="D98" s="9" t="s">
        <v>1099</v>
      </c>
      <c r="E98" s="9" t="s">
        <v>1100</v>
      </c>
      <c r="F98" s="9" t="s">
        <v>12</v>
      </c>
      <c r="G98" s="10" t="n">
        <v>2023</v>
      </c>
      <c r="H98" s="10" t="n">
        <v>10</v>
      </c>
      <c r="I98" s="19" t="n">
        <v>26100</v>
      </c>
      <c r="J98" s="19" t="n">
        <v>29000</v>
      </c>
      <c r="K98" s="10" t="n">
        <v>1450</v>
      </c>
      <c r="L98" s="10" t="n">
        <v>882</v>
      </c>
      <c r="M98" s="10" t="n">
        <v>25</v>
      </c>
      <c r="N98" s="11" t="n">
        <v>9.8</v>
      </c>
      <c r="O98" s="18" t="s">
        <v>46</v>
      </c>
    </row>
    <row r="99" customFormat="false" ht="15" hidden="false" customHeight="false" outlineLevel="0" collapsed="false">
      <c r="A99" s="18" t="n">
        <v>119149301</v>
      </c>
      <c r="B99" s="10" t="n">
        <v>512</v>
      </c>
      <c r="C99" s="18" t="s">
        <v>43</v>
      </c>
      <c r="D99" s="9" t="s">
        <v>1116</v>
      </c>
      <c r="E99" s="9" t="s">
        <v>1117</v>
      </c>
      <c r="F99" s="9" t="s">
        <v>12</v>
      </c>
      <c r="G99" s="10" t="n">
        <v>2023</v>
      </c>
      <c r="H99" s="10" t="n">
        <v>10</v>
      </c>
      <c r="I99" s="19" t="n">
        <v>42300</v>
      </c>
      <c r="J99" s="19" t="n">
        <v>47000</v>
      </c>
      <c r="K99" s="10" t="n">
        <v>2350</v>
      </c>
      <c r="L99" s="10" t="n">
        <v>2220</v>
      </c>
      <c r="M99" s="10" t="n">
        <v>20</v>
      </c>
      <c r="N99" s="11" t="n">
        <v>10</v>
      </c>
      <c r="O99" s="18" t="s">
        <v>46</v>
      </c>
    </row>
    <row r="100" customFormat="false" ht="15" hidden="false" customHeight="false" outlineLevel="0" collapsed="false">
      <c r="A100" s="18" t="n">
        <v>118523424</v>
      </c>
      <c r="B100" s="10" t="n">
        <v>513</v>
      </c>
      <c r="C100" s="18" t="s">
        <v>43</v>
      </c>
      <c r="D100" s="9" t="s">
        <v>1118</v>
      </c>
      <c r="E100" s="9" t="s">
        <v>1119</v>
      </c>
      <c r="F100" s="9" t="s">
        <v>12</v>
      </c>
      <c r="G100" s="10" t="n">
        <v>2023</v>
      </c>
      <c r="H100" s="10" t="n">
        <v>10</v>
      </c>
      <c r="I100" s="19" t="n">
        <v>35100</v>
      </c>
      <c r="J100" s="19" t="n">
        <v>39000</v>
      </c>
      <c r="K100" s="10" t="n">
        <v>1950</v>
      </c>
      <c r="L100" s="10" t="n">
        <v>2148</v>
      </c>
      <c r="M100" s="10" t="n">
        <v>31</v>
      </c>
      <c r="N100" s="11" t="n">
        <v>8.7</v>
      </c>
      <c r="O100" s="18" t="s">
        <v>56</v>
      </c>
    </row>
    <row r="101" customFormat="false" ht="15" hidden="false" customHeight="false" outlineLevel="0" collapsed="false">
      <c r="A101" s="18" t="n">
        <v>116967878</v>
      </c>
      <c r="B101" s="10" t="n">
        <v>518</v>
      </c>
      <c r="C101" s="18" t="s">
        <v>43</v>
      </c>
      <c r="D101" s="9" t="s">
        <v>1129</v>
      </c>
      <c r="E101" s="9" t="s">
        <v>333</v>
      </c>
      <c r="F101" s="9" t="s">
        <v>12</v>
      </c>
      <c r="G101" s="10" t="n">
        <v>2023</v>
      </c>
      <c r="H101" s="10" t="n">
        <v>10</v>
      </c>
      <c r="I101" s="19" t="n">
        <v>38700</v>
      </c>
      <c r="J101" s="19" t="n">
        <v>43000</v>
      </c>
      <c r="K101" s="10" t="n">
        <v>2150</v>
      </c>
      <c r="L101" s="10" t="n">
        <v>978</v>
      </c>
      <c r="M101" s="10" t="n">
        <v>18</v>
      </c>
      <c r="N101" s="11" t="n">
        <v>9.8</v>
      </c>
      <c r="O101" s="18" t="s">
        <v>46</v>
      </c>
    </row>
    <row r="102" customFormat="false" ht="15" hidden="false" customHeight="false" outlineLevel="0" collapsed="false">
      <c r="A102" s="18" t="n">
        <v>116746081</v>
      </c>
      <c r="B102" s="10" t="n">
        <v>519</v>
      </c>
      <c r="C102" s="18" t="s">
        <v>43</v>
      </c>
      <c r="D102" s="9" t="s">
        <v>1130</v>
      </c>
      <c r="E102" s="9" t="s">
        <v>1131</v>
      </c>
      <c r="F102" s="9" t="s">
        <v>12</v>
      </c>
      <c r="G102" s="10" t="n">
        <v>2023</v>
      </c>
      <c r="H102" s="10" t="n">
        <v>10</v>
      </c>
      <c r="I102" s="19" t="n">
        <v>20700</v>
      </c>
      <c r="J102" s="19" t="n">
        <v>23000</v>
      </c>
      <c r="K102" s="10" t="n">
        <v>1150</v>
      </c>
      <c r="L102" s="10" t="n">
        <v>1476</v>
      </c>
      <c r="M102" s="10" t="n">
        <v>33</v>
      </c>
      <c r="N102" s="11" t="n">
        <v>10</v>
      </c>
      <c r="O102" s="18" t="s">
        <v>46</v>
      </c>
    </row>
    <row r="103" customFormat="false" ht="15" hidden="false" customHeight="false" outlineLevel="0" collapsed="false">
      <c r="A103" s="18" t="n">
        <v>111362116</v>
      </c>
      <c r="B103" s="10" t="n">
        <v>529</v>
      </c>
      <c r="C103" s="18" t="s">
        <v>43</v>
      </c>
      <c r="D103" s="9" t="s">
        <v>1152</v>
      </c>
      <c r="E103" s="9" t="s">
        <v>713</v>
      </c>
      <c r="F103" s="9" t="s">
        <v>12</v>
      </c>
      <c r="G103" s="10" t="n">
        <v>2022</v>
      </c>
      <c r="H103" s="10" t="n">
        <v>10</v>
      </c>
      <c r="I103" s="19" t="n">
        <v>30600</v>
      </c>
      <c r="J103" s="19" t="n">
        <v>34000</v>
      </c>
      <c r="K103" s="10" t="n">
        <v>1700</v>
      </c>
      <c r="L103" s="10" t="n">
        <v>2922</v>
      </c>
      <c r="M103" s="10" t="n">
        <v>41</v>
      </c>
      <c r="N103" s="11" t="n">
        <v>9.8</v>
      </c>
      <c r="O103" s="18" t="s">
        <v>46</v>
      </c>
    </row>
    <row r="104" customFormat="false" ht="15" hidden="false" customHeight="false" outlineLevel="0" collapsed="false">
      <c r="A104" s="18" t="n">
        <v>109182479</v>
      </c>
      <c r="B104" s="10" t="n">
        <v>533</v>
      </c>
      <c r="C104" s="18" t="s">
        <v>43</v>
      </c>
      <c r="D104" s="9" t="s">
        <v>1160</v>
      </c>
      <c r="E104" s="9" t="s">
        <v>1161</v>
      </c>
      <c r="F104" s="9" t="s">
        <v>12</v>
      </c>
      <c r="G104" s="10" t="n">
        <v>2022</v>
      </c>
      <c r="H104" s="10" t="n">
        <v>10</v>
      </c>
      <c r="I104" s="19" t="n">
        <v>40500</v>
      </c>
      <c r="J104" s="19" t="n">
        <v>45000</v>
      </c>
      <c r="K104" s="10" t="n">
        <v>2250</v>
      </c>
      <c r="L104" s="10" t="n">
        <v>1314</v>
      </c>
      <c r="M104" s="10" t="n">
        <v>40</v>
      </c>
      <c r="N104" s="11" t="n">
        <v>9.3</v>
      </c>
      <c r="O104" s="18" t="s">
        <v>46</v>
      </c>
    </row>
    <row r="105" customFormat="false" ht="15" hidden="false" customHeight="false" outlineLevel="0" collapsed="false">
      <c r="A105" s="18" t="n">
        <v>108192370</v>
      </c>
      <c r="B105" s="10" t="n">
        <v>535</v>
      </c>
      <c r="C105" s="18" t="s">
        <v>43</v>
      </c>
      <c r="D105" s="9" t="s">
        <v>1164</v>
      </c>
      <c r="E105" s="9" t="s">
        <v>1165</v>
      </c>
      <c r="F105" s="9" t="s">
        <v>12</v>
      </c>
      <c r="G105" s="10" t="n">
        <v>2022</v>
      </c>
      <c r="H105" s="10" t="n">
        <v>10</v>
      </c>
      <c r="I105" s="19" t="n">
        <v>32400</v>
      </c>
      <c r="J105" s="19" t="n">
        <v>36000</v>
      </c>
      <c r="K105" s="10" t="n">
        <v>1800</v>
      </c>
      <c r="L105" s="10" t="n">
        <v>1830</v>
      </c>
      <c r="M105" s="10" t="n">
        <v>62</v>
      </c>
      <c r="N105" s="11" t="n">
        <v>9.5</v>
      </c>
      <c r="O105" s="18" t="s">
        <v>46</v>
      </c>
    </row>
    <row r="106" customFormat="false" ht="15" hidden="false" customHeight="false" outlineLevel="0" collapsed="false">
      <c r="A106" s="18" t="n">
        <v>101889359</v>
      </c>
      <c r="B106" s="10" t="n">
        <v>549</v>
      </c>
      <c r="C106" s="18" t="s">
        <v>43</v>
      </c>
      <c r="D106" s="9" t="s">
        <v>1189</v>
      </c>
      <c r="E106" s="9" t="s">
        <v>1190</v>
      </c>
      <c r="F106" s="9" t="s">
        <v>12</v>
      </c>
      <c r="G106" s="10" t="n">
        <v>2021</v>
      </c>
      <c r="H106" s="10" t="n">
        <v>10</v>
      </c>
      <c r="I106" s="19" t="n">
        <v>16200</v>
      </c>
      <c r="J106" s="19" t="n">
        <v>18000</v>
      </c>
      <c r="K106" s="10" t="n">
        <v>900</v>
      </c>
      <c r="L106" s="10" t="n">
        <v>144</v>
      </c>
      <c r="M106" s="10" t="n">
        <v>8</v>
      </c>
      <c r="N106" s="11" t="n">
        <v>9.3</v>
      </c>
      <c r="O106" s="18" t="s">
        <v>56</v>
      </c>
    </row>
    <row r="107" customFormat="false" ht="15" hidden="false" customHeight="false" outlineLevel="0" collapsed="false">
      <c r="A107" s="18" t="n">
        <v>96234546</v>
      </c>
      <c r="B107" s="10" t="n">
        <v>553</v>
      </c>
      <c r="C107" s="18" t="s">
        <v>43</v>
      </c>
      <c r="D107" s="9" t="s">
        <v>1198</v>
      </c>
      <c r="E107" s="9" t="s">
        <v>118</v>
      </c>
      <c r="F107" s="9" t="s">
        <v>12</v>
      </c>
      <c r="G107" s="10" t="n">
        <v>2021</v>
      </c>
      <c r="H107" s="10" t="n">
        <v>10</v>
      </c>
      <c r="I107" s="19" t="n">
        <v>21600</v>
      </c>
      <c r="J107" s="19" t="n">
        <v>24000</v>
      </c>
      <c r="K107" s="10" t="n">
        <v>1200</v>
      </c>
      <c r="L107" s="10" t="n">
        <v>1092</v>
      </c>
      <c r="M107" s="10" t="n">
        <v>38</v>
      </c>
      <c r="N107" s="11" t="n">
        <v>9.6</v>
      </c>
      <c r="O107" s="18" t="s">
        <v>46</v>
      </c>
    </row>
    <row r="108" customFormat="false" ht="15" hidden="false" customHeight="false" outlineLevel="0" collapsed="false">
      <c r="A108" s="18" t="n">
        <v>95343845</v>
      </c>
      <c r="B108" s="10" t="n">
        <v>557</v>
      </c>
      <c r="C108" s="18" t="s">
        <v>43</v>
      </c>
      <c r="D108" s="9" t="s">
        <v>1205</v>
      </c>
      <c r="E108" s="9" t="s">
        <v>285</v>
      </c>
      <c r="F108" s="9" t="s">
        <v>12</v>
      </c>
      <c r="G108" s="10" t="n">
        <v>2020</v>
      </c>
      <c r="H108" s="10" t="n">
        <v>10</v>
      </c>
      <c r="I108" s="19" t="n">
        <v>34200</v>
      </c>
      <c r="J108" s="19" t="n">
        <v>38000</v>
      </c>
      <c r="K108" s="10" t="n">
        <v>1900</v>
      </c>
      <c r="L108" s="10" t="n">
        <v>2052</v>
      </c>
      <c r="M108" s="10" t="n">
        <v>31</v>
      </c>
      <c r="N108" s="11" t="n">
        <v>9.7</v>
      </c>
      <c r="O108" s="18" t="s">
        <v>46</v>
      </c>
    </row>
    <row r="109" customFormat="false" ht="15" hidden="false" customHeight="false" outlineLevel="0" collapsed="false">
      <c r="A109" s="18" t="n">
        <v>72173703</v>
      </c>
      <c r="B109" s="10" t="n">
        <v>564</v>
      </c>
      <c r="C109" s="18" t="s">
        <v>43</v>
      </c>
      <c r="D109" s="9" t="s">
        <v>1218</v>
      </c>
      <c r="E109" s="9" t="s">
        <v>285</v>
      </c>
      <c r="F109" s="9" t="s">
        <v>12</v>
      </c>
      <c r="G109" s="10" t="n">
        <v>2019</v>
      </c>
      <c r="H109" s="10" t="n">
        <v>10</v>
      </c>
      <c r="I109" s="19" t="n">
        <v>26100</v>
      </c>
      <c r="J109" s="19" t="n">
        <v>29000</v>
      </c>
      <c r="K109" s="10" t="n">
        <v>1450</v>
      </c>
      <c r="L109" s="10" t="n">
        <v>3648</v>
      </c>
      <c r="M109" s="10" t="n">
        <v>46</v>
      </c>
      <c r="N109" s="11" t="n">
        <v>9.9</v>
      </c>
      <c r="O109" s="18" t="s">
        <v>46</v>
      </c>
    </row>
    <row r="110" customFormat="false" ht="15" hidden="false" customHeight="false" outlineLevel="0" collapsed="false">
      <c r="A110" s="18" t="n">
        <v>22380570</v>
      </c>
      <c r="B110" s="10" t="n">
        <v>573</v>
      </c>
      <c r="C110" s="18" t="s">
        <v>43</v>
      </c>
      <c r="D110" s="9" t="s">
        <v>1236</v>
      </c>
      <c r="E110" s="9" t="s">
        <v>1237</v>
      </c>
      <c r="F110" s="9" t="s">
        <v>12</v>
      </c>
      <c r="G110" s="10" t="n">
        <v>2015</v>
      </c>
      <c r="H110" s="10" t="n">
        <v>10</v>
      </c>
      <c r="I110" s="19" t="n">
        <v>13500</v>
      </c>
      <c r="J110" s="19" t="n">
        <v>15000</v>
      </c>
      <c r="K110" s="10" t="n">
        <v>750</v>
      </c>
      <c r="L110" s="10" t="n">
        <v>510</v>
      </c>
      <c r="M110" s="10" t="n">
        <v>40</v>
      </c>
      <c r="N110" s="11" t="n">
        <v>8.8</v>
      </c>
      <c r="O110" s="18" t="s">
        <v>56</v>
      </c>
    </row>
    <row r="111" customFormat="false" ht="15" hidden="false" customHeight="false" outlineLevel="0" collapsed="false">
      <c r="A111" s="18" t="n">
        <v>142954897</v>
      </c>
      <c r="B111" s="10" t="n">
        <v>587</v>
      </c>
      <c r="C111" s="18" t="s">
        <v>43</v>
      </c>
      <c r="D111" s="15" t="s">
        <v>1270</v>
      </c>
      <c r="E111" s="9" t="s">
        <v>1271</v>
      </c>
      <c r="F111" s="9" t="s">
        <v>12</v>
      </c>
      <c r="G111" s="10" t="n">
        <v>2025</v>
      </c>
      <c r="H111" s="10" t="n">
        <v>10</v>
      </c>
      <c r="I111" s="19" t="n">
        <v>30600</v>
      </c>
      <c r="J111" s="19" t="n">
        <v>34000</v>
      </c>
      <c r="K111" s="10" t="n">
        <v>1700</v>
      </c>
      <c r="L111" s="10" t="n">
        <v>624</v>
      </c>
      <c r="M111" s="10" t="n">
        <v>7</v>
      </c>
      <c r="N111" s="11" t="n">
        <v>10</v>
      </c>
      <c r="O111" s="18" t="s">
        <v>56</v>
      </c>
    </row>
    <row r="112" customFormat="false" ht="15" hidden="false" customHeight="false" outlineLevel="0" collapsed="false">
      <c r="A112" s="18" t="n">
        <v>187753976</v>
      </c>
      <c r="B112" s="10" t="n">
        <v>610</v>
      </c>
      <c r="C112" s="18" t="s">
        <v>43</v>
      </c>
      <c r="D112" s="9" t="s">
        <v>1320</v>
      </c>
      <c r="E112" s="9" t="s">
        <v>1321</v>
      </c>
      <c r="F112" s="9" t="s">
        <v>12</v>
      </c>
      <c r="G112" s="10" t="n">
        <v>2026</v>
      </c>
      <c r="H112" s="10" t="n">
        <v>10</v>
      </c>
      <c r="I112" s="19" t="n">
        <v>31500</v>
      </c>
      <c r="J112" s="19" t="n">
        <v>35000</v>
      </c>
      <c r="K112" s="10" t="n">
        <v>1750</v>
      </c>
      <c r="L112" s="10" t="n">
        <v>504</v>
      </c>
      <c r="M112" s="10" t="n">
        <v>9</v>
      </c>
      <c r="N112" s="11" t="n">
        <v>10</v>
      </c>
      <c r="O112" s="18" t="s">
        <v>56</v>
      </c>
    </row>
    <row r="113" customFormat="false" ht="15" hidden="false" customHeight="false" outlineLevel="0" collapsed="false">
      <c r="A113" s="18" t="n">
        <v>183540578</v>
      </c>
      <c r="B113" s="10" t="n">
        <v>634</v>
      </c>
      <c r="C113" s="18" t="s">
        <v>43</v>
      </c>
      <c r="D113" s="9" t="s">
        <v>1368</v>
      </c>
      <c r="E113" s="9" t="s">
        <v>1369</v>
      </c>
      <c r="F113" s="9" t="s">
        <v>12</v>
      </c>
      <c r="G113" s="10" t="n">
        <v>2026</v>
      </c>
      <c r="H113" s="10" t="n">
        <v>10</v>
      </c>
      <c r="I113" s="19" t="n">
        <v>41400</v>
      </c>
      <c r="J113" s="19" t="n">
        <v>46000</v>
      </c>
      <c r="K113" s="10" t="n">
        <v>2300</v>
      </c>
      <c r="L113" s="10" t="n">
        <v>372</v>
      </c>
      <c r="M113" s="10" t="n">
        <v>9</v>
      </c>
      <c r="N113" s="11" t="n">
        <v>8.7</v>
      </c>
      <c r="O113" s="18" t="s">
        <v>56</v>
      </c>
    </row>
    <row r="114" customFormat="false" ht="15" hidden="false" customHeight="false" outlineLevel="0" collapsed="false">
      <c r="A114" s="18" t="n">
        <v>181124680</v>
      </c>
      <c r="B114" s="10" t="n">
        <v>651</v>
      </c>
      <c r="C114" s="18" t="s">
        <v>43</v>
      </c>
      <c r="D114" s="9" t="s">
        <v>1401</v>
      </c>
      <c r="E114" s="9" t="s">
        <v>487</v>
      </c>
      <c r="F114" s="9" t="s">
        <v>12</v>
      </c>
      <c r="G114" s="10" t="n">
        <v>2026</v>
      </c>
      <c r="H114" s="10" t="n">
        <v>10</v>
      </c>
      <c r="I114" s="19" t="n">
        <v>31500</v>
      </c>
      <c r="J114" s="19" t="n">
        <v>35000</v>
      </c>
      <c r="K114" s="10" t="n">
        <v>1750</v>
      </c>
      <c r="L114" s="10" t="n">
        <v>678</v>
      </c>
      <c r="M114" s="10" t="n">
        <v>4</v>
      </c>
      <c r="N114" s="11" t="n">
        <v>10</v>
      </c>
      <c r="O114" s="18" t="s">
        <v>56</v>
      </c>
    </row>
    <row r="115" customFormat="false" ht="15" hidden="false" customHeight="false" outlineLevel="0" collapsed="false">
      <c r="A115" s="18" t="n">
        <v>179710994</v>
      </c>
      <c r="B115" s="10" t="n">
        <v>661</v>
      </c>
      <c r="C115" s="18" t="s">
        <v>43</v>
      </c>
      <c r="D115" s="9" t="s">
        <v>1422</v>
      </c>
      <c r="E115" s="9" t="s">
        <v>856</v>
      </c>
      <c r="F115" s="9" t="s">
        <v>12</v>
      </c>
      <c r="G115" s="10" t="n">
        <v>2026</v>
      </c>
      <c r="H115" s="10" t="n">
        <v>10</v>
      </c>
      <c r="I115" s="19" t="n">
        <v>19800</v>
      </c>
      <c r="J115" s="19" t="n">
        <v>22000</v>
      </c>
      <c r="K115" s="10" t="n">
        <v>1100</v>
      </c>
      <c r="L115" s="10" t="n">
        <v>1062</v>
      </c>
      <c r="M115" s="10" t="n">
        <v>17</v>
      </c>
      <c r="N115" s="11" t="n">
        <v>9.8</v>
      </c>
      <c r="O115" s="18" t="s">
        <v>56</v>
      </c>
    </row>
    <row r="116" customFormat="false" ht="15" hidden="false" customHeight="false" outlineLevel="0" collapsed="false">
      <c r="A116" s="18" t="n">
        <v>175903528</v>
      </c>
      <c r="B116" s="10" t="n">
        <v>690</v>
      </c>
      <c r="C116" s="18" t="s">
        <v>43</v>
      </c>
      <c r="D116" s="9" t="s">
        <v>1477</v>
      </c>
      <c r="E116" s="9" t="s">
        <v>1478</v>
      </c>
      <c r="F116" s="9" t="s">
        <v>12</v>
      </c>
      <c r="G116" s="10" t="n">
        <v>2026</v>
      </c>
      <c r="H116" s="10" t="n">
        <v>10</v>
      </c>
      <c r="I116" s="19" t="n">
        <v>31500</v>
      </c>
      <c r="J116" s="19" t="n">
        <v>35000</v>
      </c>
      <c r="K116" s="10" t="n">
        <v>1750</v>
      </c>
      <c r="L116" s="10" t="n">
        <v>120</v>
      </c>
      <c r="M116" s="10" t="n">
        <v>3</v>
      </c>
      <c r="N116" s="11" t="n">
        <v>9.3</v>
      </c>
      <c r="O116" s="18" t="s">
        <v>56</v>
      </c>
    </row>
    <row r="117" customFormat="false" ht="15" hidden="false" customHeight="false" outlineLevel="0" collapsed="false">
      <c r="A117" s="18" t="n">
        <v>175902524</v>
      </c>
      <c r="B117" s="10" t="n">
        <v>691</v>
      </c>
      <c r="C117" s="18" t="s">
        <v>43</v>
      </c>
      <c r="D117" s="15" t="s">
        <v>1479</v>
      </c>
      <c r="E117" s="9" t="s">
        <v>1480</v>
      </c>
      <c r="F117" s="9" t="s">
        <v>12</v>
      </c>
      <c r="G117" s="10" t="n">
        <v>2026</v>
      </c>
      <c r="H117" s="10" t="n">
        <v>10</v>
      </c>
      <c r="I117" s="19" t="n">
        <v>23400</v>
      </c>
      <c r="J117" s="19" t="n">
        <v>26000</v>
      </c>
      <c r="K117" s="10" t="n">
        <v>1300</v>
      </c>
      <c r="L117" s="10" t="n">
        <v>2706</v>
      </c>
      <c r="M117" s="10" t="n">
        <v>65</v>
      </c>
      <c r="N117" s="11" t="n">
        <v>10</v>
      </c>
      <c r="O117" s="18" t="s">
        <v>56</v>
      </c>
    </row>
    <row r="118" customFormat="false" ht="15" hidden="false" customHeight="false" outlineLevel="0" collapsed="false">
      <c r="A118" s="18" t="n">
        <v>169407614</v>
      </c>
      <c r="B118" s="10" t="n">
        <v>712</v>
      </c>
      <c r="C118" s="18" t="s">
        <v>43</v>
      </c>
      <c r="D118" s="15" t="s">
        <v>1522</v>
      </c>
      <c r="E118" s="9" t="s">
        <v>1523</v>
      </c>
      <c r="F118" s="9" t="s">
        <v>12</v>
      </c>
      <c r="G118" s="10" t="n">
        <v>2025</v>
      </c>
      <c r="H118" s="10" t="n">
        <v>10</v>
      </c>
      <c r="I118" s="19" t="n">
        <v>29700</v>
      </c>
      <c r="J118" s="19" t="n">
        <v>33000</v>
      </c>
      <c r="K118" s="10" t="n">
        <v>1650</v>
      </c>
      <c r="L118" s="10" t="n">
        <v>2310</v>
      </c>
      <c r="M118" s="10" t="n">
        <v>19</v>
      </c>
      <c r="N118" s="11" t="n">
        <v>10</v>
      </c>
      <c r="O118" s="18" t="s">
        <v>56</v>
      </c>
    </row>
    <row r="119" customFormat="false" ht="15" hidden="false" customHeight="false" outlineLevel="0" collapsed="false">
      <c r="A119" s="18" t="n">
        <v>167694445</v>
      </c>
      <c r="B119" s="10" t="n">
        <v>719</v>
      </c>
      <c r="C119" s="18" t="s">
        <v>43</v>
      </c>
      <c r="D119" s="9" t="s">
        <v>1535</v>
      </c>
      <c r="E119" s="9" t="s">
        <v>825</v>
      </c>
      <c r="F119" s="9" t="s">
        <v>12</v>
      </c>
      <c r="G119" s="10" t="n">
        <v>2025</v>
      </c>
      <c r="H119" s="10" t="n">
        <v>10</v>
      </c>
      <c r="I119" s="19" t="n">
        <v>22500</v>
      </c>
      <c r="J119" s="19" t="n">
        <v>25000</v>
      </c>
      <c r="K119" s="10" t="n">
        <v>1250</v>
      </c>
      <c r="L119" s="10" t="n">
        <v>1866</v>
      </c>
      <c r="M119" s="10" t="n">
        <v>12</v>
      </c>
      <c r="N119" s="11" t="n">
        <v>10</v>
      </c>
      <c r="O119" s="18" t="s">
        <v>56</v>
      </c>
    </row>
    <row r="120" customFormat="false" ht="15" hidden="false" customHeight="false" outlineLevel="0" collapsed="false">
      <c r="A120" s="18" t="n">
        <v>167466393</v>
      </c>
      <c r="B120" s="10" t="n">
        <v>726</v>
      </c>
      <c r="C120" s="18" t="s">
        <v>43</v>
      </c>
      <c r="D120" s="9" t="s">
        <v>1549</v>
      </c>
      <c r="E120" s="9" t="s">
        <v>713</v>
      </c>
      <c r="F120" s="9" t="s">
        <v>12</v>
      </c>
      <c r="G120" s="10" t="n">
        <v>2025</v>
      </c>
      <c r="H120" s="10" t="n">
        <v>10</v>
      </c>
      <c r="I120" s="19" t="n">
        <v>27000</v>
      </c>
      <c r="J120" s="19" t="n">
        <v>30000</v>
      </c>
      <c r="K120" s="10" t="n">
        <v>1500</v>
      </c>
      <c r="L120" s="10" t="n">
        <v>738</v>
      </c>
      <c r="M120" s="10" t="n">
        <v>20</v>
      </c>
      <c r="N120" s="11" t="n">
        <v>9.4</v>
      </c>
      <c r="O120" s="18" t="s">
        <v>56</v>
      </c>
    </row>
    <row r="121" customFormat="false" ht="15" hidden="false" customHeight="false" outlineLevel="0" collapsed="false">
      <c r="A121" s="18" t="n">
        <v>167431026</v>
      </c>
      <c r="B121" s="10" t="n">
        <v>729</v>
      </c>
      <c r="C121" s="18" t="s">
        <v>43</v>
      </c>
      <c r="D121" s="9" t="s">
        <v>1555</v>
      </c>
      <c r="E121" s="9" t="s">
        <v>1556</v>
      </c>
      <c r="F121" s="9" t="s">
        <v>12</v>
      </c>
      <c r="G121" s="10" t="n">
        <v>2025</v>
      </c>
      <c r="H121" s="10" t="n">
        <v>10</v>
      </c>
      <c r="I121" s="19" t="n">
        <v>38700</v>
      </c>
      <c r="J121" s="19" t="n">
        <v>43000</v>
      </c>
      <c r="K121" s="10" t="n">
        <v>2150</v>
      </c>
      <c r="L121" s="10" t="n">
        <v>1833</v>
      </c>
      <c r="M121" s="10" t="n">
        <v>15</v>
      </c>
      <c r="N121" s="11" t="n">
        <v>9.9</v>
      </c>
      <c r="O121" s="18" t="s">
        <v>56</v>
      </c>
    </row>
    <row r="122" customFormat="false" ht="15" hidden="false" customHeight="false" outlineLevel="0" collapsed="false">
      <c r="A122" s="18" t="n">
        <v>161420414</v>
      </c>
      <c r="B122" s="10" t="n">
        <v>741</v>
      </c>
      <c r="C122" s="18" t="s">
        <v>43</v>
      </c>
      <c r="D122" s="9" t="s">
        <v>1580</v>
      </c>
      <c r="E122" s="9" t="s">
        <v>1581</v>
      </c>
      <c r="F122" s="9" t="s">
        <v>12</v>
      </c>
      <c r="G122" s="10" t="n">
        <v>2025</v>
      </c>
      <c r="H122" s="10" t="n">
        <v>10</v>
      </c>
      <c r="I122" s="19" t="n">
        <v>28800</v>
      </c>
      <c r="J122" s="19" t="n">
        <v>32000</v>
      </c>
      <c r="K122" s="10" t="n">
        <v>1600</v>
      </c>
      <c r="L122" s="10" t="n">
        <v>1710</v>
      </c>
      <c r="M122" s="10" t="n">
        <v>27</v>
      </c>
      <c r="N122" s="11" t="n">
        <v>10</v>
      </c>
      <c r="O122" s="18" t="s">
        <v>56</v>
      </c>
    </row>
    <row r="123" customFormat="false" ht="15" hidden="false" customHeight="false" outlineLevel="0" collapsed="false">
      <c r="A123" s="18" t="n">
        <v>158678739</v>
      </c>
      <c r="B123" s="10" t="n">
        <v>751</v>
      </c>
      <c r="C123" s="18" t="s">
        <v>43</v>
      </c>
      <c r="D123" s="9" t="s">
        <v>1601</v>
      </c>
      <c r="E123" s="9" t="s">
        <v>1602</v>
      </c>
      <c r="F123" s="9" t="s">
        <v>12</v>
      </c>
      <c r="G123" s="10" t="n">
        <v>2025</v>
      </c>
      <c r="H123" s="10" t="n">
        <v>10</v>
      </c>
      <c r="I123" s="19" t="n">
        <v>29700</v>
      </c>
      <c r="J123" s="19" t="n">
        <v>33000</v>
      </c>
      <c r="K123" s="10" t="n">
        <v>1650</v>
      </c>
      <c r="L123" s="10" t="n">
        <v>1002</v>
      </c>
      <c r="M123" s="10" t="n">
        <v>7</v>
      </c>
      <c r="N123" s="11" t="n">
        <v>10</v>
      </c>
      <c r="O123" s="18" t="s">
        <v>56</v>
      </c>
    </row>
    <row r="124" customFormat="false" ht="15" hidden="false" customHeight="false" outlineLevel="0" collapsed="false">
      <c r="A124" s="18" t="n">
        <v>154918142</v>
      </c>
      <c r="B124" s="10" t="n">
        <v>756</v>
      </c>
      <c r="C124" s="18" t="s">
        <v>43</v>
      </c>
      <c r="D124" s="15" t="s">
        <v>1611</v>
      </c>
      <c r="E124" s="9" t="s">
        <v>1612</v>
      </c>
      <c r="F124" s="9" t="s">
        <v>12</v>
      </c>
      <c r="G124" s="10" t="n">
        <v>2025</v>
      </c>
      <c r="H124" s="10" t="n">
        <v>10</v>
      </c>
      <c r="I124" s="19" t="n">
        <v>19800</v>
      </c>
      <c r="J124" s="19" t="n">
        <v>22000</v>
      </c>
      <c r="K124" s="10" t="n">
        <v>1100</v>
      </c>
      <c r="L124" s="10" t="n">
        <v>1782</v>
      </c>
      <c r="M124" s="10" t="n">
        <v>8</v>
      </c>
      <c r="N124" s="11" t="n">
        <v>9.8</v>
      </c>
      <c r="O124" s="18" t="s">
        <v>56</v>
      </c>
    </row>
    <row r="125" customFormat="false" ht="15" hidden="false" customHeight="false" outlineLevel="0" collapsed="false">
      <c r="A125" s="18" t="n">
        <v>154150551</v>
      </c>
      <c r="B125" s="10" t="n">
        <v>763</v>
      </c>
      <c r="C125" s="18" t="s">
        <v>43</v>
      </c>
      <c r="D125" s="9" t="s">
        <v>1625</v>
      </c>
      <c r="E125" s="9" t="s">
        <v>1626</v>
      </c>
      <c r="F125" s="9" t="s">
        <v>12</v>
      </c>
      <c r="G125" s="10" t="n">
        <v>2025</v>
      </c>
      <c r="H125" s="10" t="n">
        <v>10</v>
      </c>
      <c r="I125" s="19" t="n">
        <v>32400</v>
      </c>
      <c r="J125" s="19" t="n">
        <v>36000</v>
      </c>
      <c r="K125" s="10" t="n">
        <v>1800</v>
      </c>
      <c r="L125" s="10" t="n">
        <v>594</v>
      </c>
      <c r="M125" s="10" t="n">
        <v>9</v>
      </c>
      <c r="N125" s="11" t="n">
        <v>10</v>
      </c>
      <c r="O125" s="18" t="s">
        <v>56</v>
      </c>
    </row>
    <row r="126" customFormat="false" ht="15" hidden="false" customHeight="false" outlineLevel="0" collapsed="false">
      <c r="A126" s="18" t="n">
        <v>153613588</v>
      </c>
      <c r="B126" s="10" t="n">
        <v>767</v>
      </c>
      <c r="C126" s="18" t="s">
        <v>43</v>
      </c>
      <c r="D126" s="9" t="s">
        <v>1634</v>
      </c>
      <c r="E126" s="9" t="s">
        <v>1635</v>
      </c>
      <c r="F126" s="9" t="s">
        <v>12</v>
      </c>
      <c r="G126" s="10" t="n">
        <v>2025</v>
      </c>
      <c r="H126" s="10" t="n">
        <v>10</v>
      </c>
      <c r="I126" s="19" t="n">
        <v>33300</v>
      </c>
      <c r="J126" s="19" t="n">
        <v>37000</v>
      </c>
      <c r="K126" s="10" t="n">
        <v>1850</v>
      </c>
      <c r="L126" s="10" t="n">
        <v>1518</v>
      </c>
      <c r="M126" s="10" t="n">
        <v>26</v>
      </c>
      <c r="N126" s="11" t="n">
        <v>9.2</v>
      </c>
      <c r="O126" s="18" t="s">
        <v>56</v>
      </c>
    </row>
    <row r="127" customFormat="false" ht="15" hidden="false" customHeight="false" outlineLevel="0" collapsed="false">
      <c r="A127" s="18" t="n">
        <v>151884453</v>
      </c>
      <c r="B127" s="10" t="n">
        <v>782</v>
      </c>
      <c r="C127" s="18" t="s">
        <v>43</v>
      </c>
      <c r="D127" s="9" t="s">
        <v>1663</v>
      </c>
      <c r="E127" s="9" t="s">
        <v>1664</v>
      </c>
      <c r="F127" s="9" t="s">
        <v>12</v>
      </c>
      <c r="G127" s="10" t="n">
        <v>2025</v>
      </c>
      <c r="H127" s="10" t="n">
        <v>10</v>
      </c>
      <c r="I127" s="19" t="n">
        <v>56700</v>
      </c>
      <c r="J127" s="19" t="n">
        <v>63000</v>
      </c>
      <c r="K127" s="10" t="n">
        <v>3150</v>
      </c>
      <c r="L127" s="10" t="n">
        <v>252</v>
      </c>
      <c r="M127" s="10" t="n">
        <v>9</v>
      </c>
      <c r="N127" s="11" t="n">
        <v>9.6</v>
      </c>
      <c r="O127" s="18" t="s">
        <v>56</v>
      </c>
    </row>
    <row r="128" customFormat="false" ht="15" hidden="false" customHeight="false" outlineLevel="0" collapsed="false">
      <c r="A128" s="18" t="n">
        <v>150011529</v>
      </c>
      <c r="B128" s="10" t="n">
        <v>807</v>
      </c>
      <c r="C128" s="18" t="s">
        <v>43</v>
      </c>
      <c r="D128" s="9" t="s">
        <v>1712</v>
      </c>
      <c r="E128" s="9" t="s">
        <v>1713</v>
      </c>
      <c r="F128" s="9" t="s">
        <v>12</v>
      </c>
      <c r="G128" s="10" t="n">
        <v>2025</v>
      </c>
      <c r="H128" s="10" t="n">
        <v>10</v>
      </c>
      <c r="I128" s="19" t="n">
        <v>23400</v>
      </c>
      <c r="J128" s="19" t="n">
        <v>26000</v>
      </c>
      <c r="K128" s="10" t="n">
        <v>1300</v>
      </c>
      <c r="L128" s="10" t="n">
        <v>3360</v>
      </c>
      <c r="M128" s="10" t="n">
        <v>27</v>
      </c>
      <c r="N128" s="11" t="n">
        <v>9.8</v>
      </c>
      <c r="O128" s="18" t="s">
        <v>56</v>
      </c>
    </row>
    <row r="129" customFormat="false" ht="15" hidden="false" customHeight="false" outlineLevel="0" collapsed="false">
      <c r="A129" s="18" t="n">
        <v>149201698</v>
      </c>
      <c r="B129" s="10" t="n">
        <v>815</v>
      </c>
      <c r="C129" s="18" t="s">
        <v>43</v>
      </c>
      <c r="D129" s="9" t="s">
        <v>1728</v>
      </c>
      <c r="E129" s="9" t="s">
        <v>1729</v>
      </c>
      <c r="F129" s="9" t="s">
        <v>12</v>
      </c>
      <c r="G129" s="10" t="n">
        <v>2025</v>
      </c>
      <c r="H129" s="10" t="n">
        <v>10</v>
      </c>
      <c r="I129" s="19" t="n">
        <v>28800</v>
      </c>
      <c r="J129" s="19" t="n">
        <v>32000</v>
      </c>
      <c r="K129" s="10" t="n">
        <v>1600</v>
      </c>
      <c r="L129" s="10" t="n">
        <v>3036</v>
      </c>
      <c r="M129" s="10" t="n">
        <v>14</v>
      </c>
      <c r="N129" s="11" t="n">
        <v>8.6</v>
      </c>
      <c r="O129" s="18" t="s">
        <v>56</v>
      </c>
    </row>
    <row r="130" customFormat="false" ht="15" hidden="false" customHeight="false" outlineLevel="0" collapsed="false">
      <c r="A130" s="18" t="n">
        <v>148684384</v>
      </c>
      <c r="B130" s="10" t="n">
        <v>817</v>
      </c>
      <c r="C130" s="18" t="s">
        <v>43</v>
      </c>
      <c r="D130" s="15" t="s">
        <v>1732</v>
      </c>
      <c r="E130" s="9" t="s">
        <v>825</v>
      </c>
      <c r="F130" s="9" t="s">
        <v>12</v>
      </c>
      <c r="G130" s="10" t="n">
        <v>2025</v>
      </c>
      <c r="H130" s="10" t="n">
        <v>10</v>
      </c>
      <c r="I130" s="19" t="n">
        <v>25200</v>
      </c>
      <c r="J130" s="19" t="n">
        <v>28000</v>
      </c>
      <c r="K130" s="10" t="n">
        <v>1400</v>
      </c>
      <c r="L130" s="10" t="n">
        <v>1704</v>
      </c>
      <c r="M130" s="10" t="n">
        <v>17</v>
      </c>
      <c r="N130" s="11" t="n">
        <v>9.8</v>
      </c>
      <c r="O130" s="18" t="s">
        <v>56</v>
      </c>
    </row>
    <row r="131" customFormat="false" ht="15" hidden="false" customHeight="false" outlineLevel="0" collapsed="false">
      <c r="A131" s="18" t="n">
        <v>148184184</v>
      </c>
      <c r="B131" s="10" t="n">
        <v>824</v>
      </c>
      <c r="C131" s="18" t="s">
        <v>43</v>
      </c>
      <c r="D131" s="9" t="s">
        <v>1744</v>
      </c>
      <c r="E131" s="9" t="s">
        <v>1745</v>
      </c>
      <c r="F131" s="9" t="s">
        <v>12</v>
      </c>
      <c r="G131" s="10" t="n">
        <v>2025</v>
      </c>
      <c r="H131" s="10" t="n">
        <v>10</v>
      </c>
      <c r="I131" s="19" t="n">
        <v>21600</v>
      </c>
      <c r="J131" s="19" t="n">
        <v>24000</v>
      </c>
      <c r="K131" s="10" t="n">
        <v>1200</v>
      </c>
      <c r="L131" s="10" t="n">
        <v>2130</v>
      </c>
      <c r="M131" s="10" t="n">
        <v>8</v>
      </c>
      <c r="N131" s="11" t="n">
        <v>9.8</v>
      </c>
      <c r="O131" s="18" t="s">
        <v>56</v>
      </c>
    </row>
    <row r="132" customFormat="false" ht="15" hidden="false" customHeight="false" outlineLevel="0" collapsed="false">
      <c r="A132" s="18" t="n">
        <v>148181079</v>
      </c>
      <c r="B132" s="10" t="n">
        <v>825</v>
      </c>
      <c r="C132" s="18" t="s">
        <v>43</v>
      </c>
      <c r="D132" s="9" t="s">
        <v>1746</v>
      </c>
      <c r="E132" s="9" t="s">
        <v>1747</v>
      </c>
      <c r="F132" s="9" t="s">
        <v>12</v>
      </c>
      <c r="G132" s="10" t="n">
        <v>2025</v>
      </c>
      <c r="H132" s="10" t="n">
        <v>10</v>
      </c>
      <c r="I132" s="19" t="n">
        <v>29700</v>
      </c>
      <c r="J132" s="19" t="n">
        <v>33000</v>
      </c>
      <c r="K132" s="10" t="n">
        <v>1650</v>
      </c>
      <c r="L132" s="10" t="n">
        <v>1362</v>
      </c>
      <c r="M132" s="10" t="n">
        <v>8</v>
      </c>
      <c r="N132" s="11" t="n">
        <v>9.8</v>
      </c>
      <c r="O132" s="18" t="s">
        <v>56</v>
      </c>
    </row>
    <row r="133" customFormat="false" ht="15" hidden="false" customHeight="false" outlineLevel="0" collapsed="false">
      <c r="A133" s="18" t="n">
        <v>147852391</v>
      </c>
      <c r="B133" s="10" t="n">
        <v>830</v>
      </c>
      <c r="C133" s="18" t="s">
        <v>43</v>
      </c>
      <c r="D133" s="9" t="s">
        <v>1755</v>
      </c>
      <c r="E133" s="9" t="s">
        <v>1756</v>
      </c>
      <c r="F133" s="9" t="s">
        <v>12</v>
      </c>
      <c r="G133" s="10" t="n">
        <v>2025</v>
      </c>
      <c r="H133" s="10" t="n">
        <v>10</v>
      </c>
      <c r="I133" s="19" t="n">
        <v>23400</v>
      </c>
      <c r="J133" s="19" t="n">
        <v>26000</v>
      </c>
      <c r="K133" s="10" t="n">
        <v>1300</v>
      </c>
      <c r="L133" s="10" t="n">
        <v>900</v>
      </c>
      <c r="M133" s="10" t="n">
        <v>19</v>
      </c>
      <c r="N133" s="11" t="n">
        <v>9.9</v>
      </c>
      <c r="O133" s="18" t="s">
        <v>56</v>
      </c>
    </row>
    <row r="134" customFormat="false" ht="15" hidden="false" customHeight="false" outlineLevel="0" collapsed="false">
      <c r="A134" s="18" t="n">
        <v>147561155</v>
      </c>
      <c r="B134" s="10" t="n">
        <v>836</v>
      </c>
      <c r="C134" s="18" t="s">
        <v>43</v>
      </c>
      <c r="D134" s="9" t="s">
        <v>1767</v>
      </c>
      <c r="E134" s="9" t="s">
        <v>1768</v>
      </c>
      <c r="F134" s="9" t="s">
        <v>12</v>
      </c>
      <c r="G134" s="10" t="n">
        <v>2025</v>
      </c>
      <c r="H134" s="10" t="n">
        <v>10</v>
      </c>
      <c r="I134" s="19" t="n">
        <v>20700</v>
      </c>
      <c r="J134" s="19" t="n">
        <v>23000</v>
      </c>
      <c r="K134" s="10" t="n">
        <v>1150</v>
      </c>
      <c r="L134" s="10" t="n">
        <v>4896</v>
      </c>
      <c r="M134" s="10" t="n">
        <v>34</v>
      </c>
      <c r="N134" s="11" t="n">
        <v>9.8</v>
      </c>
      <c r="O134" s="18" t="s">
        <v>46</v>
      </c>
    </row>
    <row r="135" customFormat="false" ht="15" hidden="false" customHeight="false" outlineLevel="0" collapsed="false">
      <c r="A135" s="18" t="n">
        <v>146705191</v>
      </c>
      <c r="B135" s="10" t="n">
        <v>852</v>
      </c>
      <c r="C135" s="18" t="s">
        <v>43</v>
      </c>
      <c r="D135" s="15" t="s">
        <v>1796</v>
      </c>
      <c r="E135" s="9" t="s">
        <v>1797</v>
      </c>
      <c r="F135" s="9" t="s">
        <v>12</v>
      </c>
      <c r="G135" s="10" t="n">
        <v>2025</v>
      </c>
      <c r="H135" s="10" t="n">
        <v>10</v>
      </c>
      <c r="I135" s="19" t="n">
        <v>25200</v>
      </c>
      <c r="J135" s="19" t="n">
        <v>28000</v>
      </c>
      <c r="K135" s="10" t="n">
        <v>1400</v>
      </c>
      <c r="L135" s="10" t="n">
        <v>3327</v>
      </c>
      <c r="M135" s="10" t="n">
        <v>13</v>
      </c>
      <c r="N135" s="11" t="n">
        <v>10</v>
      </c>
      <c r="O135" s="18" t="s">
        <v>56</v>
      </c>
    </row>
    <row r="136" customFormat="false" ht="15" hidden="false" customHeight="false" outlineLevel="0" collapsed="false">
      <c r="A136" s="18" t="n">
        <v>146693449</v>
      </c>
      <c r="B136" s="10" t="n">
        <v>853</v>
      </c>
      <c r="C136" s="18" t="s">
        <v>43</v>
      </c>
      <c r="D136" s="9" t="s">
        <v>1798</v>
      </c>
      <c r="E136" s="9" t="s">
        <v>1799</v>
      </c>
      <c r="F136" s="9" t="s">
        <v>12</v>
      </c>
      <c r="G136" s="10" t="n">
        <v>2025</v>
      </c>
      <c r="H136" s="10" t="n">
        <v>10</v>
      </c>
      <c r="I136" s="19" t="n">
        <v>37800</v>
      </c>
      <c r="J136" s="19" t="n">
        <v>42000</v>
      </c>
      <c r="K136" s="10" t="n">
        <v>2100</v>
      </c>
      <c r="L136" s="10" t="n">
        <v>804</v>
      </c>
      <c r="M136" s="10" t="n">
        <v>11</v>
      </c>
      <c r="N136" s="11" t="n">
        <v>9.5</v>
      </c>
      <c r="O136" s="18" t="s">
        <v>56</v>
      </c>
    </row>
    <row r="137" customFormat="false" ht="15" hidden="false" customHeight="false" outlineLevel="0" collapsed="false">
      <c r="A137" s="18" t="n">
        <v>146357862</v>
      </c>
      <c r="B137" s="10" t="n">
        <v>859</v>
      </c>
      <c r="C137" s="18" t="s">
        <v>43</v>
      </c>
      <c r="D137" s="9" t="s">
        <v>1813</v>
      </c>
      <c r="E137" s="9" t="s">
        <v>1117</v>
      </c>
      <c r="F137" s="9" t="s">
        <v>12</v>
      </c>
      <c r="G137" s="10" t="n">
        <v>2025</v>
      </c>
      <c r="H137" s="10" t="n">
        <v>10</v>
      </c>
      <c r="I137" s="19" t="n">
        <v>21600</v>
      </c>
      <c r="J137" s="19" t="n">
        <v>24000</v>
      </c>
      <c r="K137" s="10" t="n">
        <v>1200</v>
      </c>
      <c r="L137" s="10" t="n">
        <v>2145</v>
      </c>
      <c r="M137" s="10" t="n">
        <v>23</v>
      </c>
      <c r="N137" s="11" t="n">
        <v>10</v>
      </c>
      <c r="O137" s="18" t="s">
        <v>56</v>
      </c>
    </row>
    <row r="138" customFormat="false" ht="15" hidden="false" customHeight="false" outlineLevel="0" collapsed="false">
      <c r="A138" s="18" t="n">
        <v>146327472</v>
      </c>
      <c r="B138" s="10" t="n">
        <v>860</v>
      </c>
      <c r="C138" s="18" t="s">
        <v>43</v>
      </c>
      <c r="D138" s="9" t="s">
        <v>1814</v>
      </c>
      <c r="E138" s="9" t="s">
        <v>1815</v>
      </c>
      <c r="F138" s="9" t="s">
        <v>12</v>
      </c>
      <c r="G138" s="10" t="n">
        <v>2025</v>
      </c>
      <c r="H138" s="10" t="n">
        <v>10</v>
      </c>
      <c r="I138" s="19" t="n">
        <v>25200</v>
      </c>
      <c r="J138" s="19" t="n">
        <v>28000</v>
      </c>
      <c r="K138" s="10" t="n">
        <v>1400</v>
      </c>
      <c r="L138" s="10" t="n">
        <v>3066</v>
      </c>
      <c r="M138" s="10" t="n">
        <v>26</v>
      </c>
      <c r="N138" s="11" t="n">
        <v>9.5</v>
      </c>
      <c r="O138" s="18" t="s">
        <v>56</v>
      </c>
    </row>
    <row r="139" customFormat="false" ht="15" hidden="false" customHeight="false" outlineLevel="0" collapsed="false">
      <c r="A139" s="18" t="n">
        <v>146143006</v>
      </c>
      <c r="B139" s="10" t="n">
        <v>862</v>
      </c>
      <c r="C139" s="18" t="s">
        <v>43</v>
      </c>
      <c r="D139" s="9" t="s">
        <v>1818</v>
      </c>
      <c r="E139" s="9" t="s">
        <v>1819</v>
      </c>
      <c r="F139" s="9" t="s">
        <v>12</v>
      </c>
      <c r="G139" s="10" t="n">
        <v>2025</v>
      </c>
      <c r="H139" s="10" t="n">
        <v>10</v>
      </c>
      <c r="I139" s="19" t="n">
        <v>18000</v>
      </c>
      <c r="J139" s="19" t="n">
        <v>20000</v>
      </c>
      <c r="K139" s="10" t="n">
        <v>1000</v>
      </c>
      <c r="L139" s="10" t="n">
        <v>6057</v>
      </c>
      <c r="M139" s="10" t="n">
        <v>39</v>
      </c>
      <c r="N139" s="11" t="n">
        <v>9.7</v>
      </c>
      <c r="O139" s="18" t="s">
        <v>56</v>
      </c>
    </row>
    <row r="140" customFormat="false" ht="15" hidden="false" customHeight="false" outlineLevel="0" collapsed="false">
      <c r="A140" s="18" t="n">
        <v>146006911</v>
      </c>
      <c r="B140" s="10" t="n">
        <v>865</v>
      </c>
      <c r="C140" s="18" t="s">
        <v>43</v>
      </c>
      <c r="D140" s="9" t="s">
        <v>1824</v>
      </c>
      <c r="E140" s="9" t="s">
        <v>283</v>
      </c>
      <c r="F140" s="9" t="s">
        <v>12</v>
      </c>
      <c r="G140" s="10" t="n">
        <v>2025</v>
      </c>
      <c r="H140" s="10" t="n">
        <v>10</v>
      </c>
      <c r="I140" s="19" t="n">
        <v>25200</v>
      </c>
      <c r="J140" s="19" t="n">
        <v>28000</v>
      </c>
      <c r="K140" s="10" t="n">
        <v>1400</v>
      </c>
      <c r="L140" s="10" t="n">
        <v>2160</v>
      </c>
      <c r="M140" s="10" t="n">
        <v>33</v>
      </c>
      <c r="N140" s="11" t="n">
        <v>9.8</v>
      </c>
      <c r="O140" s="18" t="s">
        <v>56</v>
      </c>
    </row>
    <row r="141" customFormat="false" ht="15" hidden="false" customHeight="false" outlineLevel="0" collapsed="false">
      <c r="A141" s="18" t="n">
        <v>143909071</v>
      </c>
      <c r="B141" s="10" t="n">
        <v>886</v>
      </c>
      <c r="C141" s="18" t="s">
        <v>43</v>
      </c>
      <c r="D141" s="9" t="s">
        <v>1868</v>
      </c>
      <c r="E141" s="9" t="s">
        <v>1869</v>
      </c>
      <c r="F141" s="9" t="s">
        <v>12</v>
      </c>
      <c r="G141" s="10" t="n">
        <v>2025</v>
      </c>
      <c r="H141" s="10" t="n">
        <v>10</v>
      </c>
      <c r="I141" s="19" t="n">
        <v>21600</v>
      </c>
      <c r="J141" s="19" t="n">
        <v>24000</v>
      </c>
      <c r="K141" s="10" t="n">
        <v>1200</v>
      </c>
      <c r="L141" s="10" t="n">
        <v>3360</v>
      </c>
      <c r="M141" s="10" t="n">
        <v>31</v>
      </c>
      <c r="N141" s="11" t="n">
        <v>9.2</v>
      </c>
      <c r="O141" s="18" t="s">
        <v>46</v>
      </c>
    </row>
    <row r="142" customFormat="false" ht="15" hidden="false" customHeight="false" outlineLevel="0" collapsed="false">
      <c r="A142" s="18" t="n">
        <v>141695114</v>
      </c>
      <c r="B142" s="10" t="n">
        <v>918</v>
      </c>
      <c r="C142" s="18" t="s">
        <v>43</v>
      </c>
      <c r="D142" s="9" t="s">
        <v>1932</v>
      </c>
      <c r="E142" s="9" t="s">
        <v>1933</v>
      </c>
      <c r="F142" s="9" t="s">
        <v>12</v>
      </c>
      <c r="G142" s="10" t="n">
        <v>2025</v>
      </c>
      <c r="H142" s="10" t="n">
        <v>10</v>
      </c>
      <c r="I142" s="19" t="n">
        <v>18900</v>
      </c>
      <c r="J142" s="19" t="n">
        <v>21000</v>
      </c>
      <c r="K142" s="10" t="n">
        <v>1050</v>
      </c>
      <c r="L142" s="10" t="n">
        <v>732</v>
      </c>
      <c r="M142" s="10" t="n">
        <v>28</v>
      </c>
      <c r="N142" s="11" t="n">
        <v>9.8</v>
      </c>
      <c r="O142" s="18" t="s">
        <v>46</v>
      </c>
    </row>
    <row r="143" customFormat="false" ht="15" hidden="false" customHeight="false" outlineLevel="0" collapsed="false">
      <c r="A143" s="18" t="n">
        <v>139709711</v>
      </c>
      <c r="B143" s="10" t="n">
        <v>938</v>
      </c>
      <c r="C143" s="18" t="s">
        <v>43</v>
      </c>
      <c r="D143" s="9" t="s">
        <v>1973</v>
      </c>
      <c r="E143" s="9" t="s">
        <v>1974</v>
      </c>
      <c r="F143" s="9" t="s">
        <v>12</v>
      </c>
      <c r="G143" s="10" t="n">
        <v>2024</v>
      </c>
      <c r="H143" s="10" t="n">
        <v>10</v>
      </c>
      <c r="I143" s="19" t="n">
        <v>58500</v>
      </c>
      <c r="J143" s="19" t="n">
        <v>65000</v>
      </c>
      <c r="K143" s="10" t="n">
        <v>3250</v>
      </c>
      <c r="L143" s="10" t="n">
        <v>1290</v>
      </c>
      <c r="M143" s="10" t="n">
        <v>10</v>
      </c>
      <c r="N143" s="11" t="n">
        <v>9.6</v>
      </c>
      <c r="O143" s="18" t="s">
        <v>46</v>
      </c>
    </row>
    <row r="144" customFormat="false" ht="15" hidden="false" customHeight="false" outlineLevel="0" collapsed="false">
      <c r="A144" s="18" t="n">
        <v>139591837</v>
      </c>
      <c r="B144" s="10" t="n">
        <v>941</v>
      </c>
      <c r="C144" s="18" t="s">
        <v>43</v>
      </c>
      <c r="D144" s="15" t="s">
        <v>1980</v>
      </c>
      <c r="E144" s="9" t="s">
        <v>1981</v>
      </c>
      <c r="F144" s="9" t="s">
        <v>12</v>
      </c>
      <c r="G144" s="10" t="n">
        <v>2024</v>
      </c>
      <c r="H144" s="10" t="n">
        <v>10</v>
      </c>
      <c r="I144" s="19" t="n">
        <v>19800</v>
      </c>
      <c r="J144" s="19" t="n">
        <v>22000</v>
      </c>
      <c r="K144" s="10" t="n">
        <v>1100</v>
      </c>
      <c r="L144" s="10" t="n">
        <v>1746</v>
      </c>
      <c r="M144" s="10" t="n">
        <v>20</v>
      </c>
      <c r="N144" s="11" t="n">
        <v>9.5</v>
      </c>
      <c r="O144" s="18" t="s">
        <v>56</v>
      </c>
    </row>
    <row r="145" customFormat="false" ht="15" hidden="false" customHeight="false" outlineLevel="0" collapsed="false">
      <c r="A145" s="18" t="n">
        <v>134648807</v>
      </c>
      <c r="B145" s="10" t="n">
        <v>958</v>
      </c>
      <c r="C145" s="18" t="s">
        <v>43</v>
      </c>
      <c r="D145" s="9" t="s">
        <v>2012</v>
      </c>
      <c r="E145" s="9" t="s">
        <v>285</v>
      </c>
      <c r="F145" s="9" t="s">
        <v>12</v>
      </c>
      <c r="G145" s="10" t="n">
        <v>2024</v>
      </c>
      <c r="H145" s="10" t="n">
        <v>10</v>
      </c>
      <c r="I145" s="19" t="n">
        <v>29700</v>
      </c>
      <c r="J145" s="19" t="n">
        <v>33000</v>
      </c>
      <c r="K145" s="10" t="n">
        <v>1650</v>
      </c>
      <c r="L145" s="10" t="n">
        <v>2364</v>
      </c>
      <c r="M145" s="10" t="n">
        <v>20</v>
      </c>
      <c r="N145" s="11" t="n">
        <v>9.7</v>
      </c>
      <c r="O145" s="18" t="s">
        <v>56</v>
      </c>
    </row>
    <row r="146" customFormat="false" ht="15" hidden="false" customHeight="false" outlineLevel="0" collapsed="false">
      <c r="A146" s="18" t="n">
        <v>134244847</v>
      </c>
      <c r="B146" s="10" t="n">
        <v>960</v>
      </c>
      <c r="C146" s="18" t="s">
        <v>43</v>
      </c>
      <c r="D146" s="9" t="s">
        <v>2014</v>
      </c>
      <c r="E146" s="9" t="s">
        <v>2015</v>
      </c>
      <c r="F146" s="9" t="s">
        <v>12</v>
      </c>
      <c r="G146" s="10" t="n">
        <v>2024</v>
      </c>
      <c r="H146" s="10" t="n">
        <v>10</v>
      </c>
      <c r="I146" s="19" t="n">
        <v>28800</v>
      </c>
      <c r="J146" s="19" t="n">
        <v>32000</v>
      </c>
      <c r="K146" s="10" t="n">
        <v>1600</v>
      </c>
      <c r="L146" s="10" t="n">
        <v>354</v>
      </c>
      <c r="M146" s="10" t="n">
        <v>11</v>
      </c>
      <c r="N146" s="11" t="n">
        <v>9.8</v>
      </c>
      <c r="O146" s="18" t="s">
        <v>56</v>
      </c>
    </row>
    <row r="147" customFormat="false" ht="15" hidden="false" customHeight="false" outlineLevel="0" collapsed="false">
      <c r="A147" s="18" t="n">
        <v>133218136</v>
      </c>
      <c r="B147" s="10" t="n">
        <v>968</v>
      </c>
      <c r="C147" s="18" t="s">
        <v>43</v>
      </c>
      <c r="D147" s="9" t="s">
        <v>2031</v>
      </c>
      <c r="E147" s="9" t="s">
        <v>2032</v>
      </c>
      <c r="F147" s="9" t="s">
        <v>12</v>
      </c>
      <c r="G147" s="10" t="n">
        <v>2024</v>
      </c>
      <c r="H147" s="10" t="n">
        <v>10</v>
      </c>
      <c r="I147" s="19" t="n">
        <v>28800</v>
      </c>
      <c r="J147" s="19" t="n">
        <v>32000</v>
      </c>
      <c r="K147" s="10" t="n">
        <v>1600</v>
      </c>
      <c r="L147" s="10" t="n">
        <v>312</v>
      </c>
      <c r="M147" s="10" t="n">
        <v>8</v>
      </c>
      <c r="N147" s="11" t="n">
        <v>9.5</v>
      </c>
      <c r="O147" s="18" t="s">
        <v>56</v>
      </c>
    </row>
    <row r="148" customFormat="false" ht="15" hidden="false" customHeight="false" outlineLevel="0" collapsed="false">
      <c r="A148" s="18" t="n">
        <v>132891586</v>
      </c>
      <c r="B148" s="10" t="n">
        <v>970</v>
      </c>
      <c r="C148" s="18" t="s">
        <v>43</v>
      </c>
      <c r="D148" s="9" t="s">
        <v>2035</v>
      </c>
      <c r="E148" s="9" t="s">
        <v>2036</v>
      </c>
      <c r="F148" s="9" t="s">
        <v>12</v>
      </c>
      <c r="G148" s="10" t="n">
        <v>2024</v>
      </c>
      <c r="H148" s="10" t="n">
        <v>10</v>
      </c>
      <c r="I148" s="19" t="n">
        <v>22500</v>
      </c>
      <c r="J148" s="19" t="n">
        <v>25000</v>
      </c>
      <c r="K148" s="10" t="n">
        <v>1250</v>
      </c>
      <c r="L148" s="10" t="n">
        <v>918</v>
      </c>
      <c r="M148" s="10" t="n">
        <v>21</v>
      </c>
      <c r="N148" s="11" t="n">
        <v>9.8</v>
      </c>
      <c r="O148" s="18" t="s">
        <v>56</v>
      </c>
    </row>
    <row r="149" customFormat="false" ht="15" hidden="false" customHeight="false" outlineLevel="0" collapsed="false">
      <c r="A149" s="18" t="n">
        <v>132388664</v>
      </c>
      <c r="B149" s="10" t="n">
        <v>975</v>
      </c>
      <c r="C149" s="18" t="s">
        <v>43</v>
      </c>
      <c r="D149" s="9" t="s">
        <v>2045</v>
      </c>
      <c r="E149" s="9" t="s">
        <v>2046</v>
      </c>
      <c r="F149" s="9" t="s">
        <v>12</v>
      </c>
      <c r="G149" s="10" t="n">
        <v>2024</v>
      </c>
      <c r="H149" s="10" t="n">
        <v>10</v>
      </c>
      <c r="I149" s="19" t="n">
        <v>21600</v>
      </c>
      <c r="J149" s="19" t="n">
        <v>24000</v>
      </c>
      <c r="K149" s="10" t="n">
        <v>1200</v>
      </c>
      <c r="L149" s="10" t="n">
        <v>468</v>
      </c>
      <c r="M149" s="10" t="n">
        <v>14</v>
      </c>
      <c r="N149" s="11" t="n">
        <v>9.3</v>
      </c>
      <c r="O149" s="18" t="s">
        <v>56</v>
      </c>
    </row>
    <row r="150" customFormat="false" ht="15" hidden="false" customHeight="false" outlineLevel="0" collapsed="false">
      <c r="A150" s="18" t="n">
        <v>131189891</v>
      </c>
      <c r="B150" s="10" t="n">
        <v>977</v>
      </c>
      <c r="C150" s="18" t="s">
        <v>43</v>
      </c>
      <c r="D150" s="9" t="s">
        <v>2049</v>
      </c>
      <c r="E150" s="9" t="s">
        <v>2050</v>
      </c>
      <c r="F150" s="9" t="s">
        <v>12</v>
      </c>
      <c r="G150" s="10" t="n">
        <v>2024</v>
      </c>
      <c r="H150" s="10" t="n">
        <v>10</v>
      </c>
      <c r="I150" s="19" t="n">
        <v>16200</v>
      </c>
      <c r="J150" s="19" t="n">
        <v>18000</v>
      </c>
      <c r="K150" s="10" t="n">
        <v>900</v>
      </c>
      <c r="L150" s="10" t="n">
        <v>1842</v>
      </c>
      <c r="M150" s="10" t="n">
        <v>35</v>
      </c>
      <c r="N150" s="11" t="n">
        <v>9.7</v>
      </c>
      <c r="O150" s="18" t="s">
        <v>56</v>
      </c>
    </row>
    <row r="151" customFormat="false" ht="15" hidden="false" customHeight="false" outlineLevel="0" collapsed="false">
      <c r="A151" s="18" t="n">
        <v>129064913</v>
      </c>
      <c r="B151" s="10" t="n">
        <v>992</v>
      </c>
      <c r="C151" s="18" t="s">
        <v>43</v>
      </c>
      <c r="D151" s="9" t="s">
        <v>2075</v>
      </c>
      <c r="E151" s="9" t="s">
        <v>2076</v>
      </c>
      <c r="F151" s="9" t="s">
        <v>12</v>
      </c>
      <c r="G151" s="10" t="n">
        <v>2024</v>
      </c>
      <c r="H151" s="10" t="n">
        <v>10</v>
      </c>
      <c r="I151" s="19" t="n">
        <v>19800</v>
      </c>
      <c r="J151" s="19" t="n">
        <v>22000</v>
      </c>
      <c r="K151" s="10" t="n">
        <v>1100</v>
      </c>
      <c r="L151" s="10" t="n">
        <v>738</v>
      </c>
      <c r="M151" s="10" t="n">
        <v>30</v>
      </c>
      <c r="N151" s="11" t="n">
        <v>9.9</v>
      </c>
      <c r="O151" s="18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10.02"/>
    <col collapsed="false" customWidth="true" hidden="false" outlineLevel="0" max="2" min="2" style="0" width="9.18"/>
    <col collapsed="false" customWidth="true" hidden="false" outlineLevel="0" max="3" min="3" style="0" width="10.85"/>
    <col collapsed="false" customWidth="true" hidden="false" outlineLevel="0" max="4" min="4" style="0" width="34.22"/>
    <col collapsed="false" customWidth="true" hidden="false" outlineLevel="0" max="5" min="5" style="0" width="62.59"/>
    <col collapsed="false" customWidth="true" hidden="false" outlineLevel="0" max="6" min="6" style="0" width="10.02"/>
    <col collapsed="false" customWidth="true" hidden="false" outlineLevel="0" max="7" min="7" style="0" width="12.52"/>
    <col collapsed="false" customWidth="true" hidden="false" outlineLevel="0" max="8" min="8" style="0" width="13.35"/>
    <col collapsed="false" customWidth="true" hidden="false" outlineLevel="0" max="9" min="9" style="0" width="10.85"/>
    <col collapsed="false" customWidth="true" hidden="false" outlineLevel="0" max="10" min="10" style="0" width="14.19"/>
    <col collapsed="false" customWidth="true" hidden="false" outlineLevel="0" max="11" min="11" style="0" width="9.18"/>
    <col collapsed="false" customWidth="true" hidden="false" outlineLevel="0" max="12" min="12" style="0" width="10.85"/>
    <col collapsed="false" customWidth="true" hidden="false" outlineLevel="0" max="13" min="13" style="0" width="12.52"/>
    <col collapsed="false" customWidth="true" hidden="false" outlineLevel="0" max="14" min="14" style="0" width="9.18"/>
    <col collapsed="false" customWidth="true" hidden="false" outlineLevel="0" max="15" min="15" style="0" width="14.19"/>
  </cols>
  <sheetData>
    <row r="1" customFormat="false" ht="15" hidden="false" customHeight="false" outlineLevel="0" collapsed="false">
      <c r="A1" s="17" t="s">
        <v>28</v>
      </c>
      <c r="B1" s="17" t="s">
        <v>29</v>
      </c>
      <c r="C1" s="17" t="s">
        <v>30</v>
      </c>
      <c r="D1" s="17" t="s">
        <v>31</v>
      </c>
      <c r="E1" s="17" t="s">
        <v>32</v>
      </c>
      <c r="F1" s="17" t="s">
        <v>33</v>
      </c>
      <c r="G1" s="17" t="s">
        <v>34</v>
      </c>
      <c r="H1" s="17" t="s">
        <v>35</v>
      </c>
      <c r="I1" s="17" t="s">
        <v>36</v>
      </c>
      <c r="J1" s="17" t="s">
        <v>37</v>
      </c>
      <c r="K1" s="17" t="s">
        <v>38</v>
      </c>
      <c r="L1" s="17" t="s">
        <v>39</v>
      </c>
      <c r="M1" s="17" t="s">
        <v>40</v>
      </c>
      <c r="N1" s="17" t="s">
        <v>41</v>
      </c>
      <c r="O1" s="17" t="s">
        <v>42</v>
      </c>
    </row>
    <row r="2" customFormat="false" ht="15" hidden="false" customHeight="false" outlineLevel="0" collapsed="false">
      <c r="A2" s="18" t="n">
        <v>190250717</v>
      </c>
      <c r="B2" s="10" t="n">
        <v>43</v>
      </c>
      <c r="C2" s="18" t="s">
        <v>43</v>
      </c>
      <c r="D2" s="15" t="s">
        <v>146</v>
      </c>
      <c r="E2" s="9" t="s">
        <v>147</v>
      </c>
      <c r="F2" s="9" t="s">
        <v>14</v>
      </c>
      <c r="G2" s="10" t="n">
        <v>2026</v>
      </c>
      <c r="H2" s="10" t="n">
        <v>10</v>
      </c>
      <c r="I2" s="19" t="n">
        <v>36000</v>
      </c>
      <c r="J2" s="19" t="n">
        <v>40000</v>
      </c>
      <c r="K2" s="10" t="n">
        <v>2000</v>
      </c>
      <c r="L2" s="10" t="n">
        <v>1128</v>
      </c>
      <c r="M2" s="10" t="n">
        <v>3</v>
      </c>
      <c r="N2" s="11" t="n">
        <v>10</v>
      </c>
      <c r="O2" s="18" t="s">
        <v>56</v>
      </c>
    </row>
    <row r="3" customFormat="false" ht="15" hidden="false" customHeight="false" outlineLevel="0" collapsed="false">
      <c r="A3" s="18" t="n">
        <v>189854100</v>
      </c>
      <c r="B3" s="10" t="n">
        <v>59</v>
      </c>
      <c r="C3" s="18" t="s">
        <v>43</v>
      </c>
      <c r="D3" s="15" t="s">
        <v>180</v>
      </c>
      <c r="E3" s="9" t="s">
        <v>181</v>
      </c>
      <c r="F3" s="9" t="s">
        <v>14</v>
      </c>
      <c r="G3" s="10" t="n">
        <v>2026</v>
      </c>
      <c r="H3" s="10" t="n">
        <v>10</v>
      </c>
      <c r="I3" s="19" t="n">
        <v>25200</v>
      </c>
      <c r="J3" s="19" t="n">
        <v>28000</v>
      </c>
      <c r="K3" s="10" t="n">
        <v>1400</v>
      </c>
      <c r="L3" s="10" t="n">
        <v>1098</v>
      </c>
      <c r="M3" s="10" t="n">
        <v>3</v>
      </c>
      <c r="N3" s="11" t="n">
        <v>8.7</v>
      </c>
      <c r="O3" s="18" t="s">
        <v>56</v>
      </c>
    </row>
    <row r="4" customFormat="false" ht="15" hidden="false" customHeight="false" outlineLevel="0" collapsed="false">
      <c r="A4" s="18" t="n">
        <v>175525819</v>
      </c>
      <c r="B4" s="10" t="n">
        <v>63</v>
      </c>
      <c r="C4" s="18" t="s">
        <v>43</v>
      </c>
      <c r="D4" s="15" t="s">
        <v>189</v>
      </c>
      <c r="E4" s="15" t="s">
        <v>190</v>
      </c>
      <c r="F4" s="9" t="s">
        <v>14</v>
      </c>
      <c r="G4" s="10" t="n">
        <v>2026</v>
      </c>
      <c r="H4" s="10" t="n">
        <v>10</v>
      </c>
      <c r="I4" s="19" t="n">
        <v>28800</v>
      </c>
      <c r="J4" s="19" t="n">
        <v>32000</v>
      </c>
      <c r="K4" s="10" t="n">
        <v>1600</v>
      </c>
      <c r="L4" s="10" t="n">
        <v>7179</v>
      </c>
      <c r="M4" s="10" t="n">
        <v>25</v>
      </c>
      <c r="N4" s="11" t="n">
        <v>9.6</v>
      </c>
      <c r="O4" s="18" t="s">
        <v>56</v>
      </c>
    </row>
    <row r="5" customFormat="false" ht="15" hidden="false" customHeight="false" outlineLevel="0" collapsed="false">
      <c r="A5" s="18" t="n">
        <v>37335066</v>
      </c>
      <c r="B5" s="10" t="n">
        <v>64</v>
      </c>
      <c r="C5" s="18" t="s">
        <v>43</v>
      </c>
      <c r="D5" s="9" t="s">
        <v>191</v>
      </c>
      <c r="E5" s="9" t="s">
        <v>192</v>
      </c>
      <c r="F5" s="9" t="s">
        <v>14</v>
      </c>
      <c r="G5" s="10" t="n">
        <v>2017</v>
      </c>
      <c r="H5" s="10" t="n">
        <v>10</v>
      </c>
      <c r="I5" s="19" t="n">
        <v>19800</v>
      </c>
      <c r="J5" s="19" t="n">
        <v>22000</v>
      </c>
      <c r="K5" s="10" t="n">
        <v>1100</v>
      </c>
      <c r="L5" s="10" t="n">
        <v>4698</v>
      </c>
      <c r="M5" s="10" t="n">
        <v>17</v>
      </c>
      <c r="N5" s="11" t="n">
        <v>8.2</v>
      </c>
      <c r="O5" s="18" t="s">
        <v>56</v>
      </c>
    </row>
    <row r="6" customFormat="false" ht="15" hidden="false" customHeight="false" outlineLevel="0" collapsed="false">
      <c r="A6" s="18" t="n">
        <v>190216116</v>
      </c>
      <c r="B6" s="10" t="n">
        <v>71</v>
      </c>
      <c r="C6" s="18" t="s">
        <v>43</v>
      </c>
      <c r="D6" s="9" t="s">
        <v>207</v>
      </c>
      <c r="E6" s="9" t="s">
        <v>208</v>
      </c>
      <c r="F6" s="9" t="s">
        <v>14</v>
      </c>
      <c r="G6" s="10" t="n">
        <v>2026</v>
      </c>
      <c r="H6" s="10" t="n">
        <v>10</v>
      </c>
      <c r="I6" s="19" t="n">
        <v>19800</v>
      </c>
      <c r="J6" s="19" t="n">
        <v>22000</v>
      </c>
      <c r="K6" s="10" t="n">
        <v>1100</v>
      </c>
      <c r="L6" s="10" t="n">
        <v>1392</v>
      </c>
      <c r="M6" s="10" t="n">
        <v>1</v>
      </c>
      <c r="N6" s="11" t="n">
        <v>10</v>
      </c>
      <c r="O6" s="18" t="s">
        <v>56</v>
      </c>
    </row>
    <row r="7" customFormat="false" ht="15" hidden="false" customHeight="false" outlineLevel="0" collapsed="false">
      <c r="A7" s="18" t="n">
        <v>182995232</v>
      </c>
      <c r="B7" s="10" t="n">
        <v>99</v>
      </c>
      <c r="C7" s="18" t="s">
        <v>43</v>
      </c>
      <c r="D7" s="15" t="s">
        <v>268</v>
      </c>
      <c r="E7" s="9" t="s">
        <v>269</v>
      </c>
      <c r="F7" s="9" t="s">
        <v>14</v>
      </c>
      <c r="G7" s="10" t="n">
        <v>2026</v>
      </c>
      <c r="H7" s="10" t="n">
        <v>10</v>
      </c>
      <c r="I7" s="19" t="n">
        <v>23400</v>
      </c>
      <c r="J7" s="19" t="n">
        <v>26000</v>
      </c>
      <c r="K7" s="10" t="n">
        <v>1300</v>
      </c>
      <c r="L7" s="10" t="n">
        <v>3996</v>
      </c>
      <c r="M7" s="10" t="n">
        <v>44</v>
      </c>
      <c r="N7" s="11" t="n">
        <v>9.8</v>
      </c>
      <c r="O7" s="18" t="s">
        <v>56</v>
      </c>
    </row>
    <row r="8" customFormat="false" ht="15" hidden="false" customHeight="false" outlineLevel="0" collapsed="false">
      <c r="A8" s="18" t="n">
        <v>166665802</v>
      </c>
      <c r="B8" s="10" t="n">
        <v>102</v>
      </c>
      <c r="C8" s="18" t="s">
        <v>43</v>
      </c>
      <c r="D8" s="9" t="s">
        <v>275</v>
      </c>
      <c r="E8" s="9" t="s">
        <v>276</v>
      </c>
      <c r="F8" s="9" t="s">
        <v>14</v>
      </c>
      <c r="G8" s="10" t="n">
        <v>2025</v>
      </c>
      <c r="H8" s="10" t="n">
        <v>10</v>
      </c>
      <c r="I8" s="19" t="n">
        <v>19800</v>
      </c>
      <c r="J8" s="19" t="n">
        <v>22000</v>
      </c>
      <c r="K8" s="10" t="n">
        <v>1100</v>
      </c>
      <c r="L8" s="10" t="n">
        <v>3378</v>
      </c>
      <c r="M8" s="10" t="n">
        <v>17</v>
      </c>
      <c r="N8" s="11" t="n">
        <v>10</v>
      </c>
      <c r="O8" s="18" t="s">
        <v>56</v>
      </c>
    </row>
    <row r="9" customFormat="false" ht="15" hidden="false" customHeight="false" outlineLevel="0" collapsed="false">
      <c r="A9" s="18" t="n">
        <v>117373102</v>
      </c>
      <c r="B9" s="10" t="n">
        <v>117</v>
      </c>
      <c r="C9" s="18" t="s">
        <v>43</v>
      </c>
      <c r="D9" s="9" t="s">
        <v>304</v>
      </c>
      <c r="E9" s="9" t="s">
        <v>305</v>
      </c>
      <c r="F9" s="9" t="s">
        <v>14</v>
      </c>
      <c r="G9" s="10" t="n">
        <v>2023</v>
      </c>
      <c r="H9" s="10" t="n">
        <v>10</v>
      </c>
      <c r="I9" s="19" t="n">
        <v>21600</v>
      </c>
      <c r="J9" s="19" t="n">
        <v>24000</v>
      </c>
      <c r="K9" s="10" t="n">
        <v>1200</v>
      </c>
      <c r="L9" s="10" t="n">
        <v>9549</v>
      </c>
      <c r="M9" s="10" t="n">
        <v>309</v>
      </c>
      <c r="N9" s="11" t="n">
        <v>9.8</v>
      </c>
      <c r="O9" s="18" t="s">
        <v>46</v>
      </c>
    </row>
    <row r="10" customFormat="false" ht="15" hidden="false" customHeight="false" outlineLevel="0" collapsed="false">
      <c r="A10" s="18" t="n">
        <v>145612410</v>
      </c>
      <c r="B10" s="10" t="n">
        <v>138</v>
      </c>
      <c r="C10" s="18" t="s">
        <v>43</v>
      </c>
      <c r="D10" s="9" t="s">
        <v>348</v>
      </c>
      <c r="E10" s="9" t="s">
        <v>45</v>
      </c>
      <c r="F10" s="9" t="s">
        <v>14</v>
      </c>
      <c r="G10" s="10" t="n">
        <v>2025</v>
      </c>
      <c r="H10" s="10" t="n">
        <v>10</v>
      </c>
      <c r="I10" s="19" t="n">
        <v>26100</v>
      </c>
      <c r="J10" s="19" t="n">
        <v>29000</v>
      </c>
      <c r="K10" s="10" t="n">
        <v>1450</v>
      </c>
      <c r="L10" s="10" t="n">
        <v>3594</v>
      </c>
      <c r="M10" s="10" t="n">
        <v>13</v>
      </c>
      <c r="N10" s="11" t="n">
        <v>10</v>
      </c>
      <c r="O10" s="18" t="s">
        <v>56</v>
      </c>
    </row>
    <row r="11" customFormat="false" ht="15" hidden="false" customHeight="false" outlineLevel="0" collapsed="false">
      <c r="A11" s="18" t="n">
        <v>129392318</v>
      </c>
      <c r="B11" s="10" t="n">
        <v>142</v>
      </c>
      <c r="C11" s="18" t="s">
        <v>43</v>
      </c>
      <c r="D11" s="9" t="s">
        <v>354</v>
      </c>
      <c r="E11" s="9" t="s">
        <v>355</v>
      </c>
      <c r="F11" s="9" t="s">
        <v>14</v>
      </c>
      <c r="G11" s="10" t="n">
        <v>2024</v>
      </c>
      <c r="H11" s="10" t="n">
        <v>10</v>
      </c>
      <c r="I11" s="19" t="n">
        <v>18000</v>
      </c>
      <c r="J11" s="19" t="n">
        <v>20000</v>
      </c>
      <c r="K11" s="10" t="n">
        <v>1000</v>
      </c>
      <c r="L11" s="10" t="n">
        <v>6450</v>
      </c>
      <c r="M11" s="10" t="n">
        <v>77</v>
      </c>
      <c r="N11" s="11" t="n">
        <v>9.6</v>
      </c>
      <c r="O11" s="18" t="s">
        <v>46</v>
      </c>
    </row>
    <row r="12" customFormat="false" ht="15" hidden="false" customHeight="false" outlineLevel="0" collapsed="false">
      <c r="A12" s="18" t="n">
        <v>189353153</v>
      </c>
      <c r="B12" s="10" t="n">
        <v>147</v>
      </c>
      <c r="C12" s="18" t="s">
        <v>43</v>
      </c>
      <c r="D12" s="9" t="s">
        <v>366</v>
      </c>
      <c r="E12" s="9" t="s">
        <v>367</v>
      </c>
      <c r="F12" s="9" t="s">
        <v>14</v>
      </c>
      <c r="G12" s="10" t="n">
        <v>2026</v>
      </c>
      <c r="H12" s="10" t="n">
        <v>10</v>
      </c>
      <c r="I12" s="19" t="n">
        <v>25200</v>
      </c>
      <c r="J12" s="19" t="n">
        <v>28000</v>
      </c>
      <c r="K12" s="10" t="n">
        <v>1400</v>
      </c>
      <c r="L12" s="10" t="n">
        <v>678</v>
      </c>
      <c r="M12" s="10" t="n">
        <v>0</v>
      </c>
      <c r="N12" s="11" t="n">
        <v>0</v>
      </c>
      <c r="O12" s="18" t="s">
        <v>56</v>
      </c>
    </row>
    <row r="13" customFormat="false" ht="15" hidden="false" customHeight="false" outlineLevel="0" collapsed="false">
      <c r="A13" s="18" t="n">
        <v>186524948</v>
      </c>
      <c r="B13" s="10" t="n">
        <v>151</v>
      </c>
      <c r="C13" s="18" t="s">
        <v>43</v>
      </c>
      <c r="D13" s="9" t="s">
        <v>374</v>
      </c>
      <c r="E13" s="9" t="s">
        <v>375</v>
      </c>
      <c r="F13" s="9" t="s">
        <v>14</v>
      </c>
      <c r="G13" s="10" t="n">
        <v>2026</v>
      </c>
      <c r="H13" s="10" t="n">
        <v>10</v>
      </c>
      <c r="I13" s="19" t="n">
        <v>23400</v>
      </c>
      <c r="J13" s="19" t="n">
        <v>26000</v>
      </c>
      <c r="K13" s="10" t="n">
        <v>1300</v>
      </c>
      <c r="L13" s="10" t="n">
        <v>1335</v>
      </c>
      <c r="M13" s="10" t="n">
        <v>44</v>
      </c>
      <c r="N13" s="11" t="n">
        <v>9.2</v>
      </c>
      <c r="O13" s="18" t="s">
        <v>56</v>
      </c>
    </row>
    <row r="14" customFormat="false" ht="15" hidden="false" customHeight="false" outlineLevel="0" collapsed="false">
      <c r="A14" s="18" t="n">
        <v>180386822</v>
      </c>
      <c r="B14" s="10" t="n">
        <v>154</v>
      </c>
      <c r="C14" s="18" t="s">
        <v>43</v>
      </c>
      <c r="D14" s="9" t="s">
        <v>380</v>
      </c>
      <c r="E14" s="9" t="s">
        <v>381</v>
      </c>
      <c r="F14" s="9" t="s">
        <v>14</v>
      </c>
      <c r="G14" s="10" t="n">
        <v>2026</v>
      </c>
      <c r="H14" s="10" t="n">
        <v>10</v>
      </c>
      <c r="I14" s="19" t="n">
        <v>37800</v>
      </c>
      <c r="J14" s="19" t="n">
        <v>42000</v>
      </c>
      <c r="K14" s="10" t="n">
        <v>2100</v>
      </c>
      <c r="L14" s="10" t="n">
        <v>1674</v>
      </c>
      <c r="M14" s="10" t="n">
        <v>14</v>
      </c>
      <c r="N14" s="11" t="n">
        <v>9.9</v>
      </c>
      <c r="O14" s="18" t="s">
        <v>56</v>
      </c>
    </row>
    <row r="15" customFormat="false" ht="15" hidden="false" customHeight="false" outlineLevel="0" collapsed="false">
      <c r="A15" s="18" t="n">
        <v>169704757</v>
      </c>
      <c r="B15" s="10" t="n">
        <v>192</v>
      </c>
      <c r="C15" s="18" t="s">
        <v>43</v>
      </c>
      <c r="D15" s="9" t="s">
        <v>461</v>
      </c>
      <c r="E15" s="9" t="s">
        <v>462</v>
      </c>
      <c r="F15" s="9" t="s">
        <v>14</v>
      </c>
      <c r="G15" s="10" t="n">
        <v>2025</v>
      </c>
      <c r="H15" s="10" t="n">
        <v>10</v>
      </c>
      <c r="I15" s="19" t="n">
        <v>22500</v>
      </c>
      <c r="J15" s="19" t="n">
        <v>25000</v>
      </c>
      <c r="K15" s="10" t="n">
        <v>1250</v>
      </c>
      <c r="L15" s="10" t="n">
        <v>3615</v>
      </c>
      <c r="M15" s="10" t="n">
        <v>43</v>
      </c>
      <c r="N15" s="11" t="n">
        <v>10</v>
      </c>
      <c r="O15" s="18" t="s">
        <v>56</v>
      </c>
    </row>
    <row r="16" customFormat="false" ht="15" hidden="false" customHeight="false" outlineLevel="0" collapsed="false">
      <c r="A16" s="18" t="n">
        <v>167430900</v>
      </c>
      <c r="B16" s="10" t="n">
        <v>194</v>
      </c>
      <c r="C16" s="18" t="s">
        <v>43</v>
      </c>
      <c r="D16" s="9" t="s">
        <v>465</v>
      </c>
      <c r="E16" s="9" t="s">
        <v>466</v>
      </c>
      <c r="F16" s="9" t="s">
        <v>14</v>
      </c>
      <c r="G16" s="10" t="n">
        <v>2025</v>
      </c>
      <c r="H16" s="10" t="n">
        <v>10</v>
      </c>
      <c r="I16" s="19" t="n">
        <v>22500</v>
      </c>
      <c r="J16" s="19" t="n">
        <v>25000</v>
      </c>
      <c r="K16" s="10" t="n">
        <v>1250</v>
      </c>
      <c r="L16" s="10" t="n">
        <v>2166</v>
      </c>
      <c r="M16" s="10" t="n">
        <v>0</v>
      </c>
      <c r="N16" s="11" t="n">
        <v>0</v>
      </c>
      <c r="O16" s="18" t="s">
        <v>56</v>
      </c>
    </row>
    <row r="17" customFormat="false" ht="15" hidden="false" customHeight="false" outlineLevel="0" collapsed="false">
      <c r="A17" s="18" t="n">
        <v>145015291</v>
      </c>
      <c r="B17" s="10" t="n">
        <v>202</v>
      </c>
      <c r="C17" s="18" t="s">
        <v>43</v>
      </c>
      <c r="D17" s="15" t="s">
        <v>482</v>
      </c>
      <c r="E17" s="9" t="s">
        <v>483</v>
      </c>
      <c r="F17" s="9" t="s">
        <v>14</v>
      </c>
      <c r="G17" s="10" t="n">
        <v>2025</v>
      </c>
      <c r="H17" s="10" t="n">
        <v>10</v>
      </c>
      <c r="I17" s="19" t="n">
        <v>19800</v>
      </c>
      <c r="J17" s="19" t="n">
        <v>22000</v>
      </c>
      <c r="K17" s="10" t="n">
        <v>1100</v>
      </c>
      <c r="L17" s="10" t="n">
        <v>3498</v>
      </c>
      <c r="M17" s="10" t="n">
        <v>7</v>
      </c>
      <c r="N17" s="11" t="n">
        <v>9.4</v>
      </c>
      <c r="O17" s="18" t="s">
        <v>56</v>
      </c>
    </row>
    <row r="18" customFormat="false" ht="15" hidden="false" customHeight="false" outlineLevel="0" collapsed="false">
      <c r="A18" s="18" t="n">
        <v>126181068</v>
      </c>
      <c r="B18" s="10" t="n">
        <v>207</v>
      </c>
      <c r="C18" s="18" t="s">
        <v>43</v>
      </c>
      <c r="D18" s="9" t="s">
        <v>492</v>
      </c>
      <c r="E18" s="9" t="s">
        <v>493</v>
      </c>
      <c r="F18" s="9" t="s">
        <v>14</v>
      </c>
      <c r="G18" s="10" t="n">
        <v>2024</v>
      </c>
      <c r="H18" s="10" t="n">
        <v>10</v>
      </c>
      <c r="I18" s="19" t="n">
        <v>19800</v>
      </c>
      <c r="J18" s="19" t="n">
        <v>22000</v>
      </c>
      <c r="K18" s="10" t="n">
        <v>1100</v>
      </c>
      <c r="L18" s="10" t="n">
        <v>1608</v>
      </c>
      <c r="M18" s="10" t="n">
        <v>13</v>
      </c>
      <c r="N18" s="11" t="n">
        <v>10</v>
      </c>
      <c r="O18" s="18" t="s">
        <v>56</v>
      </c>
    </row>
    <row r="19" customFormat="false" ht="15" hidden="false" customHeight="false" outlineLevel="0" collapsed="false">
      <c r="A19" s="18" t="n">
        <v>158708037</v>
      </c>
      <c r="B19" s="10" t="n">
        <v>273</v>
      </c>
      <c r="C19" s="18" t="s">
        <v>43</v>
      </c>
      <c r="D19" s="9" t="s">
        <v>632</v>
      </c>
      <c r="E19" s="9" t="s">
        <v>633</v>
      </c>
      <c r="F19" s="9" t="s">
        <v>14</v>
      </c>
      <c r="G19" s="10" t="n">
        <v>2025</v>
      </c>
      <c r="H19" s="10" t="n">
        <v>10</v>
      </c>
      <c r="I19" s="19" t="n">
        <v>29700</v>
      </c>
      <c r="J19" s="19" t="n">
        <v>33000</v>
      </c>
      <c r="K19" s="10" t="n">
        <v>1650</v>
      </c>
      <c r="L19" s="10" t="n">
        <v>3300</v>
      </c>
      <c r="M19" s="10" t="n">
        <v>5</v>
      </c>
      <c r="N19" s="11" t="n">
        <v>9.6</v>
      </c>
      <c r="O19" s="18" t="s">
        <v>56</v>
      </c>
    </row>
    <row r="20" customFormat="false" ht="15" hidden="false" customHeight="false" outlineLevel="0" collapsed="false">
      <c r="A20" s="18" t="n">
        <v>154099735</v>
      </c>
      <c r="B20" s="10" t="n">
        <v>278</v>
      </c>
      <c r="C20" s="18" t="s">
        <v>43</v>
      </c>
      <c r="D20" s="9" t="s">
        <v>642</v>
      </c>
      <c r="E20" s="9" t="s">
        <v>643</v>
      </c>
      <c r="F20" s="9" t="s">
        <v>14</v>
      </c>
      <c r="G20" s="10" t="n">
        <v>2025</v>
      </c>
      <c r="H20" s="10" t="n">
        <v>10</v>
      </c>
      <c r="I20" s="19" t="n">
        <v>36000</v>
      </c>
      <c r="J20" s="19" t="n">
        <v>40000</v>
      </c>
      <c r="K20" s="10" t="n">
        <v>2000</v>
      </c>
      <c r="L20" s="10" t="n">
        <v>11598</v>
      </c>
      <c r="M20" s="10" t="n">
        <v>27</v>
      </c>
      <c r="N20" s="11" t="n">
        <v>9.6</v>
      </c>
      <c r="O20" s="18" t="s">
        <v>46</v>
      </c>
    </row>
    <row r="21" customFormat="false" ht="15" hidden="false" customHeight="false" outlineLevel="0" collapsed="false">
      <c r="A21" s="18" t="n">
        <v>152379887</v>
      </c>
      <c r="B21" s="10" t="n">
        <v>280</v>
      </c>
      <c r="C21" s="18" t="s">
        <v>43</v>
      </c>
      <c r="D21" s="9" t="s">
        <v>646</v>
      </c>
      <c r="E21" s="9" t="s">
        <v>647</v>
      </c>
      <c r="F21" s="9" t="s">
        <v>14</v>
      </c>
      <c r="G21" s="10" t="n">
        <v>2025</v>
      </c>
      <c r="H21" s="10" t="n">
        <v>10</v>
      </c>
      <c r="I21" s="19" t="n">
        <v>23400</v>
      </c>
      <c r="J21" s="19" t="n">
        <v>26000</v>
      </c>
      <c r="K21" s="10" t="n">
        <v>1300</v>
      </c>
      <c r="L21" s="10" t="n">
        <v>9858</v>
      </c>
      <c r="M21" s="10" t="n">
        <v>19</v>
      </c>
      <c r="N21" s="11" t="n">
        <v>8.9</v>
      </c>
      <c r="O21" s="18" t="s">
        <v>46</v>
      </c>
    </row>
    <row r="22" customFormat="false" ht="15" hidden="false" customHeight="false" outlineLevel="0" collapsed="false">
      <c r="A22" s="18" t="n">
        <v>149193207</v>
      </c>
      <c r="B22" s="10" t="n">
        <v>284</v>
      </c>
      <c r="C22" s="18" t="s">
        <v>43</v>
      </c>
      <c r="D22" s="9" t="s">
        <v>654</v>
      </c>
      <c r="E22" s="9" t="s">
        <v>655</v>
      </c>
      <c r="F22" s="9" t="s">
        <v>14</v>
      </c>
      <c r="G22" s="10" t="n">
        <v>2025</v>
      </c>
      <c r="H22" s="10" t="n">
        <v>10</v>
      </c>
      <c r="I22" s="19" t="n">
        <v>19800</v>
      </c>
      <c r="J22" s="19" t="n">
        <v>22000</v>
      </c>
      <c r="K22" s="10" t="n">
        <v>1100</v>
      </c>
      <c r="L22" s="10" t="n">
        <v>1578</v>
      </c>
      <c r="M22" s="10" t="n">
        <v>11</v>
      </c>
      <c r="N22" s="11" t="n">
        <v>10</v>
      </c>
      <c r="O22" s="18" t="s">
        <v>56</v>
      </c>
    </row>
    <row r="23" customFormat="false" ht="15" hidden="false" customHeight="false" outlineLevel="0" collapsed="false">
      <c r="A23" s="18" t="n">
        <v>147079126</v>
      </c>
      <c r="B23" s="10" t="n">
        <v>285</v>
      </c>
      <c r="C23" s="18" t="s">
        <v>43</v>
      </c>
      <c r="D23" s="9" t="s">
        <v>656</v>
      </c>
      <c r="E23" s="9" t="s">
        <v>657</v>
      </c>
      <c r="F23" s="9" t="s">
        <v>14</v>
      </c>
      <c r="G23" s="10" t="n">
        <v>2025</v>
      </c>
      <c r="H23" s="10" t="n">
        <v>10</v>
      </c>
      <c r="I23" s="19" t="n">
        <v>26100</v>
      </c>
      <c r="J23" s="19" t="n">
        <v>29000</v>
      </c>
      <c r="K23" s="10" t="n">
        <v>1450</v>
      </c>
      <c r="L23" s="10" t="n">
        <v>2100</v>
      </c>
      <c r="M23" s="10" t="n">
        <v>22</v>
      </c>
      <c r="N23" s="11" t="n">
        <v>9.8</v>
      </c>
      <c r="O23" s="18" t="s">
        <v>56</v>
      </c>
    </row>
    <row r="24" customFormat="false" ht="15" hidden="false" customHeight="false" outlineLevel="0" collapsed="false">
      <c r="A24" s="18" t="n">
        <v>136304038</v>
      </c>
      <c r="B24" s="10" t="n">
        <v>295</v>
      </c>
      <c r="C24" s="18" t="s">
        <v>43</v>
      </c>
      <c r="D24" s="15" t="s">
        <v>676</v>
      </c>
      <c r="E24" s="9" t="s">
        <v>677</v>
      </c>
      <c r="F24" s="9" t="s">
        <v>14</v>
      </c>
      <c r="G24" s="10" t="n">
        <v>2024</v>
      </c>
      <c r="H24" s="10" t="n">
        <v>10</v>
      </c>
      <c r="I24" s="19" t="n">
        <v>24300</v>
      </c>
      <c r="J24" s="19" t="n">
        <v>27000</v>
      </c>
      <c r="K24" s="10" t="n">
        <v>1350</v>
      </c>
      <c r="L24" s="10" t="n">
        <v>2946</v>
      </c>
      <c r="M24" s="10" t="n">
        <v>84</v>
      </c>
      <c r="N24" s="11" t="n">
        <v>9.7</v>
      </c>
      <c r="O24" s="18" t="s">
        <v>46</v>
      </c>
    </row>
    <row r="25" customFormat="false" ht="15" hidden="false" customHeight="false" outlineLevel="0" collapsed="false">
      <c r="A25" s="18" t="n">
        <v>127102247</v>
      </c>
      <c r="B25" s="10" t="n">
        <v>300</v>
      </c>
      <c r="C25" s="18" t="s">
        <v>43</v>
      </c>
      <c r="D25" s="15" t="s">
        <v>685</v>
      </c>
      <c r="E25" s="9" t="s">
        <v>677</v>
      </c>
      <c r="F25" s="9" t="s">
        <v>14</v>
      </c>
      <c r="G25" s="10" t="n">
        <v>2024</v>
      </c>
      <c r="H25" s="10" t="n">
        <v>10</v>
      </c>
      <c r="I25" s="19" t="n">
        <v>22500</v>
      </c>
      <c r="J25" s="19" t="n">
        <v>25000</v>
      </c>
      <c r="K25" s="10" t="n">
        <v>1250</v>
      </c>
      <c r="L25" s="10" t="n">
        <v>6162</v>
      </c>
      <c r="M25" s="10" t="n">
        <v>95</v>
      </c>
      <c r="N25" s="11" t="n">
        <v>9.7</v>
      </c>
      <c r="O25" s="18" t="s">
        <v>46</v>
      </c>
    </row>
    <row r="26" customFormat="false" ht="15" hidden="false" customHeight="false" outlineLevel="0" collapsed="false">
      <c r="A26" s="18" t="n">
        <v>124806989</v>
      </c>
      <c r="B26" s="10" t="n">
        <v>307</v>
      </c>
      <c r="C26" s="18" t="s">
        <v>43</v>
      </c>
      <c r="D26" s="9" t="s">
        <v>699</v>
      </c>
      <c r="E26" s="9" t="s">
        <v>426</v>
      </c>
      <c r="F26" s="9" t="s">
        <v>14</v>
      </c>
      <c r="G26" s="10" t="n">
        <v>2024</v>
      </c>
      <c r="H26" s="10" t="n">
        <v>10</v>
      </c>
      <c r="I26" s="19" t="n">
        <v>21600</v>
      </c>
      <c r="J26" s="19" t="n">
        <v>24000</v>
      </c>
      <c r="K26" s="10" t="n">
        <v>1200</v>
      </c>
      <c r="L26" s="10" t="n">
        <v>1896</v>
      </c>
      <c r="M26" s="10" t="n">
        <v>14</v>
      </c>
      <c r="N26" s="11" t="n">
        <v>9.7</v>
      </c>
      <c r="O26" s="18" t="s">
        <v>56</v>
      </c>
    </row>
    <row r="27" customFormat="false" ht="15" hidden="false" customHeight="false" outlineLevel="0" collapsed="false">
      <c r="A27" s="18" t="n">
        <v>113791780</v>
      </c>
      <c r="B27" s="10" t="n">
        <v>317</v>
      </c>
      <c r="C27" s="18" t="s">
        <v>43</v>
      </c>
      <c r="D27" s="9" t="s">
        <v>718</v>
      </c>
      <c r="E27" s="9" t="s">
        <v>305</v>
      </c>
      <c r="F27" s="9" t="s">
        <v>14</v>
      </c>
      <c r="G27" s="10" t="n">
        <v>2022</v>
      </c>
      <c r="H27" s="10" t="n">
        <v>10</v>
      </c>
      <c r="I27" s="19" t="n">
        <v>23400</v>
      </c>
      <c r="J27" s="19" t="n">
        <v>26000</v>
      </c>
      <c r="K27" s="10" t="n">
        <v>1300</v>
      </c>
      <c r="L27" s="10" t="n">
        <v>3708</v>
      </c>
      <c r="M27" s="10" t="n">
        <v>120</v>
      </c>
      <c r="N27" s="11" t="n">
        <v>9.9</v>
      </c>
      <c r="O27" s="18" t="s">
        <v>46</v>
      </c>
    </row>
    <row r="28" customFormat="false" ht="15" hidden="false" customHeight="false" outlineLevel="0" collapsed="false">
      <c r="A28" s="18" t="n">
        <v>167434734</v>
      </c>
      <c r="B28" s="10" t="n">
        <v>343</v>
      </c>
      <c r="C28" s="18" t="s">
        <v>43</v>
      </c>
      <c r="D28" s="15" t="s">
        <v>773</v>
      </c>
      <c r="E28" s="9" t="s">
        <v>774</v>
      </c>
      <c r="F28" s="9" t="s">
        <v>14</v>
      </c>
      <c r="G28" s="10" t="n">
        <v>2025</v>
      </c>
      <c r="H28" s="10" t="n">
        <v>10</v>
      </c>
      <c r="I28" s="19" t="n">
        <v>22500</v>
      </c>
      <c r="J28" s="19" t="n">
        <v>25000</v>
      </c>
      <c r="K28" s="10" t="n">
        <v>1250</v>
      </c>
      <c r="L28" s="10" t="n">
        <v>5286</v>
      </c>
      <c r="M28" s="10" t="n">
        <v>23</v>
      </c>
      <c r="N28" s="11" t="n">
        <v>10</v>
      </c>
      <c r="O28" s="18" t="s">
        <v>56</v>
      </c>
    </row>
    <row r="29" customFormat="false" ht="15" hidden="false" customHeight="false" outlineLevel="0" collapsed="false">
      <c r="A29" s="18" t="n">
        <v>182413407</v>
      </c>
      <c r="B29" s="10" t="n">
        <v>374</v>
      </c>
      <c r="C29" s="18" t="s">
        <v>43</v>
      </c>
      <c r="D29" s="15" t="s">
        <v>839</v>
      </c>
      <c r="E29" s="9" t="s">
        <v>426</v>
      </c>
      <c r="F29" s="9" t="s">
        <v>14</v>
      </c>
      <c r="G29" s="10" t="n">
        <v>2026</v>
      </c>
      <c r="H29" s="10" t="n">
        <v>10</v>
      </c>
      <c r="I29" s="19" t="n">
        <v>29700</v>
      </c>
      <c r="J29" s="19" t="n">
        <v>33000</v>
      </c>
      <c r="K29" s="10" t="n">
        <v>1650</v>
      </c>
      <c r="L29" s="10" t="n">
        <v>1128</v>
      </c>
      <c r="M29" s="10" t="n">
        <v>16</v>
      </c>
      <c r="N29" s="11" t="n">
        <v>9.6</v>
      </c>
      <c r="O29" s="18" t="s">
        <v>56</v>
      </c>
    </row>
    <row r="30" customFormat="false" ht="15" hidden="false" customHeight="false" outlineLevel="0" collapsed="false">
      <c r="A30" s="18" t="n">
        <v>180490508</v>
      </c>
      <c r="B30" s="10" t="n">
        <v>380</v>
      </c>
      <c r="C30" s="18" t="s">
        <v>43</v>
      </c>
      <c r="D30" s="9" t="s">
        <v>851</v>
      </c>
      <c r="E30" s="9" t="s">
        <v>852</v>
      </c>
      <c r="F30" s="9" t="s">
        <v>14</v>
      </c>
      <c r="G30" s="10" t="n">
        <v>2026</v>
      </c>
      <c r="H30" s="10" t="n">
        <v>10</v>
      </c>
      <c r="I30" s="19" t="n">
        <v>24300</v>
      </c>
      <c r="J30" s="19" t="n">
        <v>27000</v>
      </c>
      <c r="K30" s="10" t="n">
        <v>1350</v>
      </c>
      <c r="L30" s="10" t="n">
        <v>972</v>
      </c>
      <c r="M30" s="10" t="n">
        <v>13</v>
      </c>
      <c r="N30" s="11" t="n">
        <v>9.7</v>
      </c>
      <c r="O30" s="18" t="s">
        <v>56</v>
      </c>
    </row>
    <row r="31" customFormat="false" ht="15" hidden="false" customHeight="false" outlineLevel="0" collapsed="false">
      <c r="A31" s="18" t="n">
        <v>171566846</v>
      </c>
      <c r="B31" s="10" t="n">
        <v>394</v>
      </c>
      <c r="C31" s="18" t="s">
        <v>43</v>
      </c>
      <c r="D31" s="9" t="s">
        <v>882</v>
      </c>
      <c r="E31" s="9" t="s">
        <v>883</v>
      </c>
      <c r="F31" s="9" t="s">
        <v>14</v>
      </c>
      <c r="G31" s="10" t="n">
        <v>2026</v>
      </c>
      <c r="H31" s="10" t="n">
        <v>10</v>
      </c>
      <c r="I31" s="19" t="n">
        <v>16920</v>
      </c>
      <c r="J31" s="19" t="n">
        <v>18800</v>
      </c>
      <c r="K31" s="10" t="n">
        <v>940</v>
      </c>
      <c r="L31" s="10" t="n">
        <v>5004</v>
      </c>
      <c r="M31" s="10" t="n">
        <v>49</v>
      </c>
      <c r="N31" s="11" t="n">
        <v>9.7</v>
      </c>
      <c r="O31" s="18" t="s">
        <v>56</v>
      </c>
    </row>
    <row r="32" customFormat="false" ht="15" hidden="false" customHeight="false" outlineLevel="0" collapsed="false">
      <c r="A32" s="18" t="n">
        <v>170998602</v>
      </c>
      <c r="B32" s="10" t="n">
        <v>395</v>
      </c>
      <c r="C32" s="18" t="s">
        <v>43</v>
      </c>
      <c r="D32" s="9" t="s">
        <v>884</v>
      </c>
      <c r="E32" s="9" t="s">
        <v>885</v>
      </c>
      <c r="F32" s="9" t="s">
        <v>14</v>
      </c>
      <c r="G32" s="10" t="n">
        <v>2026</v>
      </c>
      <c r="H32" s="10" t="n">
        <v>10</v>
      </c>
      <c r="I32" s="19" t="n">
        <v>23400</v>
      </c>
      <c r="J32" s="19" t="n">
        <v>26000</v>
      </c>
      <c r="K32" s="10" t="n">
        <v>1300</v>
      </c>
      <c r="L32" s="10" t="n">
        <v>3051</v>
      </c>
      <c r="M32" s="10" t="n">
        <v>61</v>
      </c>
      <c r="N32" s="11" t="n">
        <v>9.9</v>
      </c>
      <c r="O32" s="18" t="s">
        <v>56</v>
      </c>
    </row>
    <row r="33" customFormat="false" ht="15" hidden="false" customHeight="false" outlineLevel="0" collapsed="false">
      <c r="A33" s="18" t="n">
        <v>167463337</v>
      </c>
      <c r="B33" s="10" t="n">
        <v>407</v>
      </c>
      <c r="C33" s="18" t="s">
        <v>43</v>
      </c>
      <c r="D33" s="9" t="s">
        <v>908</v>
      </c>
      <c r="E33" s="9" t="s">
        <v>909</v>
      </c>
      <c r="F33" s="9" t="s">
        <v>14</v>
      </c>
      <c r="G33" s="10" t="n">
        <v>2025</v>
      </c>
      <c r="H33" s="10" t="n">
        <v>10</v>
      </c>
      <c r="I33" s="19" t="n">
        <v>19800</v>
      </c>
      <c r="J33" s="19" t="n">
        <v>22000</v>
      </c>
      <c r="K33" s="10" t="n">
        <v>1100</v>
      </c>
      <c r="L33" s="10" t="n">
        <v>2988</v>
      </c>
      <c r="M33" s="10" t="n">
        <v>20</v>
      </c>
      <c r="N33" s="11" t="n">
        <v>9.7</v>
      </c>
      <c r="O33" s="18" t="s">
        <v>56</v>
      </c>
    </row>
    <row r="34" customFormat="false" ht="15" hidden="false" customHeight="false" outlineLevel="0" collapsed="false">
      <c r="A34" s="18" t="n">
        <v>154159841</v>
      </c>
      <c r="B34" s="10" t="n">
        <v>415</v>
      </c>
      <c r="C34" s="18" t="s">
        <v>43</v>
      </c>
      <c r="D34" s="9" t="s">
        <v>922</v>
      </c>
      <c r="E34" s="9" t="s">
        <v>923</v>
      </c>
      <c r="F34" s="9" t="s">
        <v>14</v>
      </c>
      <c r="G34" s="10" t="n">
        <v>2025</v>
      </c>
      <c r="H34" s="10" t="n">
        <v>10</v>
      </c>
      <c r="I34" s="19" t="n">
        <v>31500</v>
      </c>
      <c r="J34" s="19" t="n">
        <v>35000</v>
      </c>
      <c r="K34" s="10" t="n">
        <v>1750</v>
      </c>
      <c r="L34" s="10" t="n">
        <v>6330</v>
      </c>
      <c r="M34" s="10" t="n">
        <v>19</v>
      </c>
      <c r="N34" s="11" t="n">
        <v>9.7</v>
      </c>
      <c r="O34" s="18" t="s">
        <v>56</v>
      </c>
    </row>
    <row r="35" customFormat="false" ht="15" hidden="false" customHeight="false" outlineLevel="0" collapsed="false">
      <c r="A35" s="18" t="n">
        <v>152470295</v>
      </c>
      <c r="B35" s="10" t="n">
        <v>420</v>
      </c>
      <c r="C35" s="18" t="s">
        <v>43</v>
      </c>
      <c r="D35" s="15" t="s">
        <v>931</v>
      </c>
      <c r="E35" s="9" t="s">
        <v>932</v>
      </c>
      <c r="F35" s="9" t="s">
        <v>14</v>
      </c>
      <c r="G35" s="10" t="n">
        <v>2025</v>
      </c>
      <c r="H35" s="10" t="n">
        <v>10</v>
      </c>
      <c r="I35" s="19" t="n">
        <v>29700</v>
      </c>
      <c r="J35" s="19" t="n">
        <v>33000</v>
      </c>
      <c r="K35" s="10" t="n">
        <v>1650</v>
      </c>
      <c r="L35" s="10" t="n">
        <v>1752</v>
      </c>
      <c r="M35" s="10" t="n">
        <v>15</v>
      </c>
      <c r="N35" s="11" t="n">
        <v>9.9</v>
      </c>
      <c r="O35" s="18" t="s">
        <v>56</v>
      </c>
    </row>
    <row r="36" customFormat="false" ht="15" hidden="false" customHeight="false" outlineLevel="0" collapsed="false">
      <c r="A36" s="18" t="n">
        <v>149224228</v>
      </c>
      <c r="B36" s="10" t="n">
        <v>425</v>
      </c>
      <c r="C36" s="18" t="s">
        <v>43</v>
      </c>
      <c r="D36" s="9" t="s">
        <v>942</v>
      </c>
      <c r="E36" s="9" t="s">
        <v>943</v>
      </c>
      <c r="F36" s="9" t="s">
        <v>14</v>
      </c>
      <c r="G36" s="10" t="n">
        <v>2025</v>
      </c>
      <c r="H36" s="10" t="n">
        <v>10</v>
      </c>
      <c r="I36" s="19" t="n">
        <v>27000</v>
      </c>
      <c r="J36" s="19" t="n">
        <v>30000</v>
      </c>
      <c r="K36" s="10" t="n">
        <v>1500</v>
      </c>
      <c r="L36" s="10" t="n">
        <v>2640</v>
      </c>
      <c r="M36" s="10" t="n">
        <v>14</v>
      </c>
      <c r="N36" s="11" t="n">
        <v>10</v>
      </c>
      <c r="O36" s="18" t="s">
        <v>56</v>
      </c>
    </row>
    <row r="37" customFormat="false" ht="15" hidden="false" customHeight="false" outlineLevel="0" collapsed="false">
      <c r="A37" s="18" t="n">
        <v>148562901</v>
      </c>
      <c r="B37" s="10" t="n">
        <v>427</v>
      </c>
      <c r="C37" s="18" t="s">
        <v>43</v>
      </c>
      <c r="D37" s="9" t="s">
        <v>945</v>
      </c>
      <c r="E37" s="15" t="s">
        <v>946</v>
      </c>
      <c r="F37" s="9" t="s">
        <v>14</v>
      </c>
      <c r="G37" s="10" t="n">
        <v>2025</v>
      </c>
      <c r="H37" s="10" t="n">
        <v>10</v>
      </c>
      <c r="I37" s="19" t="n">
        <v>19800</v>
      </c>
      <c r="J37" s="19" t="n">
        <v>22000</v>
      </c>
      <c r="K37" s="10" t="n">
        <v>1100</v>
      </c>
      <c r="L37" s="10" t="n">
        <v>9372</v>
      </c>
      <c r="M37" s="10" t="n">
        <v>144</v>
      </c>
      <c r="N37" s="11" t="n">
        <v>9.8</v>
      </c>
      <c r="O37" s="18" t="s">
        <v>56</v>
      </c>
    </row>
    <row r="38" customFormat="false" ht="15" hidden="false" customHeight="false" outlineLevel="0" collapsed="false">
      <c r="A38" s="18" t="n">
        <v>147977458</v>
      </c>
      <c r="B38" s="10" t="n">
        <v>431</v>
      </c>
      <c r="C38" s="18" t="s">
        <v>43</v>
      </c>
      <c r="D38" s="9" t="s">
        <v>954</v>
      </c>
      <c r="E38" s="9" t="s">
        <v>955</v>
      </c>
      <c r="F38" s="9" t="s">
        <v>14</v>
      </c>
      <c r="G38" s="10" t="n">
        <v>2025</v>
      </c>
      <c r="H38" s="10" t="n">
        <v>10</v>
      </c>
      <c r="I38" s="19" t="n">
        <v>20700</v>
      </c>
      <c r="J38" s="19" t="n">
        <v>23000</v>
      </c>
      <c r="K38" s="10" t="n">
        <v>1150</v>
      </c>
      <c r="L38" s="10" t="n">
        <v>3690</v>
      </c>
      <c r="M38" s="10" t="n">
        <v>35</v>
      </c>
      <c r="N38" s="11" t="n">
        <v>9.9</v>
      </c>
      <c r="O38" s="18" t="s">
        <v>56</v>
      </c>
    </row>
    <row r="39" customFormat="false" ht="15" hidden="false" customHeight="false" outlineLevel="0" collapsed="false">
      <c r="A39" s="18" t="n">
        <v>147626022</v>
      </c>
      <c r="B39" s="10" t="n">
        <v>434</v>
      </c>
      <c r="C39" s="18" t="s">
        <v>43</v>
      </c>
      <c r="D39" s="9" t="s">
        <v>959</v>
      </c>
      <c r="E39" s="9" t="s">
        <v>960</v>
      </c>
      <c r="F39" s="9" t="s">
        <v>14</v>
      </c>
      <c r="G39" s="10" t="n">
        <v>2025</v>
      </c>
      <c r="H39" s="10" t="n">
        <v>10</v>
      </c>
      <c r="I39" s="19" t="n">
        <v>21600</v>
      </c>
      <c r="J39" s="19" t="n">
        <v>24000</v>
      </c>
      <c r="K39" s="10" t="n">
        <v>1200</v>
      </c>
      <c r="L39" s="10" t="n">
        <v>5124</v>
      </c>
      <c r="M39" s="10" t="n">
        <v>49</v>
      </c>
      <c r="N39" s="11" t="n">
        <v>9.7</v>
      </c>
      <c r="O39" s="18" t="s">
        <v>56</v>
      </c>
    </row>
    <row r="40" customFormat="false" ht="15" hidden="false" customHeight="false" outlineLevel="0" collapsed="false">
      <c r="A40" s="18" t="n">
        <v>146051138</v>
      </c>
      <c r="B40" s="10" t="n">
        <v>438</v>
      </c>
      <c r="C40" s="18" t="s">
        <v>43</v>
      </c>
      <c r="D40" s="9" t="s">
        <v>968</v>
      </c>
      <c r="E40" s="9" t="s">
        <v>969</v>
      </c>
      <c r="F40" s="9" t="s">
        <v>14</v>
      </c>
      <c r="G40" s="10" t="n">
        <v>2025</v>
      </c>
      <c r="H40" s="10" t="n">
        <v>10</v>
      </c>
      <c r="I40" s="19" t="n">
        <v>23400</v>
      </c>
      <c r="J40" s="19" t="n">
        <v>26000</v>
      </c>
      <c r="K40" s="10" t="n">
        <v>1300</v>
      </c>
      <c r="L40" s="10" t="n">
        <v>936</v>
      </c>
      <c r="M40" s="10" t="n">
        <v>20</v>
      </c>
      <c r="N40" s="11" t="n">
        <v>10</v>
      </c>
      <c r="O40" s="18" t="s">
        <v>56</v>
      </c>
    </row>
    <row r="41" customFormat="false" ht="15" hidden="false" customHeight="false" outlineLevel="0" collapsed="false">
      <c r="A41" s="18" t="n">
        <v>138725294</v>
      </c>
      <c r="B41" s="10" t="n">
        <v>464</v>
      </c>
      <c r="C41" s="18" t="s">
        <v>43</v>
      </c>
      <c r="D41" s="9" t="s">
        <v>1017</v>
      </c>
      <c r="E41" s="9" t="s">
        <v>1018</v>
      </c>
      <c r="F41" s="9" t="s">
        <v>14</v>
      </c>
      <c r="G41" s="10" t="n">
        <v>2024</v>
      </c>
      <c r="H41" s="10" t="n">
        <v>10</v>
      </c>
      <c r="I41" s="19" t="n">
        <v>18000</v>
      </c>
      <c r="J41" s="19" t="n">
        <v>20000</v>
      </c>
      <c r="K41" s="10" t="n">
        <v>1000</v>
      </c>
      <c r="L41" s="10" t="n">
        <v>594</v>
      </c>
      <c r="M41" s="10" t="n">
        <v>12</v>
      </c>
      <c r="N41" s="11" t="n">
        <v>8.7</v>
      </c>
      <c r="O41" s="18" t="s">
        <v>56</v>
      </c>
    </row>
    <row r="42" customFormat="false" ht="15" hidden="false" customHeight="false" outlineLevel="0" collapsed="false">
      <c r="A42" s="18" t="n">
        <v>126158349</v>
      </c>
      <c r="B42" s="10" t="n">
        <v>491</v>
      </c>
      <c r="C42" s="18" t="s">
        <v>43</v>
      </c>
      <c r="D42" s="9" t="s">
        <v>1074</v>
      </c>
      <c r="E42" s="9" t="s">
        <v>1075</v>
      </c>
      <c r="F42" s="9" t="s">
        <v>14</v>
      </c>
      <c r="G42" s="10" t="n">
        <v>2024</v>
      </c>
      <c r="H42" s="10" t="n">
        <v>10</v>
      </c>
      <c r="I42" s="19" t="n">
        <v>39600</v>
      </c>
      <c r="J42" s="19" t="n">
        <v>44000</v>
      </c>
      <c r="K42" s="10" t="n">
        <v>2200</v>
      </c>
      <c r="L42" s="10" t="n">
        <v>654</v>
      </c>
      <c r="M42" s="10" t="n">
        <v>15</v>
      </c>
      <c r="N42" s="11" t="n">
        <v>9.5</v>
      </c>
      <c r="O42" s="18" t="s">
        <v>56</v>
      </c>
    </row>
    <row r="43" customFormat="false" ht="15" hidden="false" customHeight="false" outlineLevel="0" collapsed="false">
      <c r="A43" s="18" t="n">
        <v>121769526</v>
      </c>
      <c r="B43" s="10" t="n">
        <v>505</v>
      </c>
      <c r="C43" s="18" t="s">
        <v>43</v>
      </c>
      <c r="D43" s="9" t="s">
        <v>1101</v>
      </c>
      <c r="E43" s="9" t="s">
        <v>1102</v>
      </c>
      <c r="F43" s="9" t="s">
        <v>14</v>
      </c>
      <c r="G43" s="10" t="n">
        <v>2023</v>
      </c>
      <c r="H43" s="10" t="n">
        <v>10</v>
      </c>
      <c r="I43" s="19" t="n">
        <v>21600</v>
      </c>
      <c r="J43" s="19" t="n">
        <v>24000</v>
      </c>
      <c r="K43" s="10" t="n">
        <v>1200</v>
      </c>
      <c r="L43" s="10" t="n">
        <v>534</v>
      </c>
      <c r="M43" s="10" t="n">
        <v>21</v>
      </c>
      <c r="N43" s="11" t="n">
        <v>9.7</v>
      </c>
      <c r="O43" s="18" t="s">
        <v>56</v>
      </c>
    </row>
    <row r="44" customFormat="false" ht="15" hidden="false" customHeight="false" outlineLevel="0" collapsed="false">
      <c r="A44" s="18" t="n">
        <v>120241473</v>
      </c>
      <c r="B44" s="10" t="n">
        <v>508</v>
      </c>
      <c r="C44" s="18" t="s">
        <v>43</v>
      </c>
      <c r="D44" s="9" t="s">
        <v>1107</v>
      </c>
      <c r="E44" s="9" t="s">
        <v>1108</v>
      </c>
      <c r="F44" s="9" t="s">
        <v>14</v>
      </c>
      <c r="G44" s="10" t="n">
        <v>2023</v>
      </c>
      <c r="H44" s="10" t="n">
        <v>10</v>
      </c>
      <c r="I44" s="19" t="n">
        <v>19800</v>
      </c>
      <c r="J44" s="19" t="n">
        <v>22000</v>
      </c>
      <c r="K44" s="10" t="n">
        <v>1100</v>
      </c>
      <c r="L44" s="10" t="n">
        <v>2298</v>
      </c>
      <c r="M44" s="10" t="n">
        <v>17</v>
      </c>
      <c r="N44" s="11" t="n">
        <v>9.6</v>
      </c>
      <c r="O44" s="18" t="s">
        <v>46</v>
      </c>
    </row>
    <row r="45" customFormat="false" ht="15" hidden="false" customHeight="false" outlineLevel="0" collapsed="false">
      <c r="A45" s="18" t="n">
        <v>119423307</v>
      </c>
      <c r="B45" s="10" t="n">
        <v>510</v>
      </c>
      <c r="C45" s="18" t="s">
        <v>43</v>
      </c>
      <c r="D45" s="9" t="s">
        <v>1111</v>
      </c>
      <c r="E45" s="9" t="s">
        <v>1112</v>
      </c>
      <c r="F45" s="9" t="s">
        <v>14</v>
      </c>
      <c r="G45" s="10" t="n">
        <v>2023</v>
      </c>
      <c r="H45" s="10" t="n">
        <v>10</v>
      </c>
      <c r="I45" s="19" t="n">
        <v>27000</v>
      </c>
      <c r="J45" s="19" t="n">
        <v>30000</v>
      </c>
      <c r="K45" s="10" t="n">
        <v>1500</v>
      </c>
      <c r="L45" s="10" t="n">
        <v>1158</v>
      </c>
      <c r="M45" s="10" t="n">
        <v>14</v>
      </c>
      <c r="N45" s="11" t="n">
        <v>9.6</v>
      </c>
      <c r="O45" s="18" t="s">
        <v>56</v>
      </c>
    </row>
    <row r="46" customFormat="false" ht="15" hidden="false" customHeight="false" outlineLevel="0" collapsed="false">
      <c r="A46" s="18" t="n">
        <v>116613668</v>
      </c>
      <c r="B46" s="10" t="n">
        <v>520</v>
      </c>
      <c r="C46" s="18" t="s">
        <v>43</v>
      </c>
      <c r="D46" s="9" t="s">
        <v>1132</v>
      </c>
      <c r="E46" s="9" t="s">
        <v>1133</v>
      </c>
      <c r="F46" s="9" t="s">
        <v>14</v>
      </c>
      <c r="G46" s="10" t="n">
        <v>2022</v>
      </c>
      <c r="H46" s="10" t="n">
        <v>10</v>
      </c>
      <c r="I46" s="19" t="n">
        <v>16200</v>
      </c>
      <c r="J46" s="19" t="n">
        <v>18000</v>
      </c>
      <c r="K46" s="10" t="n">
        <v>900</v>
      </c>
      <c r="L46" s="10" t="n">
        <v>2148</v>
      </c>
      <c r="M46" s="10" t="n">
        <v>2</v>
      </c>
      <c r="N46" s="11" t="n">
        <v>8</v>
      </c>
      <c r="O46" s="18" t="s">
        <v>56</v>
      </c>
    </row>
    <row r="47" customFormat="false" ht="15" hidden="false" customHeight="false" outlineLevel="0" collapsed="false">
      <c r="A47" s="18" t="n">
        <v>99002759</v>
      </c>
      <c r="B47" s="10" t="n">
        <v>551</v>
      </c>
      <c r="C47" s="18" t="s">
        <v>43</v>
      </c>
      <c r="D47" s="9" t="s">
        <v>1194</v>
      </c>
      <c r="E47" s="9" t="s">
        <v>1195</v>
      </c>
      <c r="F47" s="9" t="s">
        <v>14</v>
      </c>
      <c r="G47" s="10" t="n">
        <v>2021</v>
      </c>
      <c r="H47" s="10" t="n">
        <v>10</v>
      </c>
      <c r="I47" s="19" t="n">
        <v>15300</v>
      </c>
      <c r="J47" s="19" t="n">
        <v>17000</v>
      </c>
      <c r="K47" s="10" t="n">
        <v>850</v>
      </c>
      <c r="L47" s="10" t="n">
        <v>1074</v>
      </c>
      <c r="M47" s="10" t="n">
        <v>118</v>
      </c>
      <c r="N47" s="11" t="n">
        <v>9.6</v>
      </c>
      <c r="O47" s="18" t="s">
        <v>46</v>
      </c>
    </row>
    <row r="48" customFormat="false" ht="15" hidden="false" customHeight="false" outlineLevel="0" collapsed="false">
      <c r="A48" s="18" t="n">
        <v>72227684</v>
      </c>
      <c r="B48" s="10" t="n">
        <v>563</v>
      </c>
      <c r="C48" s="18" t="s">
        <v>43</v>
      </c>
      <c r="D48" s="9" t="s">
        <v>1216</v>
      </c>
      <c r="E48" s="9" t="s">
        <v>1217</v>
      </c>
      <c r="F48" s="9" t="s">
        <v>14</v>
      </c>
      <c r="G48" s="10" t="n">
        <v>2019</v>
      </c>
      <c r="H48" s="10" t="n">
        <v>10</v>
      </c>
      <c r="I48" s="19" t="n">
        <v>16200</v>
      </c>
      <c r="J48" s="19" t="n">
        <v>18000</v>
      </c>
      <c r="K48" s="10" t="n">
        <v>900</v>
      </c>
      <c r="L48" s="10" t="n">
        <v>3375</v>
      </c>
      <c r="M48" s="10" t="n">
        <v>34</v>
      </c>
      <c r="N48" s="11" t="n">
        <v>9.4</v>
      </c>
      <c r="O48" s="18" t="s">
        <v>46</v>
      </c>
    </row>
    <row r="49" customFormat="false" ht="15" hidden="false" customHeight="false" outlineLevel="0" collapsed="false">
      <c r="A49" s="18" t="n">
        <v>66531799</v>
      </c>
      <c r="B49" s="10" t="n">
        <v>566</v>
      </c>
      <c r="C49" s="18" t="s">
        <v>43</v>
      </c>
      <c r="D49" s="9" t="s">
        <v>1221</v>
      </c>
      <c r="E49" s="9" t="s">
        <v>1222</v>
      </c>
      <c r="F49" s="9" t="s">
        <v>14</v>
      </c>
      <c r="G49" s="10" t="n">
        <v>2018</v>
      </c>
      <c r="H49" s="10" t="n">
        <v>10</v>
      </c>
      <c r="I49" s="19" t="n">
        <v>10800</v>
      </c>
      <c r="J49" s="19" t="n">
        <v>12000</v>
      </c>
      <c r="K49" s="10" t="n">
        <v>600</v>
      </c>
      <c r="L49" s="10" t="n">
        <v>2523</v>
      </c>
      <c r="M49" s="10" t="n">
        <v>50</v>
      </c>
      <c r="N49" s="11" t="n">
        <v>9.7</v>
      </c>
      <c r="O49" s="18" t="s">
        <v>46</v>
      </c>
    </row>
    <row r="50" customFormat="false" ht="15" hidden="false" customHeight="false" outlineLevel="0" collapsed="false">
      <c r="A50" s="18" t="n">
        <v>151263244</v>
      </c>
      <c r="B50" s="10" t="n">
        <v>585</v>
      </c>
      <c r="C50" s="18" t="s">
        <v>43</v>
      </c>
      <c r="D50" s="9" t="s">
        <v>1266</v>
      </c>
      <c r="E50" s="9" t="s">
        <v>1267</v>
      </c>
      <c r="F50" s="9" t="s">
        <v>14</v>
      </c>
      <c r="G50" s="10" t="n">
        <v>2025</v>
      </c>
      <c r="H50" s="10" t="n">
        <v>10</v>
      </c>
      <c r="I50" s="19" t="n">
        <v>16920</v>
      </c>
      <c r="J50" s="19" t="n">
        <v>18800</v>
      </c>
      <c r="K50" s="10" t="n">
        <v>940</v>
      </c>
      <c r="L50" s="10" t="n">
        <v>1152</v>
      </c>
      <c r="M50" s="10" t="n">
        <v>16</v>
      </c>
      <c r="N50" s="11" t="n">
        <v>9.9</v>
      </c>
      <c r="O50" s="18" t="s">
        <v>56</v>
      </c>
    </row>
    <row r="51" customFormat="false" ht="15" hidden="false" customHeight="false" outlineLevel="0" collapsed="false">
      <c r="A51" s="18" t="n">
        <v>189752153</v>
      </c>
      <c r="B51" s="10" t="n">
        <v>596</v>
      </c>
      <c r="C51" s="18" t="s">
        <v>43</v>
      </c>
      <c r="D51" s="9" t="s">
        <v>1288</v>
      </c>
      <c r="E51" s="9" t="s">
        <v>1289</v>
      </c>
      <c r="F51" s="9" t="s">
        <v>14</v>
      </c>
      <c r="G51" s="10" t="n">
        <v>2026</v>
      </c>
      <c r="H51" s="10" t="n">
        <v>10</v>
      </c>
      <c r="I51" s="19" t="n">
        <v>19800</v>
      </c>
      <c r="J51" s="19" t="n">
        <v>22000</v>
      </c>
      <c r="K51" s="10" t="n">
        <v>1100</v>
      </c>
      <c r="L51" s="10" t="n">
        <v>102</v>
      </c>
      <c r="M51" s="10" t="n">
        <v>1</v>
      </c>
      <c r="N51" s="11" t="n">
        <v>10</v>
      </c>
      <c r="O51" s="18" t="s">
        <v>56</v>
      </c>
    </row>
    <row r="52" customFormat="false" ht="15" hidden="false" customHeight="false" outlineLevel="0" collapsed="false">
      <c r="A52" s="18" t="n">
        <v>189045142</v>
      </c>
      <c r="B52" s="10" t="n">
        <v>605</v>
      </c>
      <c r="C52" s="18" t="s">
        <v>43</v>
      </c>
      <c r="D52" s="9" t="s">
        <v>1307</v>
      </c>
      <c r="E52" s="9" t="s">
        <v>1308</v>
      </c>
      <c r="F52" s="9" t="s">
        <v>14</v>
      </c>
      <c r="G52" s="10" t="n">
        <v>2026</v>
      </c>
      <c r="H52" s="10" t="n">
        <v>10</v>
      </c>
      <c r="I52" s="19" t="n">
        <v>28800</v>
      </c>
      <c r="J52" s="19" t="n">
        <v>32000</v>
      </c>
      <c r="K52" s="10" t="n">
        <v>1600</v>
      </c>
      <c r="L52" s="10" t="n">
        <v>648</v>
      </c>
      <c r="M52" s="10" t="n">
        <v>3</v>
      </c>
      <c r="N52" s="11" t="n">
        <v>9.3</v>
      </c>
      <c r="O52" s="18" t="s">
        <v>56</v>
      </c>
    </row>
    <row r="53" customFormat="false" ht="15" hidden="false" customHeight="false" outlineLevel="0" collapsed="false">
      <c r="A53" s="18" t="n">
        <v>183754087</v>
      </c>
      <c r="B53" s="10" t="n">
        <v>628</v>
      </c>
      <c r="C53" s="18" t="s">
        <v>43</v>
      </c>
      <c r="D53" s="9" t="s">
        <v>1355</v>
      </c>
      <c r="E53" s="9" t="s">
        <v>1356</v>
      </c>
      <c r="F53" s="9" t="s">
        <v>14</v>
      </c>
      <c r="G53" s="10" t="n">
        <v>2026</v>
      </c>
      <c r="H53" s="10" t="n">
        <v>10</v>
      </c>
      <c r="I53" s="19" t="n">
        <v>23400</v>
      </c>
      <c r="J53" s="19" t="n">
        <v>26000</v>
      </c>
      <c r="K53" s="10" t="n">
        <v>1300</v>
      </c>
      <c r="L53" s="10" t="n">
        <v>678</v>
      </c>
      <c r="M53" s="10" t="n">
        <v>7</v>
      </c>
      <c r="N53" s="11" t="n">
        <v>10</v>
      </c>
      <c r="O53" s="18" t="s">
        <v>56</v>
      </c>
    </row>
    <row r="54" customFormat="false" ht="15" hidden="false" customHeight="false" outlineLevel="0" collapsed="false">
      <c r="A54" s="18" t="n">
        <v>178423441</v>
      </c>
      <c r="B54" s="10" t="n">
        <v>665</v>
      </c>
      <c r="C54" s="18" t="s">
        <v>43</v>
      </c>
      <c r="D54" s="9" t="s">
        <v>1429</v>
      </c>
      <c r="E54" s="9" t="s">
        <v>1430</v>
      </c>
      <c r="F54" s="9" t="s">
        <v>14</v>
      </c>
      <c r="G54" s="10" t="n">
        <v>2026</v>
      </c>
      <c r="H54" s="10" t="n">
        <v>10</v>
      </c>
      <c r="I54" s="19" t="n">
        <v>29700</v>
      </c>
      <c r="J54" s="19" t="n">
        <v>33000</v>
      </c>
      <c r="K54" s="10" t="n">
        <v>1650</v>
      </c>
      <c r="L54" s="10" t="n">
        <v>858</v>
      </c>
      <c r="M54" s="10" t="n">
        <v>14</v>
      </c>
      <c r="N54" s="11" t="n">
        <v>10</v>
      </c>
      <c r="O54" s="18" t="s">
        <v>56</v>
      </c>
    </row>
    <row r="55" customFormat="false" ht="15" hidden="false" customHeight="false" outlineLevel="0" collapsed="false">
      <c r="A55" s="18" t="n">
        <v>176548558</v>
      </c>
      <c r="B55" s="10" t="n">
        <v>682</v>
      </c>
      <c r="C55" s="18" t="s">
        <v>43</v>
      </c>
      <c r="D55" s="9" t="s">
        <v>1464</v>
      </c>
      <c r="E55" s="9" t="s">
        <v>1465</v>
      </c>
      <c r="F55" s="9" t="s">
        <v>14</v>
      </c>
      <c r="G55" s="10" t="n">
        <v>2026</v>
      </c>
      <c r="H55" s="10" t="n">
        <v>10</v>
      </c>
      <c r="I55" s="19" t="n">
        <v>27000</v>
      </c>
      <c r="J55" s="19" t="n">
        <v>30000</v>
      </c>
      <c r="K55" s="10" t="n">
        <v>1500</v>
      </c>
      <c r="L55" s="10" t="n">
        <v>1266</v>
      </c>
      <c r="M55" s="10" t="n">
        <v>14</v>
      </c>
      <c r="N55" s="11" t="n">
        <v>10</v>
      </c>
      <c r="O55" s="18" t="s">
        <v>56</v>
      </c>
    </row>
    <row r="56" customFormat="false" ht="15" hidden="false" customHeight="false" outlineLevel="0" collapsed="false">
      <c r="A56" s="18" t="n">
        <v>167584729</v>
      </c>
      <c r="B56" s="10" t="n">
        <v>721</v>
      </c>
      <c r="C56" s="18" t="s">
        <v>43</v>
      </c>
      <c r="D56" s="15" t="s">
        <v>1539</v>
      </c>
      <c r="E56" s="9" t="s">
        <v>1540</v>
      </c>
      <c r="F56" s="9" t="s">
        <v>14</v>
      </c>
      <c r="G56" s="10" t="n">
        <v>2025</v>
      </c>
      <c r="H56" s="10" t="n">
        <v>10</v>
      </c>
      <c r="I56" s="19" t="n">
        <v>21600</v>
      </c>
      <c r="J56" s="19" t="n">
        <v>24000</v>
      </c>
      <c r="K56" s="10" t="n">
        <v>1200</v>
      </c>
      <c r="L56" s="10" t="n">
        <v>1782</v>
      </c>
      <c r="M56" s="10" t="n">
        <v>20</v>
      </c>
      <c r="N56" s="11" t="n">
        <v>9.6</v>
      </c>
      <c r="O56" s="18" t="s">
        <v>56</v>
      </c>
    </row>
    <row r="57" customFormat="false" ht="15" hidden="false" customHeight="false" outlineLevel="0" collapsed="false">
      <c r="A57" s="18" t="n">
        <v>167584726</v>
      </c>
      <c r="B57" s="10" t="n">
        <v>722</v>
      </c>
      <c r="C57" s="18" t="s">
        <v>43</v>
      </c>
      <c r="D57" s="15" t="s">
        <v>1541</v>
      </c>
      <c r="E57" s="9" t="s">
        <v>269</v>
      </c>
      <c r="F57" s="9" t="s">
        <v>14</v>
      </c>
      <c r="G57" s="10" t="n">
        <v>2025</v>
      </c>
      <c r="H57" s="10" t="n">
        <v>10</v>
      </c>
      <c r="I57" s="19" t="n">
        <v>21600</v>
      </c>
      <c r="J57" s="19" t="n">
        <v>24000</v>
      </c>
      <c r="K57" s="10" t="n">
        <v>1200</v>
      </c>
      <c r="L57" s="10" t="n">
        <v>2004</v>
      </c>
      <c r="M57" s="10" t="n">
        <v>28</v>
      </c>
      <c r="N57" s="11" t="n">
        <v>9.9</v>
      </c>
      <c r="O57" s="18" t="s">
        <v>56</v>
      </c>
    </row>
    <row r="58" customFormat="false" ht="15" hidden="false" customHeight="false" outlineLevel="0" collapsed="false">
      <c r="A58" s="18" t="n">
        <v>162329199</v>
      </c>
      <c r="B58" s="10" t="n">
        <v>739</v>
      </c>
      <c r="C58" s="18" t="s">
        <v>43</v>
      </c>
      <c r="D58" s="9" t="s">
        <v>1576</v>
      </c>
      <c r="E58" s="9" t="s">
        <v>1577</v>
      </c>
      <c r="F58" s="9" t="s">
        <v>14</v>
      </c>
      <c r="G58" s="10" t="n">
        <v>2025</v>
      </c>
      <c r="H58" s="10" t="n">
        <v>10</v>
      </c>
      <c r="I58" s="19" t="n">
        <v>37800</v>
      </c>
      <c r="J58" s="19" t="n">
        <v>42000</v>
      </c>
      <c r="K58" s="10" t="n">
        <v>2100</v>
      </c>
      <c r="L58" s="10" t="n">
        <v>822</v>
      </c>
      <c r="M58" s="10" t="n">
        <v>26</v>
      </c>
      <c r="N58" s="11" t="n">
        <v>9.8</v>
      </c>
      <c r="O58" s="18" t="s">
        <v>56</v>
      </c>
    </row>
    <row r="59" customFormat="false" ht="15" hidden="false" customHeight="false" outlineLevel="0" collapsed="false">
      <c r="A59" s="18" t="n">
        <v>162116171</v>
      </c>
      <c r="B59" s="10" t="n">
        <v>740</v>
      </c>
      <c r="C59" s="18" t="s">
        <v>43</v>
      </c>
      <c r="D59" s="9" t="s">
        <v>1578</v>
      </c>
      <c r="E59" s="9" t="s">
        <v>1579</v>
      </c>
      <c r="F59" s="9" t="s">
        <v>14</v>
      </c>
      <c r="G59" s="10" t="n">
        <v>2025</v>
      </c>
      <c r="H59" s="10" t="n">
        <v>10</v>
      </c>
      <c r="I59" s="19" t="n">
        <v>21600</v>
      </c>
      <c r="J59" s="19" t="n">
        <v>24000</v>
      </c>
      <c r="K59" s="10" t="n">
        <v>1200</v>
      </c>
      <c r="L59" s="10" t="n">
        <v>1512</v>
      </c>
      <c r="M59" s="10" t="n">
        <v>19</v>
      </c>
      <c r="N59" s="11" t="n">
        <v>9.9</v>
      </c>
      <c r="O59" s="18" t="s">
        <v>56</v>
      </c>
    </row>
    <row r="60" customFormat="false" ht="15" hidden="false" customHeight="false" outlineLevel="0" collapsed="false">
      <c r="A60" s="18" t="n">
        <v>154647261</v>
      </c>
      <c r="B60" s="10" t="n">
        <v>758</v>
      </c>
      <c r="C60" s="18" t="s">
        <v>43</v>
      </c>
      <c r="D60" s="9" t="s">
        <v>1616</v>
      </c>
      <c r="E60" s="9" t="s">
        <v>1617</v>
      </c>
      <c r="F60" s="9" t="s">
        <v>14</v>
      </c>
      <c r="G60" s="10" t="n">
        <v>2025</v>
      </c>
      <c r="H60" s="10" t="n">
        <v>5</v>
      </c>
      <c r="I60" s="19" t="n">
        <v>22800</v>
      </c>
      <c r="J60" s="19" t="n">
        <v>24000</v>
      </c>
      <c r="K60" s="10" t="n">
        <v>1200</v>
      </c>
      <c r="L60" s="10" t="n">
        <v>516</v>
      </c>
      <c r="M60" s="10" t="n">
        <v>11</v>
      </c>
      <c r="N60" s="11" t="n">
        <v>10</v>
      </c>
      <c r="O60" s="18" t="s">
        <v>56</v>
      </c>
    </row>
    <row r="61" customFormat="false" ht="15" hidden="false" customHeight="false" outlineLevel="0" collapsed="false">
      <c r="A61" s="18" t="n">
        <v>153827070</v>
      </c>
      <c r="B61" s="10" t="n">
        <v>766</v>
      </c>
      <c r="C61" s="18" t="s">
        <v>43</v>
      </c>
      <c r="D61" s="9" t="s">
        <v>1632</v>
      </c>
      <c r="E61" s="9" t="s">
        <v>1633</v>
      </c>
      <c r="F61" s="9" t="s">
        <v>14</v>
      </c>
      <c r="G61" s="10" t="n">
        <v>2025</v>
      </c>
      <c r="H61" s="10" t="n">
        <v>10</v>
      </c>
      <c r="I61" s="19" t="n">
        <v>25200</v>
      </c>
      <c r="J61" s="19" t="n">
        <v>28000</v>
      </c>
      <c r="K61" s="10" t="n">
        <v>1400</v>
      </c>
      <c r="L61" s="10" t="n">
        <v>993</v>
      </c>
      <c r="M61" s="10" t="n">
        <v>14</v>
      </c>
      <c r="N61" s="11" t="n">
        <v>9.1</v>
      </c>
      <c r="O61" s="18" t="s">
        <v>56</v>
      </c>
    </row>
    <row r="62" customFormat="false" ht="15" hidden="false" customHeight="false" outlineLevel="0" collapsed="false">
      <c r="A62" s="18" t="n">
        <v>151980353</v>
      </c>
      <c r="B62" s="10" t="n">
        <v>781</v>
      </c>
      <c r="C62" s="18" t="s">
        <v>43</v>
      </c>
      <c r="D62" s="15" t="s">
        <v>1661</v>
      </c>
      <c r="E62" s="9" t="s">
        <v>1662</v>
      </c>
      <c r="F62" s="9" t="s">
        <v>14</v>
      </c>
      <c r="G62" s="10" t="n">
        <v>2025</v>
      </c>
      <c r="H62" s="10" t="n">
        <v>10</v>
      </c>
      <c r="I62" s="19" t="n">
        <v>24300</v>
      </c>
      <c r="J62" s="19" t="n">
        <v>27000</v>
      </c>
      <c r="K62" s="10" t="n">
        <v>1350</v>
      </c>
      <c r="L62" s="10" t="n">
        <v>2634</v>
      </c>
      <c r="M62" s="10" t="n">
        <v>41</v>
      </c>
      <c r="N62" s="11" t="n">
        <v>9.8</v>
      </c>
      <c r="O62" s="18" t="s">
        <v>46</v>
      </c>
    </row>
    <row r="63" customFormat="false" ht="15" hidden="false" customHeight="false" outlineLevel="0" collapsed="false">
      <c r="A63" s="18" t="n">
        <v>151667493</v>
      </c>
      <c r="B63" s="10" t="n">
        <v>786</v>
      </c>
      <c r="C63" s="18" t="s">
        <v>43</v>
      </c>
      <c r="D63" s="9" t="s">
        <v>1672</v>
      </c>
      <c r="E63" s="9" t="s">
        <v>1673</v>
      </c>
      <c r="F63" s="9" t="s">
        <v>14</v>
      </c>
      <c r="G63" s="10" t="n">
        <v>2025</v>
      </c>
      <c r="H63" s="10" t="n">
        <v>10</v>
      </c>
      <c r="I63" s="19" t="n">
        <v>37800</v>
      </c>
      <c r="J63" s="19" t="n">
        <v>42000</v>
      </c>
      <c r="K63" s="10" t="n">
        <v>2100</v>
      </c>
      <c r="L63" s="10" t="n">
        <v>2172</v>
      </c>
      <c r="M63" s="10" t="n">
        <v>21</v>
      </c>
      <c r="N63" s="11" t="n">
        <v>9.9</v>
      </c>
      <c r="O63" s="18" t="s">
        <v>56</v>
      </c>
    </row>
    <row r="64" customFormat="false" ht="15" hidden="false" customHeight="false" outlineLevel="0" collapsed="false">
      <c r="A64" s="18" t="n">
        <v>151152657</v>
      </c>
      <c r="B64" s="10" t="n">
        <v>796</v>
      </c>
      <c r="C64" s="18" t="s">
        <v>43</v>
      </c>
      <c r="D64" s="15" t="s">
        <v>1693</v>
      </c>
      <c r="E64" s="9" t="s">
        <v>1694</v>
      </c>
      <c r="F64" s="9" t="s">
        <v>14</v>
      </c>
      <c r="G64" s="10" t="n">
        <v>2025</v>
      </c>
      <c r="H64" s="10" t="n">
        <v>10</v>
      </c>
      <c r="I64" s="19" t="n">
        <v>23400</v>
      </c>
      <c r="J64" s="19" t="n">
        <v>26000</v>
      </c>
      <c r="K64" s="10" t="n">
        <v>1300</v>
      </c>
      <c r="L64" s="10" t="n">
        <v>4026</v>
      </c>
      <c r="M64" s="10" t="n">
        <v>16</v>
      </c>
      <c r="N64" s="11" t="n">
        <v>9.6</v>
      </c>
      <c r="O64" s="18" t="s">
        <v>56</v>
      </c>
    </row>
    <row r="65" customFormat="false" ht="15" hidden="false" customHeight="false" outlineLevel="0" collapsed="false">
      <c r="A65" s="18" t="n">
        <v>149680614</v>
      </c>
      <c r="B65" s="10" t="n">
        <v>808</v>
      </c>
      <c r="C65" s="18" t="s">
        <v>43</v>
      </c>
      <c r="D65" s="9" t="s">
        <v>1714</v>
      </c>
      <c r="E65" s="9" t="s">
        <v>1715</v>
      </c>
      <c r="F65" s="9" t="s">
        <v>14</v>
      </c>
      <c r="G65" s="10" t="n">
        <v>2025</v>
      </c>
      <c r="H65" s="10" t="n">
        <v>10</v>
      </c>
      <c r="I65" s="19" t="n">
        <v>19800</v>
      </c>
      <c r="J65" s="19" t="n">
        <v>22000</v>
      </c>
      <c r="K65" s="10" t="n">
        <v>1100</v>
      </c>
      <c r="L65" s="10" t="n">
        <v>1692</v>
      </c>
      <c r="M65" s="10" t="n">
        <v>26</v>
      </c>
      <c r="N65" s="11" t="n">
        <v>9.7</v>
      </c>
      <c r="O65" s="18" t="s">
        <v>56</v>
      </c>
    </row>
    <row r="66" customFormat="false" ht="15" hidden="false" customHeight="false" outlineLevel="0" collapsed="false">
      <c r="A66" s="18" t="n">
        <v>147562377</v>
      </c>
      <c r="B66" s="10" t="n">
        <v>835</v>
      </c>
      <c r="C66" s="18" t="s">
        <v>43</v>
      </c>
      <c r="D66" s="15" t="s">
        <v>1765</v>
      </c>
      <c r="E66" s="9" t="s">
        <v>1766</v>
      </c>
      <c r="F66" s="9" t="s">
        <v>14</v>
      </c>
      <c r="G66" s="10" t="n">
        <v>2025</v>
      </c>
      <c r="H66" s="10" t="n">
        <v>10</v>
      </c>
      <c r="I66" s="19" t="n">
        <v>35100</v>
      </c>
      <c r="J66" s="19" t="n">
        <v>39000</v>
      </c>
      <c r="K66" s="10" t="n">
        <v>1950</v>
      </c>
      <c r="L66" s="10" t="n">
        <v>1944</v>
      </c>
      <c r="M66" s="10" t="n">
        <v>14</v>
      </c>
      <c r="N66" s="11" t="n">
        <v>9.7</v>
      </c>
      <c r="O66" s="18" t="s">
        <v>56</v>
      </c>
    </row>
    <row r="67" customFormat="false" ht="15" hidden="false" customHeight="false" outlineLevel="0" collapsed="false">
      <c r="A67" s="18" t="n">
        <v>147081442</v>
      </c>
      <c r="B67" s="10" t="n">
        <v>846</v>
      </c>
      <c r="C67" s="18" t="s">
        <v>43</v>
      </c>
      <c r="D67" s="9" t="s">
        <v>1787</v>
      </c>
      <c r="E67" s="9" t="s">
        <v>1540</v>
      </c>
      <c r="F67" s="9" t="s">
        <v>14</v>
      </c>
      <c r="G67" s="10" t="n">
        <v>2025</v>
      </c>
      <c r="H67" s="10" t="n">
        <v>10</v>
      </c>
      <c r="I67" s="19" t="n">
        <v>25200</v>
      </c>
      <c r="J67" s="19" t="n">
        <v>28000</v>
      </c>
      <c r="K67" s="10" t="n">
        <v>1400</v>
      </c>
      <c r="L67" s="10" t="n">
        <v>948</v>
      </c>
      <c r="M67" s="10" t="n">
        <v>14</v>
      </c>
      <c r="N67" s="11" t="n">
        <v>9.9</v>
      </c>
      <c r="O67" s="18" t="s">
        <v>56</v>
      </c>
    </row>
    <row r="68" customFormat="false" ht="15" hidden="false" customHeight="false" outlineLevel="0" collapsed="false">
      <c r="A68" s="18" t="n">
        <v>145605137</v>
      </c>
      <c r="B68" s="10" t="n">
        <v>868</v>
      </c>
      <c r="C68" s="18" t="s">
        <v>43</v>
      </c>
      <c r="D68" s="9" t="s">
        <v>1830</v>
      </c>
      <c r="E68" s="9" t="s">
        <v>426</v>
      </c>
      <c r="F68" s="9" t="s">
        <v>14</v>
      </c>
      <c r="G68" s="10" t="n">
        <v>2025</v>
      </c>
      <c r="H68" s="10" t="n">
        <v>10</v>
      </c>
      <c r="I68" s="19" t="n">
        <v>26100</v>
      </c>
      <c r="J68" s="19" t="n">
        <v>29000</v>
      </c>
      <c r="K68" s="10" t="n">
        <v>1450</v>
      </c>
      <c r="L68" s="10" t="n">
        <v>822</v>
      </c>
      <c r="M68" s="10" t="n">
        <v>12</v>
      </c>
      <c r="N68" s="11" t="n">
        <v>9.3</v>
      </c>
      <c r="O68" s="18" t="s">
        <v>56</v>
      </c>
    </row>
    <row r="69" customFormat="false" ht="15" hidden="false" customHeight="false" outlineLevel="0" collapsed="false">
      <c r="A69" s="18" t="n">
        <v>143822293</v>
      </c>
      <c r="B69" s="10" t="n">
        <v>889</v>
      </c>
      <c r="C69" s="18" t="s">
        <v>43</v>
      </c>
      <c r="D69" s="9" t="s">
        <v>1873</v>
      </c>
      <c r="E69" s="15" t="s">
        <v>190</v>
      </c>
      <c r="F69" s="9" t="s">
        <v>14</v>
      </c>
      <c r="G69" s="10" t="n">
        <v>2025</v>
      </c>
      <c r="H69" s="10" t="n">
        <v>10</v>
      </c>
      <c r="I69" s="19" t="n">
        <v>23400</v>
      </c>
      <c r="J69" s="19" t="n">
        <v>26000</v>
      </c>
      <c r="K69" s="10" t="n">
        <v>1300</v>
      </c>
      <c r="L69" s="10" t="n">
        <v>1242</v>
      </c>
      <c r="M69" s="10" t="n">
        <v>32</v>
      </c>
      <c r="N69" s="11" t="n">
        <v>9.9</v>
      </c>
      <c r="O69" s="18" t="s">
        <v>56</v>
      </c>
    </row>
    <row r="70" customFormat="false" ht="15" hidden="false" customHeight="false" outlineLevel="0" collapsed="false">
      <c r="A70" s="18" t="n">
        <v>142972932</v>
      </c>
      <c r="B70" s="10" t="n">
        <v>901</v>
      </c>
      <c r="C70" s="18" t="s">
        <v>43</v>
      </c>
      <c r="D70" s="9" t="s">
        <v>1897</v>
      </c>
      <c r="E70" s="9" t="s">
        <v>1898</v>
      </c>
      <c r="F70" s="9" t="s">
        <v>14</v>
      </c>
      <c r="G70" s="10" t="n">
        <v>2025</v>
      </c>
      <c r="H70" s="10" t="n">
        <v>10</v>
      </c>
      <c r="I70" s="19" t="n">
        <v>19800</v>
      </c>
      <c r="J70" s="19" t="n">
        <v>22000</v>
      </c>
      <c r="K70" s="10" t="n">
        <v>1100</v>
      </c>
      <c r="L70" s="10" t="n">
        <v>936</v>
      </c>
      <c r="M70" s="10" t="n">
        <v>10</v>
      </c>
      <c r="N70" s="11" t="n">
        <v>9.8</v>
      </c>
      <c r="O70" s="18" t="s">
        <v>56</v>
      </c>
    </row>
    <row r="71" customFormat="false" ht="15" hidden="false" customHeight="false" outlineLevel="0" collapsed="false">
      <c r="A71" s="18" t="n">
        <v>136263729</v>
      </c>
      <c r="B71" s="10" t="n">
        <v>951</v>
      </c>
      <c r="C71" s="18" t="s">
        <v>43</v>
      </c>
      <c r="D71" s="9" t="s">
        <v>1998</v>
      </c>
      <c r="E71" s="9" t="s">
        <v>1999</v>
      </c>
      <c r="F71" s="9" t="s">
        <v>14</v>
      </c>
      <c r="G71" s="10" t="n">
        <v>2024</v>
      </c>
      <c r="H71" s="10" t="n">
        <v>10</v>
      </c>
      <c r="I71" s="19" t="n">
        <v>23400</v>
      </c>
      <c r="J71" s="19" t="n">
        <v>26000</v>
      </c>
      <c r="K71" s="10" t="n">
        <v>1300</v>
      </c>
      <c r="L71" s="10" t="n">
        <v>780</v>
      </c>
      <c r="M71" s="10" t="n">
        <v>54</v>
      </c>
      <c r="N71" s="11" t="n">
        <v>9.9</v>
      </c>
      <c r="O71" s="18" t="s">
        <v>56</v>
      </c>
    </row>
    <row r="72" customFormat="false" ht="15" hidden="false" customHeight="false" outlineLevel="0" collapsed="false">
      <c r="A72" s="18" t="n">
        <v>135967948</v>
      </c>
      <c r="B72" s="10" t="n">
        <v>952</v>
      </c>
      <c r="C72" s="18" t="s">
        <v>43</v>
      </c>
      <c r="D72" s="9" t="s">
        <v>2000</v>
      </c>
      <c r="E72" s="9" t="s">
        <v>2001</v>
      </c>
      <c r="F72" s="9" t="s">
        <v>14</v>
      </c>
      <c r="G72" s="10" t="n">
        <v>2024</v>
      </c>
      <c r="H72" s="10" t="n">
        <v>10</v>
      </c>
      <c r="I72" s="19" t="n">
        <v>22500</v>
      </c>
      <c r="J72" s="19" t="n">
        <v>25000</v>
      </c>
      <c r="K72" s="10" t="n">
        <v>1250</v>
      </c>
      <c r="L72" s="10" t="n">
        <v>573</v>
      </c>
      <c r="M72" s="10" t="n">
        <v>23</v>
      </c>
      <c r="N72" s="11" t="n">
        <v>9.7</v>
      </c>
      <c r="O72" s="18" t="s">
        <v>56</v>
      </c>
    </row>
    <row r="73" customFormat="false" ht="15" hidden="false" customHeight="false" outlineLevel="0" collapsed="false">
      <c r="A73" s="18" t="n">
        <v>133892049</v>
      </c>
      <c r="B73" s="10" t="n">
        <v>963</v>
      </c>
      <c r="C73" s="18" t="s">
        <v>43</v>
      </c>
      <c r="D73" s="9" t="s">
        <v>2021</v>
      </c>
      <c r="E73" s="9" t="s">
        <v>2022</v>
      </c>
      <c r="F73" s="9" t="s">
        <v>14</v>
      </c>
      <c r="G73" s="10" t="n">
        <v>2024</v>
      </c>
      <c r="H73" s="10" t="n">
        <v>10</v>
      </c>
      <c r="I73" s="19" t="n">
        <v>19800</v>
      </c>
      <c r="J73" s="19" t="n">
        <v>22000</v>
      </c>
      <c r="K73" s="10" t="n">
        <v>1100</v>
      </c>
      <c r="L73" s="10" t="n">
        <v>906</v>
      </c>
      <c r="M73" s="10" t="n">
        <v>20</v>
      </c>
      <c r="N73" s="11" t="n">
        <v>10</v>
      </c>
      <c r="O73" s="18" t="s">
        <v>56</v>
      </c>
    </row>
    <row r="74" customFormat="false" ht="15" hidden="false" customHeight="false" outlineLevel="0" collapsed="false">
      <c r="A74" s="18" t="n">
        <v>130705168</v>
      </c>
      <c r="B74" s="10" t="n">
        <v>978</v>
      </c>
      <c r="C74" s="18" t="s">
        <v>43</v>
      </c>
      <c r="D74" s="15" t="s">
        <v>2051</v>
      </c>
      <c r="E74" s="9" t="s">
        <v>2052</v>
      </c>
      <c r="F74" s="9" t="s">
        <v>14</v>
      </c>
      <c r="G74" s="10" t="n">
        <v>2024</v>
      </c>
      <c r="H74" s="10" t="n">
        <v>10</v>
      </c>
      <c r="I74" s="19" t="n">
        <v>34200</v>
      </c>
      <c r="J74" s="19" t="n">
        <v>38000</v>
      </c>
      <c r="K74" s="10" t="n">
        <v>1900</v>
      </c>
      <c r="L74" s="10" t="n">
        <v>456</v>
      </c>
      <c r="M74" s="10" t="n">
        <v>10</v>
      </c>
      <c r="N74" s="11" t="n">
        <v>10</v>
      </c>
      <c r="O74" s="18" t="s">
        <v>46</v>
      </c>
    </row>
    <row r="75" customFormat="false" ht="15" hidden="false" customHeight="false" outlineLevel="0" collapsed="false">
      <c r="A75" s="18" t="n">
        <v>128897247</v>
      </c>
      <c r="B75" s="10" t="n">
        <v>997</v>
      </c>
      <c r="C75" s="18" t="s">
        <v>43</v>
      </c>
      <c r="D75" s="9" t="s">
        <v>2085</v>
      </c>
      <c r="E75" s="9" t="s">
        <v>2086</v>
      </c>
      <c r="F75" s="9" t="s">
        <v>14</v>
      </c>
      <c r="G75" s="10" t="n">
        <v>2024</v>
      </c>
      <c r="H75" s="10" t="n">
        <v>10</v>
      </c>
      <c r="I75" s="19" t="n">
        <v>29700</v>
      </c>
      <c r="J75" s="19" t="n">
        <v>33000</v>
      </c>
      <c r="K75" s="10" t="n">
        <v>1650</v>
      </c>
      <c r="L75" s="10" t="n">
        <v>258</v>
      </c>
      <c r="M75" s="10" t="n">
        <v>11</v>
      </c>
      <c r="N75" s="11" t="n">
        <v>8.5</v>
      </c>
      <c r="O75" s="18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10.02"/>
    <col collapsed="false" customWidth="true" hidden="false" outlineLevel="0" max="2" min="2" style="0" width="9.18"/>
    <col collapsed="false" customWidth="true" hidden="false" outlineLevel="0" max="3" min="3" style="0" width="10.85"/>
    <col collapsed="false" customWidth="true" hidden="false" outlineLevel="0" max="4" min="4" style="0" width="35.05"/>
    <col collapsed="false" customWidth="true" hidden="false" outlineLevel="0" max="5" min="5" style="0" width="90.97"/>
    <col collapsed="false" customWidth="true" hidden="false" outlineLevel="0" max="6" min="6" style="0" width="10.02"/>
    <col collapsed="false" customWidth="true" hidden="false" outlineLevel="0" max="7" min="7" style="0" width="12.52"/>
    <col collapsed="false" customWidth="true" hidden="false" outlineLevel="0" max="8" min="8" style="0" width="13.35"/>
    <col collapsed="false" customWidth="true" hidden="false" outlineLevel="0" max="9" min="9" style="0" width="10.85"/>
    <col collapsed="false" customWidth="true" hidden="false" outlineLevel="0" max="10" min="10" style="0" width="14.19"/>
    <col collapsed="false" customWidth="true" hidden="false" outlineLevel="0" max="11" min="11" style="0" width="9.18"/>
    <col collapsed="false" customWidth="true" hidden="false" outlineLevel="0" max="12" min="12" style="0" width="10.85"/>
    <col collapsed="false" customWidth="true" hidden="false" outlineLevel="0" max="13" min="13" style="0" width="12.52"/>
    <col collapsed="false" customWidth="true" hidden="false" outlineLevel="0" max="14" min="14" style="0" width="9.18"/>
    <col collapsed="false" customWidth="true" hidden="false" outlineLevel="0" max="15" min="15" style="0" width="14.19"/>
  </cols>
  <sheetData>
    <row r="1" customFormat="false" ht="15" hidden="false" customHeight="false" outlineLevel="0" collapsed="false">
      <c r="A1" s="17" t="s">
        <v>28</v>
      </c>
      <c r="B1" s="17" t="s">
        <v>29</v>
      </c>
      <c r="C1" s="17" t="s">
        <v>30</v>
      </c>
      <c r="D1" s="17" t="s">
        <v>31</v>
      </c>
      <c r="E1" s="17" t="s">
        <v>32</v>
      </c>
      <c r="F1" s="17" t="s">
        <v>33</v>
      </c>
      <c r="G1" s="17" t="s">
        <v>34</v>
      </c>
      <c r="H1" s="17" t="s">
        <v>35</v>
      </c>
      <c r="I1" s="17" t="s">
        <v>36</v>
      </c>
      <c r="J1" s="17" t="s">
        <v>37</v>
      </c>
      <c r="K1" s="17" t="s">
        <v>38</v>
      </c>
      <c r="L1" s="17" t="s">
        <v>39</v>
      </c>
      <c r="M1" s="17" t="s">
        <v>40</v>
      </c>
      <c r="N1" s="17" t="s">
        <v>41</v>
      </c>
      <c r="O1" s="17" t="s">
        <v>42</v>
      </c>
    </row>
    <row r="2" customFormat="false" ht="15" hidden="false" customHeight="false" outlineLevel="0" collapsed="false">
      <c r="A2" s="18" t="n">
        <v>106711883</v>
      </c>
      <c r="B2" s="10" t="n">
        <v>17</v>
      </c>
      <c r="C2" s="18" t="s">
        <v>43</v>
      </c>
      <c r="D2" s="9" t="s">
        <v>84</v>
      </c>
      <c r="E2" s="9" t="s">
        <v>85</v>
      </c>
      <c r="F2" s="9" t="s">
        <v>16</v>
      </c>
      <c r="G2" s="10" t="n">
        <v>2022</v>
      </c>
      <c r="H2" s="10" t="n">
        <v>10</v>
      </c>
      <c r="I2" s="19" t="n">
        <v>18900</v>
      </c>
      <c r="J2" s="19" t="n">
        <v>21000</v>
      </c>
      <c r="K2" s="10" t="n">
        <v>1050</v>
      </c>
      <c r="L2" s="10" t="n">
        <v>69147</v>
      </c>
      <c r="M2" s="10" t="n">
        <v>388</v>
      </c>
      <c r="N2" s="11" t="n">
        <v>9.8</v>
      </c>
      <c r="O2" s="18" t="s">
        <v>46</v>
      </c>
    </row>
    <row r="3" customFormat="false" ht="15" hidden="false" customHeight="false" outlineLevel="0" collapsed="false">
      <c r="A3" s="18" t="n">
        <v>189128697</v>
      </c>
      <c r="B3" s="10" t="n">
        <v>35</v>
      </c>
      <c r="C3" s="18" t="s">
        <v>43</v>
      </c>
      <c r="D3" s="9" t="s">
        <v>130</v>
      </c>
      <c r="E3" s="9" t="s">
        <v>131</v>
      </c>
      <c r="F3" s="9" t="s">
        <v>16</v>
      </c>
      <c r="G3" s="10" t="n">
        <v>2026</v>
      </c>
      <c r="H3" s="10" t="n">
        <v>10</v>
      </c>
      <c r="I3" s="19" t="n">
        <v>19800</v>
      </c>
      <c r="J3" s="19" t="n">
        <v>22000</v>
      </c>
      <c r="K3" s="10" t="n">
        <v>1100</v>
      </c>
      <c r="L3" s="10" t="n">
        <v>5169</v>
      </c>
      <c r="M3" s="10" t="n">
        <v>29</v>
      </c>
      <c r="N3" s="11" t="n">
        <v>9.9</v>
      </c>
      <c r="O3" s="18" t="s">
        <v>56</v>
      </c>
    </row>
    <row r="4" customFormat="false" ht="15" hidden="false" customHeight="false" outlineLevel="0" collapsed="false">
      <c r="A4" s="18" t="n">
        <v>187043716</v>
      </c>
      <c r="B4" s="10" t="n">
        <v>149</v>
      </c>
      <c r="C4" s="18" t="s">
        <v>43</v>
      </c>
      <c r="D4" s="9" t="s">
        <v>370</v>
      </c>
      <c r="E4" s="9" t="s">
        <v>371</v>
      </c>
      <c r="F4" s="9" t="s">
        <v>16</v>
      </c>
      <c r="G4" s="10" t="n">
        <v>2026</v>
      </c>
      <c r="H4" s="10" t="n">
        <v>10</v>
      </c>
      <c r="I4" s="19" t="n">
        <v>25200</v>
      </c>
      <c r="J4" s="19" t="n">
        <v>28000</v>
      </c>
      <c r="K4" s="10" t="n">
        <v>1400</v>
      </c>
      <c r="L4" s="10" t="n">
        <v>1158</v>
      </c>
      <c r="M4" s="10" t="n">
        <v>0</v>
      </c>
      <c r="N4" s="11" t="n">
        <v>0</v>
      </c>
      <c r="O4" s="18" t="s">
        <v>56</v>
      </c>
    </row>
    <row r="5" customFormat="false" ht="15" hidden="false" customHeight="false" outlineLevel="0" collapsed="false">
      <c r="A5" s="18" t="n">
        <v>186544340</v>
      </c>
      <c r="B5" s="10" t="n">
        <v>150</v>
      </c>
      <c r="C5" s="18" t="s">
        <v>43</v>
      </c>
      <c r="D5" s="9" t="s">
        <v>372</v>
      </c>
      <c r="E5" s="9" t="s">
        <v>373</v>
      </c>
      <c r="F5" s="9" t="s">
        <v>16</v>
      </c>
      <c r="G5" s="10" t="n">
        <v>2026</v>
      </c>
      <c r="H5" s="10" t="n">
        <v>10</v>
      </c>
      <c r="I5" s="19" t="n">
        <v>27000</v>
      </c>
      <c r="J5" s="19" t="n">
        <v>30000</v>
      </c>
      <c r="K5" s="10" t="n">
        <v>1500</v>
      </c>
      <c r="L5" s="10" t="n">
        <v>1395</v>
      </c>
      <c r="M5" s="10" t="n">
        <v>0</v>
      </c>
      <c r="N5" s="11" t="n">
        <v>0</v>
      </c>
      <c r="O5" s="18" t="s">
        <v>56</v>
      </c>
    </row>
    <row r="6" customFormat="false" ht="15" hidden="false" customHeight="false" outlineLevel="0" collapsed="false">
      <c r="A6" s="18" t="n">
        <v>184312468</v>
      </c>
      <c r="B6" s="10" t="n">
        <v>152</v>
      </c>
      <c r="C6" s="18" t="s">
        <v>43</v>
      </c>
      <c r="D6" s="15" t="s">
        <v>376</v>
      </c>
      <c r="E6" s="9" t="s">
        <v>377</v>
      </c>
      <c r="F6" s="9" t="s">
        <v>16</v>
      </c>
      <c r="G6" s="10" t="n">
        <v>2026</v>
      </c>
      <c r="H6" s="10" t="n">
        <v>10</v>
      </c>
      <c r="I6" s="19" t="n">
        <v>34200</v>
      </c>
      <c r="J6" s="19" t="n">
        <v>38000</v>
      </c>
      <c r="K6" s="10" t="n">
        <v>1900</v>
      </c>
      <c r="L6" s="10" t="n">
        <v>1128</v>
      </c>
      <c r="M6" s="10" t="n">
        <v>2</v>
      </c>
      <c r="N6" s="11" t="n">
        <v>10</v>
      </c>
      <c r="O6" s="18" t="s">
        <v>56</v>
      </c>
    </row>
    <row r="7" customFormat="false" ht="15" hidden="false" customHeight="false" outlineLevel="0" collapsed="false">
      <c r="A7" s="18" t="n">
        <v>183072607</v>
      </c>
      <c r="B7" s="10" t="n">
        <v>153</v>
      </c>
      <c r="C7" s="18" t="s">
        <v>43</v>
      </c>
      <c r="D7" s="15" t="s">
        <v>378</v>
      </c>
      <c r="E7" s="9" t="s">
        <v>379</v>
      </c>
      <c r="F7" s="9" t="s">
        <v>16</v>
      </c>
      <c r="G7" s="10" t="n">
        <v>2026</v>
      </c>
      <c r="H7" s="10" t="n">
        <v>10</v>
      </c>
      <c r="I7" s="19" t="n">
        <v>19800</v>
      </c>
      <c r="J7" s="19" t="n">
        <v>22000</v>
      </c>
      <c r="K7" s="10" t="n">
        <v>1100</v>
      </c>
      <c r="L7" s="10" t="n">
        <v>1476</v>
      </c>
      <c r="M7" s="10" t="n">
        <v>9</v>
      </c>
      <c r="N7" s="11" t="n">
        <v>10</v>
      </c>
      <c r="O7" s="18" t="s">
        <v>56</v>
      </c>
    </row>
    <row r="8" customFormat="false" ht="15" hidden="false" customHeight="false" outlineLevel="0" collapsed="false">
      <c r="A8" s="18" t="n">
        <v>170504549</v>
      </c>
      <c r="B8" s="10" t="n">
        <v>158</v>
      </c>
      <c r="C8" s="18" t="s">
        <v>43</v>
      </c>
      <c r="D8" s="15" t="s">
        <v>388</v>
      </c>
      <c r="E8" s="9" t="s">
        <v>389</v>
      </c>
      <c r="F8" s="9" t="s">
        <v>16</v>
      </c>
      <c r="G8" s="10" t="n">
        <v>2026</v>
      </c>
      <c r="H8" s="10" t="n">
        <v>10</v>
      </c>
      <c r="I8" s="19" t="n">
        <v>25200</v>
      </c>
      <c r="J8" s="19" t="n">
        <v>28000</v>
      </c>
      <c r="K8" s="10" t="n">
        <v>1400</v>
      </c>
      <c r="L8" s="10" t="n">
        <v>2790</v>
      </c>
      <c r="M8" s="10" t="n">
        <v>7</v>
      </c>
      <c r="N8" s="11" t="n">
        <v>9.7</v>
      </c>
      <c r="O8" s="18" t="s">
        <v>56</v>
      </c>
    </row>
    <row r="9" customFormat="false" ht="15" hidden="false" customHeight="false" outlineLevel="0" collapsed="false">
      <c r="A9" s="18" t="n">
        <v>147074475</v>
      </c>
      <c r="B9" s="10" t="n">
        <v>161</v>
      </c>
      <c r="C9" s="18" t="s">
        <v>43</v>
      </c>
      <c r="D9" s="9" t="s">
        <v>394</v>
      </c>
      <c r="E9" s="9" t="s">
        <v>395</v>
      </c>
      <c r="F9" s="9" t="s">
        <v>16</v>
      </c>
      <c r="G9" s="10" t="n">
        <v>2025</v>
      </c>
      <c r="H9" s="10" t="n">
        <v>10</v>
      </c>
      <c r="I9" s="19" t="n">
        <v>21600</v>
      </c>
      <c r="J9" s="19" t="n">
        <v>24000</v>
      </c>
      <c r="K9" s="10" t="n">
        <v>1200</v>
      </c>
      <c r="L9" s="10" t="n">
        <v>7662</v>
      </c>
      <c r="M9" s="10" t="n">
        <v>20</v>
      </c>
      <c r="N9" s="11" t="n">
        <v>9.7</v>
      </c>
      <c r="O9" s="18" t="s">
        <v>56</v>
      </c>
    </row>
    <row r="10" customFormat="false" ht="15" hidden="false" customHeight="false" outlineLevel="0" collapsed="false">
      <c r="A10" s="18" t="n">
        <v>180490506</v>
      </c>
      <c r="B10" s="10" t="n">
        <v>225</v>
      </c>
      <c r="C10" s="18" t="s">
        <v>43</v>
      </c>
      <c r="D10" s="9" t="s">
        <v>531</v>
      </c>
      <c r="E10" s="9" t="s">
        <v>532</v>
      </c>
      <c r="F10" s="9" t="s">
        <v>16</v>
      </c>
      <c r="G10" s="10" t="n">
        <v>2026</v>
      </c>
      <c r="H10" s="10" t="n">
        <v>10</v>
      </c>
      <c r="I10" s="19" t="n">
        <v>25200</v>
      </c>
      <c r="J10" s="19" t="n">
        <v>28000</v>
      </c>
      <c r="K10" s="10" t="n">
        <v>1400</v>
      </c>
      <c r="L10" s="10" t="n">
        <v>1920</v>
      </c>
      <c r="M10" s="10" t="n">
        <v>5</v>
      </c>
      <c r="N10" s="11" t="n">
        <v>10</v>
      </c>
      <c r="O10" s="18" t="s">
        <v>56</v>
      </c>
    </row>
    <row r="11" customFormat="false" ht="15" hidden="false" customHeight="false" outlineLevel="0" collapsed="false">
      <c r="A11" s="18" t="n">
        <v>189821967</v>
      </c>
      <c r="B11" s="10" t="n">
        <v>233</v>
      </c>
      <c r="C11" s="18" t="s">
        <v>43</v>
      </c>
      <c r="D11" s="15" t="s">
        <v>548</v>
      </c>
      <c r="E11" s="9" t="s">
        <v>549</v>
      </c>
      <c r="F11" s="9" t="s">
        <v>16</v>
      </c>
      <c r="G11" s="10" t="n">
        <v>2026</v>
      </c>
      <c r="H11" s="10" t="n">
        <v>10</v>
      </c>
      <c r="I11" s="19" t="n">
        <v>21600</v>
      </c>
      <c r="J11" s="19" t="n">
        <v>24000</v>
      </c>
      <c r="K11" s="10" t="n">
        <v>1200</v>
      </c>
      <c r="L11" s="10" t="n">
        <v>264</v>
      </c>
      <c r="M11" s="10" t="n">
        <v>0</v>
      </c>
      <c r="N11" s="11" t="n">
        <v>0</v>
      </c>
      <c r="O11" s="18" t="s">
        <v>56</v>
      </c>
    </row>
    <row r="12" customFormat="false" ht="15" hidden="false" customHeight="false" outlineLevel="0" collapsed="false">
      <c r="A12" s="18" t="n">
        <v>189445983</v>
      </c>
      <c r="B12" s="10" t="n">
        <v>235</v>
      </c>
      <c r="C12" s="18" t="s">
        <v>43</v>
      </c>
      <c r="D12" s="15" t="s">
        <v>553</v>
      </c>
      <c r="E12" s="9" t="s">
        <v>554</v>
      </c>
      <c r="F12" s="9" t="s">
        <v>16</v>
      </c>
      <c r="G12" s="10" t="n">
        <v>2026</v>
      </c>
      <c r="H12" s="10" t="n">
        <v>10</v>
      </c>
      <c r="I12" s="19" t="n">
        <v>20520</v>
      </c>
      <c r="J12" s="19" t="n">
        <v>22800</v>
      </c>
      <c r="K12" s="10" t="n">
        <v>1140</v>
      </c>
      <c r="L12" s="10" t="n">
        <v>348</v>
      </c>
      <c r="M12" s="10" t="n">
        <v>2</v>
      </c>
      <c r="N12" s="11" t="n">
        <v>10</v>
      </c>
      <c r="O12" s="18" t="s">
        <v>56</v>
      </c>
    </row>
    <row r="13" customFormat="false" ht="15" hidden="false" customHeight="false" outlineLevel="0" collapsed="false">
      <c r="A13" s="18" t="n">
        <v>177866994</v>
      </c>
      <c r="B13" s="10" t="n">
        <v>252</v>
      </c>
      <c r="C13" s="18" t="s">
        <v>43</v>
      </c>
      <c r="D13" s="9" t="s">
        <v>590</v>
      </c>
      <c r="E13" s="9" t="s">
        <v>591</v>
      </c>
      <c r="F13" s="9" t="s">
        <v>16</v>
      </c>
      <c r="G13" s="10" t="n">
        <v>2026</v>
      </c>
      <c r="H13" s="10" t="n">
        <v>10</v>
      </c>
      <c r="I13" s="19" t="n">
        <v>27000</v>
      </c>
      <c r="J13" s="19" t="n">
        <v>30000</v>
      </c>
      <c r="K13" s="10" t="n">
        <v>1500</v>
      </c>
      <c r="L13" s="10" t="n">
        <v>684</v>
      </c>
      <c r="M13" s="10" t="n">
        <v>0</v>
      </c>
      <c r="N13" s="11" t="n">
        <v>0</v>
      </c>
      <c r="O13" s="18" t="s">
        <v>56</v>
      </c>
    </row>
    <row r="14" customFormat="false" ht="15" hidden="false" customHeight="false" outlineLevel="0" collapsed="false">
      <c r="A14" s="18" t="n">
        <v>172577182</v>
      </c>
      <c r="B14" s="10" t="n">
        <v>258</v>
      </c>
      <c r="C14" s="18" t="s">
        <v>43</v>
      </c>
      <c r="D14" s="9" t="s">
        <v>602</v>
      </c>
      <c r="E14" s="9" t="s">
        <v>603</v>
      </c>
      <c r="F14" s="9" t="s">
        <v>16</v>
      </c>
      <c r="G14" s="10" t="n">
        <v>2026</v>
      </c>
      <c r="H14" s="10" t="n">
        <v>10</v>
      </c>
      <c r="I14" s="19" t="n">
        <v>22500</v>
      </c>
      <c r="J14" s="19" t="n">
        <v>25000</v>
      </c>
      <c r="K14" s="10" t="n">
        <v>1250</v>
      </c>
      <c r="L14" s="10" t="n">
        <v>1866</v>
      </c>
      <c r="M14" s="10" t="n">
        <v>23</v>
      </c>
      <c r="N14" s="11" t="n">
        <v>10</v>
      </c>
      <c r="O14" s="18" t="s">
        <v>56</v>
      </c>
    </row>
    <row r="15" customFormat="false" ht="15" hidden="false" customHeight="false" outlineLevel="0" collapsed="false">
      <c r="A15" s="18" t="n">
        <v>118397432</v>
      </c>
      <c r="B15" s="10" t="n">
        <v>315</v>
      </c>
      <c r="C15" s="18" t="s">
        <v>43</v>
      </c>
      <c r="D15" s="9" t="s">
        <v>714</v>
      </c>
      <c r="E15" s="9" t="s">
        <v>715</v>
      </c>
      <c r="F15" s="9" t="s">
        <v>16</v>
      </c>
      <c r="G15" s="10" t="n">
        <v>2023</v>
      </c>
      <c r="H15" s="10" t="n">
        <v>10</v>
      </c>
      <c r="I15" s="19" t="n">
        <v>29700</v>
      </c>
      <c r="J15" s="19" t="n">
        <v>33000</v>
      </c>
      <c r="K15" s="10" t="n">
        <v>1650</v>
      </c>
      <c r="L15" s="10" t="n">
        <v>2298</v>
      </c>
      <c r="M15" s="10" t="n">
        <v>8</v>
      </c>
      <c r="N15" s="11" t="n">
        <v>9.5</v>
      </c>
      <c r="O15" s="18" t="s">
        <v>46</v>
      </c>
    </row>
    <row r="16" customFormat="false" ht="15" hidden="false" customHeight="false" outlineLevel="0" collapsed="false">
      <c r="A16" s="18" t="n">
        <v>67512293</v>
      </c>
      <c r="B16" s="10" t="n">
        <v>333</v>
      </c>
      <c r="C16" s="18" t="s">
        <v>43</v>
      </c>
      <c r="D16" s="9" t="s">
        <v>752</v>
      </c>
      <c r="E16" s="9" t="s">
        <v>753</v>
      </c>
      <c r="F16" s="9" t="s">
        <v>16</v>
      </c>
      <c r="G16" s="10" t="n">
        <v>2018</v>
      </c>
      <c r="H16" s="10" t="n">
        <v>10</v>
      </c>
      <c r="I16" s="19" t="n">
        <v>21600</v>
      </c>
      <c r="J16" s="19" t="n">
        <v>24000</v>
      </c>
      <c r="K16" s="10" t="n">
        <v>1200</v>
      </c>
      <c r="L16" s="10" t="n">
        <v>2706</v>
      </c>
      <c r="M16" s="10" t="n">
        <v>27</v>
      </c>
      <c r="N16" s="11" t="n">
        <v>8.9</v>
      </c>
      <c r="O16" s="18" t="s">
        <v>56</v>
      </c>
    </row>
    <row r="17" customFormat="false" ht="15" hidden="false" customHeight="false" outlineLevel="0" collapsed="false">
      <c r="A17" s="18" t="n">
        <v>187307360</v>
      </c>
      <c r="B17" s="10" t="n">
        <v>365</v>
      </c>
      <c r="C17" s="18" t="s">
        <v>43</v>
      </c>
      <c r="D17" s="9" t="s">
        <v>822</v>
      </c>
      <c r="E17" s="9" t="s">
        <v>823</v>
      </c>
      <c r="F17" s="9" t="s">
        <v>16</v>
      </c>
      <c r="G17" s="10" t="n">
        <v>2026</v>
      </c>
      <c r="H17" s="10" t="n">
        <v>10</v>
      </c>
      <c r="I17" s="19" t="n">
        <v>18000</v>
      </c>
      <c r="J17" s="19" t="n">
        <v>20000</v>
      </c>
      <c r="K17" s="10" t="n">
        <v>1000</v>
      </c>
      <c r="L17" s="10" t="n">
        <v>546</v>
      </c>
      <c r="M17" s="10" t="n">
        <v>4</v>
      </c>
      <c r="N17" s="11" t="n">
        <v>10</v>
      </c>
      <c r="O17" s="18" t="s">
        <v>56</v>
      </c>
    </row>
    <row r="18" customFormat="false" ht="15" hidden="false" customHeight="false" outlineLevel="0" collapsed="false">
      <c r="A18" s="18" t="n">
        <v>183753010</v>
      </c>
      <c r="B18" s="10" t="n">
        <v>370</v>
      </c>
      <c r="C18" s="18" t="s">
        <v>43</v>
      </c>
      <c r="D18" s="9" t="s">
        <v>832</v>
      </c>
      <c r="E18" s="9" t="s">
        <v>833</v>
      </c>
      <c r="F18" s="9" t="s">
        <v>16</v>
      </c>
      <c r="G18" s="10" t="n">
        <v>2026</v>
      </c>
      <c r="H18" s="10" t="n">
        <v>10</v>
      </c>
      <c r="I18" s="19" t="n">
        <v>15120</v>
      </c>
      <c r="J18" s="19" t="n">
        <v>16800</v>
      </c>
      <c r="K18" s="10" t="n">
        <v>840</v>
      </c>
      <c r="L18" s="10" t="n">
        <v>1140</v>
      </c>
      <c r="M18" s="10" t="n">
        <v>24</v>
      </c>
      <c r="N18" s="11" t="n">
        <v>9.9</v>
      </c>
      <c r="O18" s="18" t="s">
        <v>56</v>
      </c>
    </row>
    <row r="19" customFormat="false" ht="15" hidden="false" customHeight="false" outlineLevel="0" collapsed="false">
      <c r="A19" s="18" t="n">
        <v>168840773</v>
      </c>
      <c r="B19" s="10" t="n">
        <v>398</v>
      </c>
      <c r="C19" s="18" t="s">
        <v>43</v>
      </c>
      <c r="D19" s="9" t="s">
        <v>890</v>
      </c>
      <c r="E19" s="9" t="s">
        <v>891</v>
      </c>
      <c r="F19" s="9" t="s">
        <v>16</v>
      </c>
      <c r="G19" s="10" t="n">
        <v>2025</v>
      </c>
      <c r="H19" s="10" t="n">
        <v>10</v>
      </c>
      <c r="I19" s="19" t="n">
        <v>18000</v>
      </c>
      <c r="J19" s="19" t="n">
        <v>20000</v>
      </c>
      <c r="K19" s="10" t="n">
        <v>1000</v>
      </c>
      <c r="L19" s="10" t="n">
        <v>4200</v>
      </c>
      <c r="M19" s="10" t="n">
        <v>21</v>
      </c>
      <c r="N19" s="11" t="n">
        <v>8.7</v>
      </c>
      <c r="O19" s="18" t="s">
        <v>56</v>
      </c>
    </row>
    <row r="20" customFormat="false" ht="15" hidden="false" customHeight="false" outlineLevel="0" collapsed="false">
      <c r="A20" s="18" t="n">
        <v>149190058</v>
      </c>
      <c r="B20" s="10" t="n">
        <v>426</v>
      </c>
      <c r="C20" s="18" t="s">
        <v>43</v>
      </c>
      <c r="D20" s="9" t="s">
        <v>944</v>
      </c>
      <c r="E20" s="9" t="s">
        <v>694</v>
      </c>
      <c r="F20" s="9" t="s">
        <v>16</v>
      </c>
      <c r="G20" s="10" t="n">
        <v>2025</v>
      </c>
      <c r="H20" s="10" t="n">
        <v>10</v>
      </c>
      <c r="I20" s="19" t="n">
        <v>21600</v>
      </c>
      <c r="J20" s="19" t="n">
        <v>24000</v>
      </c>
      <c r="K20" s="10" t="n">
        <v>1200</v>
      </c>
      <c r="L20" s="10" t="n">
        <v>2874</v>
      </c>
      <c r="M20" s="10" t="n">
        <v>14</v>
      </c>
      <c r="N20" s="11" t="n">
        <v>9.9</v>
      </c>
      <c r="O20" s="18" t="s">
        <v>56</v>
      </c>
    </row>
    <row r="21" customFormat="false" ht="15" hidden="false" customHeight="false" outlineLevel="0" collapsed="false">
      <c r="A21" s="18" t="n">
        <v>112941439</v>
      </c>
      <c r="B21" s="10" t="n">
        <v>527</v>
      </c>
      <c r="C21" s="18" t="s">
        <v>43</v>
      </c>
      <c r="D21" s="9" t="s">
        <v>1147</v>
      </c>
      <c r="E21" s="15" t="s">
        <v>1148</v>
      </c>
      <c r="F21" s="9" t="s">
        <v>16</v>
      </c>
      <c r="G21" s="10" t="n">
        <v>2022</v>
      </c>
      <c r="H21" s="10" t="n">
        <v>10</v>
      </c>
      <c r="I21" s="19" t="n">
        <v>26100</v>
      </c>
      <c r="J21" s="19" t="n">
        <v>29000</v>
      </c>
      <c r="K21" s="10" t="n">
        <v>1450</v>
      </c>
      <c r="L21" s="10" t="n">
        <v>1293</v>
      </c>
      <c r="M21" s="10" t="n">
        <v>2</v>
      </c>
      <c r="N21" s="11" t="n">
        <v>9</v>
      </c>
      <c r="O21" s="18" t="s">
        <v>56</v>
      </c>
    </row>
    <row r="22" customFormat="false" ht="15" hidden="false" customHeight="false" outlineLevel="0" collapsed="false">
      <c r="A22" s="18" t="n">
        <v>105911017</v>
      </c>
      <c r="B22" s="10" t="n">
        <v>540</v>
      </c>
      <c r="C22" s="18" t="s">
        <v>43</v>
      </c>
      <c r="D22" s="9" t="s">
        <v>1173</v>
      </c>
      <c r="E22" s="9" t="s">
        <v>1174</v>
      </c>
      <c r="F22" s="9" t="s">
        <v>16</v>
      </c>
      <c r="G22" s="10" t="n">
        <v>2022</v>
      </c>
      <c r="H22" s="10" t="n">
        <v>10</v>
      </c>
      <c r="I22" s="19" t="n">
        <v>21600</v>
      </c>
      <c r="J22" s="19" t="n">
        <v>24000</v>
      </c>
      <c r="K22" s="10" t="n">
        <v>1200</v>
      </c>
      <c r="L22" s="10" t="n">
        <v>828</v>
      </c>
      <c r="M22" s="10" t="n">
        <v>54</v>
      </c>
      <c r="N22" s="11" t="n">
        <v>9.6</v>
      </c>
      <c r="O22" s="18" t="s">
        <v>56</v>
      </c>
    </row>
    <row r="23" customFormat="false" ht="15" hidden="false" customHeight="false" outlineLevel="0" collapsed="false">
      <c r="A23" s="18" t="n">
        <v>103212837</v>
      </c>
      <c r="B23" s="10" t="n">
        <v>546</v>
      </c>
      <c r="C23" s="18" t="s">
        <v>43</v>
      </c>
      <c r="D23" s="9" t="s">
        <v>1184</v>
      </c>
      <c r="E23" s="9" t="s">
        <v>1185</v>
      </c>
      <c r="F23" s="9" t="s">
        <v>16</v>
      </c>
      <c r="G23" s="10" t="n">
        <v>2021</v>
      </c>
      <c r="H23" s="10" t="n">
        <v>10</v>
      </c>
      <c r="I23" s="19" t="n">
        <v>34200</v>
      </c>
      <c r="J23" s="19" t="n">
        <v>38000</v>
      </c>
      <c r="K23" s="10" t="n">
        <v>1900</v>
      </c>
      <c r="L23" s="10" t="n">
        <v>1104</v>
      </c>
      <c r="M23" s="10" t="n">
        <v>1</v>
      </c>
      <c r="N23" s="11" t="n">
        <v>10</v>
      </c>
      <c r="O23" s="18" t="s">
        <v>56</v>
      </c>
    </row>
    <row r="24" customFormat="false" ht="15" hidden="false" customHeight="false" outlineLevel="0" collapsed="false">
      <c r="A24" s="18" t="n">
        <v>103212218</v>
      </c>
      <c r="B24" s="10" t="n">
        <v>547</v>
      </c>
      <c r="C24" s="18" t="s">
        <v>43</v>
      </c>
      <c r="D24" s="9" t="s">
        <v>1186</v>
      </c>
      <c r="E24" s="9" t="s">
        <v>1185</v>
      </c>
      <c r="F24" s="9" t="s">
        <v>16</v>
      </c>
      <c r="G24" s="10" t="n">
        <v>2021</v>
      </c>
      <c r="H24" s="10" t="n">
        <v>10</v>
      </c>
      <c r="I24" s="19" t="n">
        <v>37800</v>
      </c>
      <c r="J24" s="19" t="n">
        <v>42000</v>
      </c>
      <c r="K24" s="10" t="n">
        <v>2100</v>
      </c>
      <c r="L24" s="10" t="n">
        <v>1410</v>
      </c>
      <c r="M24" s="10" t="n">
        <v>2</v>
      </c>
      <c r="N24" s="11" t="n">
        <v>4.5</v>
      </c>
      <c r="O24" s="18" t="s">
        <v>56</v>
      </c>
    </row>
    <row r="25" customFormat="false" ht="15" hidden="false" customHeight="false" outlineLevel="0" collapsed="false">
      <c r="A25" s="18" t="n">
        <v>95800974</v>
      </c>
      <c r="B25" s="10" t="n">
        <v>555</v>
      </c>
      <c r="C25" s="18" t="s">
        <v>43</v>
      </c>
      <c r="D25" s="9" t="s">
        <v>1201</v>
      </c>
      <c r="E25" s="9" t="s">
        <v>1202</v>
      </c>
      <c r="F25" s="9" t="s">
        <v>16</v>
      </c>
      <c r="G25" s="10" t="n">
        <v>2020</v>
      </c>
      <c r="H25" s="10" t="n">
        <v>10</v>
      </c>
      <c r="I25" s="19" t="n">
        <v>23400</v>
      </c>
      <c r="J25" s="19" t="n">
        <v>26000</v>
      </c>
      <c r="K25" s="10" t="n">
        <v>1300</v>
      </c>
      <c r="L25" s="10" t="n">
        <v>2067</v>
      </c>
      <c r="M25" s="10" t="n">
        <v>40</v>
      </c>
      <c r="N25" s="11" t="n">
        <v>9.6</v>
      </c>
      <c r="O25" s="18" t="s">
        <v>56</v>
      </c>
    </row>
    <row r="26" customFormat="false" ht="15" hidden="false" customHeight="false" outlineLevel="0" collapsed="false">
      <c r="A26" s="18" t="n">
        <v>89605439</v>
      </c>
      <c r="B26" s="10" t="n">
        <v>560</v>
      </c>
      <c r="C26" s="18" t="s">
        <v>43</v>
      </c>
      <c r="D26" s="9" t="s">
        <v>1210</v>
      </c>
      <c r="E26" s="9" t="s">
        <v>1211</v>
      </c>
      <c r="F26" s="9" t="s">
        <v>16</v>
      </c>
      <c r="G26" s="10" t="n">
        <v>2020</v>
      </c>
      <c r="H26" s="10" t="n">
        <v>10</v>
      </c>
      <c r="I26" s="19" t="n">
        <v>31500</v>
      </c>
      <c r="J26" s="19" t="n">
        <v>35000</v>
      </c>
      <c r="K26" s="10" t="n">
        <v>1750</v>
      </c>
      <c r="L26" s="10" t="n">
        <v>1866</v>
      </c>
      <c r="M26" s="10" t="n">
        <v>19</v>
      </c>
      <c r="N26" s="11" t="n">
        <v>9.9</v>
      </c>
      <c r="O26" s="18" t="s">
        <v>46</v>
      </c>
    </row>
    <row r="27" customFormat="false" ht="15" hidden="false" customHeight="false" outlineLevel="0" collapsed="false">
      <c r="A27" s="18" t="n">
        <v>65576412</v>
      </c>
      <c r="B27" s="10" t="n">
        <v>567</v>
      </c>
      <c r="C27" s="18" t="s">
        <v>43</v>
      </c>
      <c r="D27" s="9" t="s">
        <v>1223</v>
      </c>
      <c r="E27" s="9" t="s">
        <v>1224</v>
      </c>
      <c r="F27" s="9" t="s">
        <v>16</v>
      </c>
      <c r="G27" s="10" t="n">
        <v>2018</v>
      </c>
      <c r="H27" s="10" t="n">
        <v>10</v>
      </c>
      <c r="I27" s="19" t="n">
        <v>37800</v>
      </c>
      <c r="J27" s="19" t="n">
        <v>42000</v>
      </c>
      <c r="K27" s="10" t="n">
        <v>2100</v>
      </c>
      <c r="L27" s="10" t="n">
        <v>786</v>
      </c>
      <c r="M27" s="10" t="n">
        <v>13</v>
      </c>
      <c r="N27" s="11" t="n">
        <v>9.1</v>
      </c>
      <c r="O27" s="18" t="s">
        <v>46</v>
      </c>
    </row>
    <row r="28" customFormat="false" ht="15" hidden="false" customHeight="false" outlineLevel="0" collapsed="false">
      <c r="A28" s="18" t="n">
        <v>117586096</v>
      </c>
      <c r="B28" s="10" t="n">
        <v>589</v>
      </c>
      <c r="C28" s="18" t="s">
        <v>43</v>
      </c>
      <c r="D28" s="9" t="s">
        <v>1275</v>
      </c>
      <c r="E28" s="9" t="s">
        <v>1276</v>
      </c>
      <c r="F28" s="9" t="s">
        <v>16</v>
      </c>
      <c r="G28" s="10" t="n">
        <v>2023</v>
      </c>
      <c r="H28" s="10" t="n">
        <v>10</v>
      </c>
      <c r="I28" s="19" t="n">
        <v>28800</v>
      </c>
      <c r="J28" s="19" t="n">
        <v>32000</v>
      </c>
      <c r="K28" s="10" t="n">
        <v>1600</v>
      </c>
      <c r="L28" s="10" t="n">
        <v>396</v>
      </c>
      <c r="M28" s="10" t="n">
        <v>10</v>
      </c>
      <c r="N28" s="11" t="n">
        <v>10</v>
      </c>
      <c r="O28" s="18" t="s">
        <v>56</v>
      </c>
    </row>
    <row r="29" customFormat="false" ht="15" hidden="false" customHeight="false" outlineLevel="0" collapsed="false">
      <c r="A29" s="18" t="n">
        <v>182805587</v>
      </c>
      <c r="B29" s="10" t="n">
        <v>638</v>
      </c>
      <c r="C29" s="18" t="s">
        <v>43</v>
      </c>
      <c r="D29" s="9" t="s">
        <v>1377</v>
      </c>
      <c r="E29" s="9" t="s">
        <v>1378</v>
      </c>
      <c r="F29" s="9" t="s">
        <v>16</v>
      </c>
      <c r="G29" s="10" t="n">
        <v>2026</v>
      </c>
      <c r="H29" s="10" t="n">
        <v>10</v>
      </c>
      <c r="I29" s="19" t="n">
        <v>25200</v>
      </c>
      <c r="J29" s="19" t="n">
        <v>28000</v>
      </c>
      <c r="K29" s="10" t="n">
        <v>1400</v>
      </c>
      <c r="L29" s="10" t="n">
        <v>294</v>
      </c>
      <c r="M29" s="10" t="n">
        <v>0</v>
      </c>
      <c r="N29" s="11" t="n">
        <v>0</v>
      </c>
      <c r="O29" s="18" t="s">
        <v>56</v>
      </c>
    </row>
    <row r="30" customFormat="false" ht="15" hidden="false" customHeight="false" outlineLevel="0" collapsed="false">
      <c r="A30" s="18" t="n">
        <v>182436102</v>
      </c>
      <c r="B30" s="10" t="n">
        <v>645</v>
      </c>
      <c r="C30" s="18" t="s">
        <v>43</v>
      </c>
      <c r="D30" s="15" t="s">
        <v>1391</v>
      </c>
      <c r="E30" s="9" t="s">
        <v>1392</v>
      </c>
      <c r="F30" s="9" t="s">
        <v>16</v>
      </c>
      <c r="G30" s="10" t="n">
        <v>2026</v>
      </c>
      <c r="H30" s="10" t="n">
        <v>10</v>
      </c>
      <c r="I30" s="19" t="n">
        <v>27900</v>
      </c>
      <c r="J30" s="19" t="n">
        <v>31000</v>
      </c>
      <c r="K30" s="10" t="n">
        <v>1550</v>
      </c>
      <c r="L30" s="10" t="n">
        <v>270</v>
      </c>
      <c r="M30" s="10" t="n">
        <v>9</v>
      </c>
      <c r="N30" s="11" t="n">
        <v>10</v>
      </c>
      <c r="O30" s="18" t="s">
        <v>56</v>
      </c>
    </row>
    <row r="31" customFormat="false" ht="15" hidden="false" customHeight="false" outlineLevel="0" collapsed="false">
      <c r="A31" s="18" t="n">
        <v>178423439</v>
      </c>
      <c r="B31" s="10" t="n">
        <v>666</v>
      </c>
      <c r="C31" s="18" t="s">
        <v>43</v>
      </c>
      <c r="D31" s="9" t="s">
        <v>1431</v>
      </c>
      <c r="E31" s="9" t="s">
        <v>1432</v>
      </c>
      <c r="F31" s="9" t="s">
        <v>16</v>
      </c>
      <c r="G31" s="10" t="n">
        <v>2026</v>
      </c>
      <c r="H31" s="10" t="n">
        <v>10</v>
      </c>
      <c r="I31" s="19" t="n">
        <v>27000</v>
      </c>
      <c r="J31" s="19" t="n">
        <v>30000</v>
      </c>
      <c r="K31" s="10" t="n">
        <v>1500</v>
      </c>
      <c r="L31" s="10" t="n">
        <v>372</v>
      </c>
      <c r="M31" s="10" t="n">
        <v>4</v>
      </c>
      <c r="N31" s="11" t="n">
        <v>9.5</v>
      </c>
      <c r="O31" s="18" t="s">
        <v>56</v>
      </c>
    </row>
    <row r="32" customFormat="false" ht="15" hidden="false" customHeight="false" outlineLevel="0" collapsed="false">
      <c r="A32" s="18" t="n">
        <v>177123635</v>
      </c>
      <c r="B32" s="10" t="n">
        <v>675</v>
      </c>
      <c r="C32" s="18" t="s">
        <v>43</v>
      </c>
      <c r="D32" s="9" t="s">
        <v>1450</v>
      </c>
      <c r="E32" s="9" t="s">
        <v>1451</v>
      </c>
      <c r="F32" s="9" t="s">
        <v>16</v>
      </c>
      <c r="G32" s="10" t="n">
        <v>2026</v>
      </c>
      <c r="H32" s="10" t="n">
        <v>10</v>
      </c>
      <c r="I32" s="19" t="n">
        <v>19800</v>
      </c>
      <c r="J32" s="19" t="n">
        <v>22000</v>
      </c>
      <c r="K32" s="10" t="n">
        <v>1100</v>
      </c>
      <c r="L32" s="10" t="n">
        <v>912</v>
      </c>
      <c r="M32" s="10" t="n">
        <v>11</v>
      </c>
      <c r="N32" s="11" t="n">
        <v>10</v>
      </c>
      <c r="O32" s="18" t="s">
        <v>56</v>
      </c>
    </row>
    <row r="33" customFormat="false" ht="15" hidden="false" customHeight="false" outlineLevel="0" collapsed="false">
      <c r="A33" s="18" t="n">
        <v>172726927</v>
      </c>
      <c r="B33" s="10" t="n">
        <v>704</v>
      </c>
      <c r="C33" s="18" t="s">
        <v>43</v>
      </c>
      <c r="D33" s="9" t="s">
        <v>1503</v>
      </c>
      <c r="E33" s="9" t="s">
        <v>1504</v>
      </c>
      <c r="F33" s="9" t="s">
        <v>16</v>
      </c>
      <c r="G33" s="10" t="n">
        <v>2026</v>
      </c>
      <c r="H33" s="10" t="n">
        <v>10</v>
      </c>
      <c r="I33" s="19" t="n">
        <v>25200</v>
      </c>
      <c r="J33" s="19" t="n">
        <v>28000</v>
      </c>
      <c r="K33" s="10" t="n">
        <v>1400</v>
      </c>
      <c r="L33" s="10" t="n">
        <v>1182</v>
      </c>
      <c r="M33" s="10" t="n">
        <v>4</v>
      </c>
      <c r="N33" s="11" t="n">
        <v>10</v>
      </c>
      <c r="O33" s="18" t="s">
        <v>56</v>
      </c>
    </row>
    <row r="34" customFormat="false" ht="15" hidden="false" customHeight="false" outlineLevel="0" collapsed="false">
      <c r="A34" s="18" t="n">
        <v>170374556</v>
      </c>
      <c r="B34" s="10" t="n">
        <v>711</v>
      </c>
      <c r="C34" s="18" t="s">
        <v>43</v>
      </c>
      <c r="D34" s="15" t="s">
        <v>1520</v>
      </c>
      <c r="E34" s="9" t="s">
        <v>1521</v>
      </c>
      <c r="F34" s="9" t="s">
        <v>16</v>
      </c>
      <c r="G34" s="10" t="n">
        <v>2026</v>
      </c>
      <c r="H34" s="10" t="n">
        <v>10</v>
      </c>
      <c r="I34" s="19" t="n">
        <v>25200</v>
      </c>
      <c r="J34" s="19" t="n">
        <v>28000</v>
      </c>
      <c r="K34" s="10" t="n">
        <v>1400</v>
      </c>
      <c r="L34" s="10" t="n">
        <v>1056</v>
      </c>
      <c r="M34" s="10" t="n">
        <v>1</v>
      </c>
      <c r="N34" s="11" t="n">
        <v>10</v>
      </c>
      <c r="O34" s="18" t="s">
        <v>56</v>
      </c>
    </row>
    <row r="35" customFormat="false" ht="15" hidden="false" customHeight="false" outlineLevel="0" collapsed="false">
      <c r="A35" s="18" t="n">
        <v>167537897</v>
      </c>
      <c r="B35" s="10" t="n">
        <v>725</v>
      </c>
      <c r="C35" s="18" t="s">
        <v>43</v>
      </c>
      <c r="D35" s="9" t="s">
        <v>1547</v>
      </c>
      <c r="E35" s="9" t="s">
        <v>1548</v>
      </c>
      <c r="F35" s="9" t="s">
        <v>16</v>
      </c>
      <c r="G35" s="10" t="n">
        <v>2025</v>
      </c>
      <c r="H35" s="10" t="n">
        <v>10</v>
      </c>
      <c r="I35" s="19" t="n">
        <v>29700</v>
      </c>
      <c r="J35" s="19" t="n">
        <v>33000</v>
      </c>
      <c r="K35" s="10" t="n">
        <v>1650</v>
      </c>
      <c r="L35" s="10" t="n">
        <v>264</v>
      </c>
      <c r="M35" s="10" t="n">
        <v>0</v>
      </c>
      <c r="N35" s="11" t="n">
        <v>0</v>
      </c>
      <c r="O35" s="18" t="s">
        <v>56</v>
      </c>
    </row>
    <row r="36" customFormat="false" ht="15" hidden="false" customHeight="false" outlineLevel="0" collapsed="false">
      <c r="A36" s="18" t="n">
        <v>165483454</v>
      </c>
      <c r="B36" s="10" t="n">
        <v>734</v>
      </c>
      <c r="C36" s="18" t="s">
        <v>43</v>
      </c>
      <c r="D36" s="9" t="s">
        <v>1566</v>
      </c>
      <c r="E36" s="9" t="s">
        <v>1567</v>
      </c>
      <c r="F36" s="9" t="s">
        <v>16</v>
      </c>
      <c r="G36" s="10" t="n">
        <v>2025</v>
      </c>
      <c r="H36" s="10" t="n">
        <v>10</v>
      </c>
      <c r="I36" s="19" t="n">
        <v>31500</v>
      </c>
      <c r="J36" s="19" t="n">
        <v>35000</v>
      </c>
      <c r="K36" s="10" t="n">
        <v>1750</v>
      </c>
      <c r="L36" s="10" t="n">
        <v>1425</v>
      </c>
      <c r="M36" s="10" t="n">
        <v>1</v>
      </c>
      <c r="N36" s="11" t="n">
        <v>10</v>
      </c>
      <c r="O36" s="18" t="s">
        <v>56</v>
      </c>
    </row>
    <row r="37" customFormat="false" ht="15" hidden="false" customHeight="false" outlineLevel="0" collapsed="false">
      <c r="A37" s="18" t="n">
        <v>161395973</v>
      </c>
      <c r="B37" s="10" t="n">
        <v>742</v>
      </c>
      <c r="C37" s="18" t="s">
        <v>43</v>
      </c>
      <c r="D37" s="9" t="s">
        <v>1582</v>
      </c>
      <c r="E37" s="9" t="s">
        <v>1583</v>
      </c>
      <c r="F37" s="9" t="s">
        <v>16</v>
      </c>
      <c r="G37" s="10" t="n">
        <v>2025</v>
      </c>
      <c r="H37" s="10" t="n">
        <v>10</v>
      </c>
      <c r="I37" s="19" t="n">
        <v>24300</v>
      </c>
      <c r="J37" s="19" t="n">
        <v>27000</v>
      </c>
      <c r="K37" s="10" t="n">
        <v>1350</v>
      </c>
      <c r="L37" s="10" t="n">
        <v>876</v>
      </c>
      <c r="M37" s="10" t="n">
        <v>0</v>
      </c>
      <c r="N37" s="11" t="n">
        <v>0</v>
      </c>
      <c r="O37" s="18" t="s">
        <v>56</v>
      </c>
    </row>
    <row r="38" customFormat="false" ht="15" hidden="false" customHeight="false" outlineLevel="0" collapsed="false">
      <c r="A38" s="18" t="n">
        <v>153156828</v>
      </c>
      <c r="B38" s="10" t="n">
        <v>768</v>
      </c>
      <c r="C38" s="18" t="s">
        <v>43</v>
      </c>
      <c r="D38" s="9" t="s">
        <v>1636</v>
      </c>
      <c r="E38" s="9" t="s">
        <v>1637</v>
      </c>
      <c r="F38" s="9" t="s">
        <v>16</v>
      </c>
      <c r="G38" s="10" t="n">
        <v>2025</v>
      </c>
      <c r="H38" s="10" t="n">
        <v>10</v>
      </c>
      <c r="I38" s="19" t="n">
        <v>18000</v>
      </c>
      <c r="J38" s="19" t="n">
        <v>20000</v>
      </c>
      <c r="K38" s="10" t="n">
        <v>1000</v>
      </c>
      <c r="L38" s="10" t="n">
        <v>1368</v>
      </c>
      <c r="M38" s="10" t="n">
        <v>12</v>
      </c>
      <c r="N38" s="11" t="n">
        <v>9.3</v>
      </c>
      <c r="O38" s="18" t="s">
        <v>56</v>
      </c>
    </row>
    <row r="39" customFormat="false" ht="15" hidden="false" customHeight="false" outlineLevel="0" collapsed="false">
      <c r="A39" s="18" t="n">
        <v>153063596</v>
      </c>
      <c r="B39" s="10" t="n">
        <v>770</v>
      </c>
      <c r="C39" s="18" t="s">
        <v>43</v>
      </c>
      <c r="D39" s="9" t="s">
        <v>1641</v>
      </c>
      <c r="E39" s="9" t="s">
        <v>1642</v>
      </c>
      <c r="F39" s="9" t="s">
        <v>16</v>
      </c>
      <c r="G39" s="10" t="n">
        <v>2025</v>
      </c>
      <c r="H39" s="10" t="n">
        <v>10</v>
      </c>
      <c r="I39" s="19" t="n">
        <v>25200</v>
      </c>
      <c r="J39" s="19" t="n">
        <v>28000</v>
      </c>
      <c r="K39" s="10" t="n">
        <v>1400</v>
      </c>
      <c r="L39" s="10" t="n">
        <v>624</v>
      </c>
      <c r="M39" s="10" t="n">
        <v>4</v>
      </c>
      <c r="N39" s="11" t="n">
        <v>10</v>
      </c>
      <c r="O39" s="18" t="s">
        <v>56</v>
      </c>
    </row>
    <row r="40" customFormat="false" ht="15" hidden="false" customHeight="false" outlineLevel="0" collapsed="false">
      <c r="A40" s="18" t="n">
        <v>151381888</v>
      </c>
      <c r="B40" s="10" t="n">
        <v>787</v>
      </c>
      <c r="C40" s="18" t="s">
        <v>43</v>
      </c>
      <c r="D40" s="9" t="s">
        <v>1674</v>
      </c>
      <c r="E40" s="9" t="s">
        <v>1675</v>
      </c>
      <c r="F40" s="9" t="s">
        <v>16</v>
      </c>
      <c r="G40" s="10" t="n">
        <v>2025</v>
      </c>
      <c r="H40" s="10" t="n">
        <v>10</v>
      </c>
      <c r="I40" s="19" t="n">
        <v>25200</v>
      </c>
      <c r="J40" s="19" t="n">
        <v>28000</v>
      </c>
      <c r="K40" s="10" t="n">
        <v>1400</v>
      </c>
      <c r="L40" s="10" t="n">
        <v>3108</v>
      </c>
      <c r="M40" s="10" t="n">
        <v>3</v>
      </c>
      <c r="N40" s="11" t="n">
        <v>10</v>
      </c>
      <c r="O40" s="18" t="s">
        <v>56</v>
      </c>
    </row>
    <row r="41" customFormat="false" ht="15" hidden="false" customHeight="false" outlineLevel="0" collapsed="false">
      <c r="A41" s="18" t="n">
        <v>151170115</v>
      </c>
      <c r="B41" s="10" t="n">
        <v>795</v>
      </c>
      <c r="C41" s="18" t="s">
        <v>43</v>
      </c>
      <c r="D41" s="9" t="s">
        <v>1691</v>
      </c>
      <c r="E41" s="9" t="s">
        <v>1692</v>
      </c>
      <c r="F41" s="9" t="s">
        <v>16</v>
      </c>
      <c r="G41" s="10" t="n">
        <v>2025</v>
      </c>
      <c r="H41" s="10" t="n">
        <v>10</v>
      </c>
      <c r="I41" s="19" t="n">
        <v>22500</v>
      </c>
      <c r="J41" s="19" t="n">
        <v>25000</v>
      </c>
      <c r="K41" s="10" t="n">
        <v>1250</v>
      </c>
      <c r="L41" s="10" t="n">
        <v>2544</v>
      </c>
      <c r="M41" s="10" t="n">
        <v>8</v>
      </c>
      <c r="N41" s="11" t="n">
        <v>10</v>
      </c>
      <c r="O41" s="18" t="s">
        <v>56</v>
      </c>
    </row>
    <row r="42" customFormat="false" ht="15" hidden="false" customHeight="false" outlineLevel="0" collapsed="false">
      <c r="A42" s="18" t="n">
        <v>150795058</v>
      </c>
      <c r="B42" s="10" t="n">
        <v>798</v>
      </c>
      <c r="C42" s="18" t="s">
        <v>43</v>
      </c>
      <c r="D42" s="9" t="s">
        <v>1697</v>
      </c>
      <c r="E42" s="9" t="s">
        <v>1698</v>
      </c>
      <c r="F42" s="9" t="s">
        <v>16</v>
      </c>
      <c r="G42" s="10" t="n">
        <v>2025</v>
      </c>
      <c r="H42" s="10" t="n">
        <v>10</v>
      </c>
      <c r="I42" s="19" t="n">
        <v>34200</v>
      </c>
      <c r="J42" s="19" t="n">
        <v>38000</v>
      </c>
      <c r="K42" s="10" t="n">
        <v>1900</v>
      </c>
      <c r="L42" s="10" t="n">
        <v>2772</v>
      </c>
      <c r="M42" s="10" t="n">
        <v>7</v>
      </c>
      <c r="N42" s="11" t="n">
        <v>9.7</v>
      </c>
      <c r="O42" s="18" t="s">
        <v>56</v>
      </c>
    </row>
    <row r="43" customFormat="false" ht="15" hidden="false" customHeight="false" outlineLevel="0" collapsed="false">
      <c r="A43" s="18" t="n">
        <v>147562901</v>
      </c>
      <c r="B43" s="10" t="n">
        <v>834</v>
      </c>
      <c r="C43" s="18" t="s">
        <v>43</v>
      </c>
      <c r="D43" s="15" t="s">
        <v>1763</v>
      </c>
      <c r="E43" s="9" t="s">
        <v>1764</v>
      </c>
      <c r="F43" s="9" t="s">
        <v>16</v>
      </c>
      <c r="G43" s="10" t="n">
        <v>2025</v>
      </c>
      <c r="H43" s="10" t="n">
        <v>10</v>
      </c>
      <c r="I43" s="19" t="n">
        <v>19800</v>
      </c>
      <c r="J43" s="19" t="n">
        <v>22000</v>
      </c>
      <c r="K43" s="10" t="n">
        <v>1100</v>
      </c>
      <c r="L43" s="10" t="n">
        <v>5790</v>
      </c>
      <c r="M43" s="10" t="n">
        <v>10</v>
      </c>
      <c r="N43" s="11" t="n">
        <v>9.4</v>
      </c>
      <c r="O43" s="18" t="s">
        <v>56</v>
      </c>
    </row>
    <row r="44" customFormat="false" ht="15" hidden="false" customHeight="false" outlineLevel="0" collapsed="false">
      <c r="A44" s="18" t="n">
        <v>146929149</v>
      </c>
      <c r="B44" s="10" t="n">
        <v>850</v>
      </c>
      <c r="C44" s="18" t="s">
        <v>43</v>
      </c>
      <c r="D44" s="15" t="s">
        <v>1792</v>
      </c>
      <c r="E44" s="9" t="s">
        <v>1793</v>
      </c>
      <c r="F44" s="9" t="s">
        <v>16</v>
      </c>
      <c r="G44" s="10" t="n">
        <v>2025</v>
      </c>
      <c r="H44" s="10" t="n">
        <v>10</v>
      </c>
      <c r="I44" s="19" t="n">
        <v>23400</v>
      </c>
      <c r="J44" s="19" t="n">
        <v>26000</v>
      </c>
      <c r="K44" s="10" t="n">
        <v>1300</v>
      </c>
      <c r="L44" s="10" t="n">
        <v>468</v>
      </c>
      <c r="M44" s="10" t="n">
        <v>3</v>
      </c>
      <c r="N44" s="11" t="n">
        <v>8.7</v>
      </c>
      <c r="O44" s="18" t="s">
        <v>56</v>
      </c>
    </row>
    <row r="45" customFormat="false" ht="15" hidden="false" customHeight="false" outlineLevel="0" collapsed="false">
      <c r="A45" s="18" t="n">
        <v>145227885</v>
      </c>
      <c r="B45" s="10" t="n">
        <v>873</v>
      </c>
      <c r="C45" s="18" t="s">
        <v>43</v>
      </c>
      <c r="D45" s="9" t="s">
        <v>1840</v>
      </c>
      <c r="E45" s="9" t="s">
        <v>1841</v>
      </c>
      <c r="F45" s="9" t="s">
        <v>16</v>
      </c>
      <c r="G45" s="10" t="n">
        <v>2025</v>
      </c>
      <c r="H45" s="10" t="n">
        <v>10</v>
      </c>
      <c r="I45" s="19" t="n">
        <v>24300</v>
      </c>
      <c r="J45" s="19" t="n">
        <v>27000</v>
      </c>
      <c r="K45" s="10" t="n">
        <v>1350</v>
      </c>
      <c r="L45" s="10" t="n">
        <v>300</v>
      </c>
      <c r="M45" s="10" t="n">
        <v>10</v>
      </c>
      <c r="N45" s="11" t="n">
        <v>9.6</v>
      </c>
      <c r="O45" s="18" t="s">
        <v>56</v>
      </c>
    </row>
    <row r="46" customFormat="false" ht="15" hidden="false" customHeight="false" outlineLevel="0" collapsed="false">
      <c r="A46" s="18" t="n">
        <v>140411525</v>
      </c>
      <c r="B46" s="10" t="n">
        <v>929</v>
      </c>
      <c r="C46" s="18" t="s">
        <v>43</v>
      </c>
      <c r="D46" s="15" t="s">
        <v>1954</v>
      </c>
      <c r="E46" s="9" t="s">
        <v>1955</v>
      </c>
      <c r="F46" s="9" t="s">
        <v>16</v>
      </c>
      <c r="G46" s="10" t="n">
        <v>2025</v>
      </c>
      <c r="H46" s="10" t="n">
        <v>10</v>
      </c>
      <c r="I46" s="19" t="n">
        <v>18000</v>
      </c>
      <c r="J46" s="19" t="n">
        <v>20000</v>
      </c>
      <c r="K46" s="10" t="n">
        <v>1000</v>
      </c>
      <c r="L46" s="10" t="n">
        <v>1716</v>
      </c>
      <c r="M46" s="10" t="n">
        <v>43</v>
      </c>
      <c r="N46" s="11" t="n">
        <v>9.6</v>
      </c>
      <c r="O46" s="18" t="s">
        <v>56</v>
      </c>
    </row>
    <row r="47" customFormat="false" ht="15" hidden="false" customHeight="false" outlineLevel="0" collapsed="false">
      <c r="A47" s="18" t="n">
        <v>139638401</v>
      </c>
      <c r="B47" s="10" t="n">
        <v>940</v>
      </c>
      <c r="C47" s="18" t="s">
        <v>43</v>
      </c>
      <c r="D47" s="9" t="s">
        <v>1978</v>
      </c>
      <c r="E47" s="9" t="s">
        <v>1979</v>
      </c>
      <c r="F47" s="9" t="s">
        <v>16</v>
      </c>
      <c r="G47" s="10" t="n">
        <v>2024</v>
      </c>
      <c r="H47" s="10" t="n">
        <v>10</v>
      </c>
      <c r="I47" s="19" t="n">
        <v>15120</v>
      </c>
      <c r="J47" s="19" t="n">
        <v>16800</v>
      </c>
      <c r="K47" s="10" t="n">
        <v>840</v>
      </c>
      <c r="L47" s="10" t="n">
        <v>726</v>
      </c>
      <c r="M47" s="10" t="n">
        <v>15</v>
      </c>
      <c r="N47" s="11" t="n">
        <v>9.9</v>
      </c>
      <c r="O47" s="18" t="s">
        <v>56</v>
      </c>
    </row>
    <row r="48" customFormat="false" ht="15" hidden="false" customHeight="false" outlineLevel="0" collapsed="false">
      <c r="A48" s="18" t="n">
        <v>134794414</v>
      </c>
      <c r="B48" s="10" t="n">
        <v>957</v>
      </c>
      <c r="C48" s="18" t="s">
        <v>43</v>
      </c>
      <c r="D48" s="9" t="s">
        <v>2010</v>
      </c>
      <c r="E48" s="9" t="s">
        <v>2011</v>
      </c>
      <c r="F48" s="9" t="s">
        <v>16</v>
      </c>
      <c r="G48" s="10" t="n">
        <v>2024</v>
      </c>
      <c r="H48" s="10" t="n">
        <v>10</v>
      </c>
      <c r="I48" s="19" t="n">
        <v>18000</v>
      </c>
      <c r="J48" s="19" t="n">
        <v>20000</v>
      </c>
      <c r="K48" s="10" t="n">
        <v>1000</v>
      </c>
      <c r="L48" s="10" t="n">
        <v>672</v>
      </c>
      <c r="M48" s="10" t="n">
        <v>7</v>
      </c>
      <c r="N48" s="11" t="n">
        <v>9.7</v>
      </c>
      <c r="O48" s="18" t="s">
        <v>56</v>
      </c>
    </row>
    <row r="49" customFormat="false" ht="15" hidden="false" customHeight="false" outlineLevel="0" collapsed="false">
      <c r="A49" s="18" t="n">
        <v>130346846</v>
      </c>
      <c r="B49" s="10" t="n">
        <v>981</v>
      </c>
      <c r="C49" s="18" t="s">
        <v>43</v>
      </c>
      <c r="D49" s="9" t="s">
        <v>2056</v>
      </c>
      <c r="E49" s="9" t="s">
        <v>2057</v>
      </c>
      <c r="F49" s="9" t="s">
        <v>16</v>
      </c>
      <c r="G49" s="10" t="n">
        <v>2024</v>
      </c>
      <c r="H49" s="10" t="n">
        <v>10</v>
      </c>
      <c r="I49" s="19" t="n">
        <v>24300</v>
      </c>
      <c r="J49" s="19" t="n">
        <v>27000</v>
      </c>
      <c r="K49" s="10" t="n">
        <v>1350</v>
      </c>
      <c r="L49" s="10" t="n">
        <v>294</v>
      </c>
      <c r="M49" s="10" t="n">
        <v>8</v>
      </c>
      <c r="N49" s="11" t="n">
        <v>9.5</v>
      </c>
      <c r="O49" s="18" t="s">
        <v>56</v>
      </c>
    </row>
    <row r="50" customFormat="false" ht="15" hidden="false" customHeight="false" outlineLevel="0" collapsed="false">
      <c r="A50" s="18" t="n">
        <v>130039359</v>
      </c>
      <c r="B50" s="10" t="n">
        <v>989</v>
      </c>
      <c r="C50" s="18" t="s">
        <v>43</v>
      </c>
      <c r="D50" s="9" t="s">
        <v>2069</v>
      </c>
      <c r="E50" s="9" t="s">
        <v>2070</v>
      </c>
      <c r="F50" s="9" t="s">
        <v>16</v>
      </c>
      <c r="G50" s="10" t="n">
        <v>2024</v>
      </c>
      <c r="H50" s="10" t="n">
        <v>10</v>
      </c>
      <c r="I50" s="19" t="n">
        <v>25200</v>
      </c>
      <c r="J50" s="19" t="n">
        <v>28000</v>
      </c>
      <c r="K50" s="10" t="n">
        <v>1400</v>
      </c>
      <c r="L50" s="10" t="n">
        <v>1200</v>
      </c>
      <c r="M50" s="10" t="n">
        <v>8</v>
      </c>
      <c r="N50" s="11" t="n">
        <v>9</v>
      </c>
      <c r="O50" s="18" t="s">
        <v>56</v>
      </c>
    </row>
    <row r="51" customFormat="false" ht="15" hidden="false" customHeight="false" outlineLevel="0" collapsed="false">
      <c r="A51" s="18" t="n">
        <v>128929260</v>
      </c>
      <c r="B51" s="10" t="n">
        <v>994</v>
      </c>
      <c r="C51" s="18" t="s">
        <v>43</v>
      </c>
      <c r="D51" s="9" t="s">
        <v>2079</v>
      </c>
      <c r="E51" s="9" t="s">
        <v>2080</v>
      </c>
      <c r="F51" s="9" t="s">
        <v>16</v>
      </c>
      <c r="G51" s="10" t="n">
        <v>2024</v>
      </c>
      <c r="H51" s="10" t="n">
        <v>10</v>
      </c>
      <c r="I51" s="19" t="n">
        <v>27000</v>
      </c>
      <c r="J51" s="19" t="n">
        <v>30000</v>
      </c>
      <c r="K51" s="10" t="n">
        <v>1500</v>
      </c>
      <c r="L51" s="10" t="n">
        <v>288</v>
      </c>
      <c r="M51" s="10" t="n">
        <v>12</v>
      </c>
      <c r="N51" s="11" t="n">
        <v>10</v>
      </c>
      <c r="O51" s="18" t="s">
        <v>56</v>
      </c>
    </row>
    <row r="52" customFormat="false" ht="15" hidden="false" customHeight="false" outlineLevel="0" collapsed="false">
      <c r="A52" s="18" t="n">
        <v>128928864</v>
      </c>
      <c r="B52" s="10" t="n">
        <v>995</v>
      </c>
      <c r="C52" s="18" t="s">
        <v>43</v>
      </c>
      <c r="D52" s="9" t="s">
        <v>2081</v>
      </c>
      <c r="E52" s="9" t="s">
        <v>2082</v>
      </c>
      <c r="F52" s="9" t="s">
        <v>16</v>
      </c>
      <c r="G52" s="10" t="n">
        <v>2024</v>
      </c>
      <c r="H52" s="10" t="n">
        <v>10</v>
      </c>
      <c r="I52" s="19" t="n">
        <v>34200</v>
      </c>
      <c r="J52" s="19" t="n">
        <v>38000</v>
      </c>
      <c r="K52" s="10" t="n">
        <v>1900</v>
      </c>
      <c r="L52" s="10" t="n">
        <v>870</v>
      </c>
      <c r="M52" s="10" t="n">
        <v>16</v>
      </c>
      <c r="N52" s="11" t="n">
        <v>9.9</v>
      </c>
      <c r="O52" s="18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10.02"/>
    <col collapsed="false" customWidth="true" hidden="false" outlineLevel="0" max="2" min="2" style="0" width="9.18"/>
    <col collapsed="false" customWidth="true" hidden="false" outlineLevel="0" max="3" min="3" style="0" width="10.85"/>
    <col collapsed="false" customWidth="true" hidden="false" outlineLevel="0" max="4" min="4" style="0" width="40.06"/>
    <col collapsed="false" customWidth="true" hidden="false" outlineLevel="0" max="5" min="5" style="0" width="19.19"/>
    <col collapsed="false" customWidth="true" hidden="false" outlineLevel="0" max="6" min="6" style="0" width="10.02"/>
    <col collapsed="false" customWidth="true" hidden="false" outlineLevel="0" max="7" min="7" style="0" width="12.52"/>
    <col collapsed="false" customWidth="true" hidden="false" outlineLevel="0" max="8" min="8" style="0" width="13.35"/>
    <col collapsed="false" customWidth="true" hidden="false" outlineLevel="0" max="9" min="9" style="0" width="10.85"/>
    <col collapsed="false" customWidth="true" hidden="false" outlineLevel="0" max="10" min="10" style="0" width="14.19"/>
    <col collapsed="false" customWidth="true" hidden="false" outlineLevel="0" max="11" min="11" style="0" width="9.18"/>
    <col collapsed="false" customWidth="true" hidden="false" outlineLevel="0" max="12" min="12" style="0" width="10.85"/>
    <col collapsed="false" customWidth="true" hidden="false" outlineLevel="0" max="13" min="13" style="0" width="12.52"/>
    <col collapsed="false" customWidth="true" hidden="false" outlineLevel="0" max="14" min="14" style="0" width="9.18"/>
    <col collapsed="false" customWidth="true" hidden="false" outlineLevel="0" max="15" min="15" style="0" width="14.19"/>
  </cols>
  <sheetData>
    <row r="1" customFormat="false" ht="15" hidden="false" customHeight="false" outlineLevel="0" collapsed="false">
      <c r="A1" s="17" t="s">
        <v>28</v>
      </c>
      <c r="B1" s="17" t="s">
        <v>29</v>
      </c>
      <c r="C1" s="17" t="s">
        <v>30</v>
      </c>
      <c r="D1" s="17" t="s">
        <v>31</v>
      </c>
      <c r="E1" s="17" t="s">
        <v>32</v>
      </c>
      <c r="F1" s="17" t="s">
        <v>33</v>
      </c>
      <c r="G1" s="17" t="s">
        <v>34</v>
      </c>
      <c r="H1" s="17" t="s">
        <v>35</v>
      </c>
      <c r="I1" s="17" t="s">
        <v>36</v>
      </c>
      <c r="J1" s="17" t="s">
        <v>37</v>
      </c>
      <c r="K1" s="17" t="s">
        <v>38</v>
      </c>
      <c r="L1" s="17" t="s">
        <v>39</v>
      </c>
      <c r="M1" s="17" t="s">
        <v>40</v>
      </c>
      <c r="N1" s="17" t="s">
        <v>41</v>
      </c>
      <c r="O1" s="17" t="s">
        <v>42</v>
      </c>
    </row>
    <row r="2" customFormat="false" ht="15" hidden="false" customHeight="false" outlineLevel="0" collapsed="false">
      <c r="A2" s="18" t="n">
        <v>188182444</v>
      </c>
      <c r="B2" s="10" t="n">
        <v>14</v>
      </c>
      <c r="C2" s="18" t="s">
        <v>43</v>
      </c>
      <c r="D2" s="9" t="s">
        <v>77</v>
      </c>
      <c r="E2" s="9" t="s">
        <v>78</v>
      </c>
      <c r="F2" s="9" t="s">
        <v>17</v>
      </c>
      <c r="G2" s="10" t="n">
        <v>2026</v>
      </c>
      <c r="H2" s="10" t="n">
        <v>10</v>
      </c>
      <c r="I2" s="19" t="n">
        <v>19800</v>
      </c>
      <c r="J2" s="19" t="n">
        <v>22000</v>
      </c>
      <c r="K2" s="10" t="n">
        <v>1100</v>
      </c>
      <c r="L2" s="10" t="n">
        <v>10758</v>
      </c>
      <c r="M2" s="10" t="n">
        <v>16</v>
      </c>
      <c r="N2" s="11" t="n">
        <v>10</v>
      </c>
      <c r="O2" s="18" t="s">
        <v>56</v>
      </c>
    </row>
    <row r="3" customFormat="false" ht="15" hidden="false" customHeight="false" outlineLevel="0" collapsed="false">
      <c r="A3" s="18" t="n">
        <v>119293186</v>
      </c>
      <c r="B3" s="10" t="n">
        <v>19</v>
      </c>
      <c r="C3" s="18" t="s">
        <v>43</v>
      </c>
      <c r="D3" s="15" t="s">
        <v>89</v>
      </c>
      <c r="E3" s="9" t="s">
        <v>90</v>
      </c>
      <c r="F3" s="9" t="s">
        <v>17</v>
      </c>
      <c r="G3" s="10" t="n">
        <v>2023</v>
      </c>
      <c r="H3" s="10" t="n">
        <v>10</v>
      </c>
      <c r="I3" s="19" t="n">
        <v>19800</v>
      </c>
      <c r="J3" s="19" t="n">
        <v>22000</v>
      </c>
      <c r="K3" s="10" t="n">
        <v>1100</v>
      </c>
      <c r="L3" s="10" t="n">
        <v>43893</v>
      </c>
      <c r="M3" s="10" t="n">
        <v>147</v>
      </c>
      <c r="N3" s="11" t="n">
        <v>9.7</v>
      </c>
      <c r="O3" s="18" t="s">
        <v>46</v>
      </c>
    </row>
    <row r="4" customFormat="false" ht="15" hidden="false" customHeight="false" outlineLevel="0" collapsed="false">
      <c r="A4" s="18" t="n">
        <v>189520507</v>
      </c>
      <c r="B4" s="10" t="n">
        <v>40</v>
      </c>
      <c r="C4" s="18" t="s">
        <v>43</v>
      </c>
      <c r="D4" s="9" t="s">
        <v>140</v>
      </c>
      <c r="E4" s="9" t="s">
        <v>141</v>
      </c>
      <c r="F4" s="9" t="s">
        <v>17</v>
      </c>
      <c r="G4" s="10" t="n">
        <v>2026</v>
      </c>
      <c r="H4" s="10" t="n">
        <v>10</v>
      </c>
      <c r="I4" s="19" t="n">
        <v>19800</v>
      </c>
      <c r="J4" s="19" t="n">
        <v>22000</v>
      </c>
      <c r="K4" s="10" t="n">
        <v>1100</v>
      </c>
      <c r="L4" s="10" t="n">
        <v>3921</v>
      </c>
      <c r="M4" s="10" t="n">
        <v>9</v>
      </c>
      <c r="N4" s="11" t="n">
        <v>10</v>
      </c>
      <c r="O4" s="18" t="s">
        <v>56</v>
      </c>
    </row>
    <row r="5" customFormat="false" ht="15" hidden="false" customHeight="false" outlineLevel="0" collapsed="false">
      <c r="A5" s="18" t="n">
        <v>143907967</v>
      </c>
      <c r="B5" s="10" t="n">
        <v>46</v>
      </c>
      <c r="C5" s="18" t="s">
        <v>43</v>
      </c>
      <c r="D5" s="9" t="s">
        <v>152</v>
      </c>
      <c r="E5" s="9" t="s">
        <v>153</v>
      </c>
      <c r="F5" s="9" t="s">
        <v>17</v>
      </c>
      <c r="G5" s="10" t="n">
        <v>2025</v>
      </c>
      <c r="H5" s="10" t="n">
        <v>10</v>
      </c>
      <c r="I5" s="19" t="n">
        <v>19800</v>
      </c>
      <c r="J5" s="19" t="n">
        <v>22000</v>
      </c>
      <c r="K5" s="10" t="n">
        <v>1100</v>
      </c>
      <c r="L5" s="10" t="n">
        <v>27948</v>
      </c>
      <c r="M5" s="10" t="n">
        <v>61</v>
      </c>
      <c r="N5" s="11" t="n">
        <v>9.9</v>
      </c>
      <c r="O5" s="18" t="s">
        <v>46</v>
      </c>
    </row>
    <row r="6" customFormat="false" ht="15" hidden="false" customHeight="false" outlineLevel="0" collapsed="false">
      <c r="A6" s="18" t="n">
        <v>163301895</v>
      </c>
      <c r="B6" s="10" t="n">
        <v>55</v>
      </c>
      <c r="C6" s="18" t="s">
        <v>43</v>
      </c>
      <c r="D6" s="9" t="s">
        <v>172</v>
      </c>
      <c r="E6" s="9" t="s">
        <v>173</v>
      </c>
      <c r="F6" s="9" t="s">
        <v>17</v>
      </c>
      <c r="G6" s="10" t="n">
        <v>2025</v>
      </c>
      <c r="H6" s="10" t="n">
        <v>10</v>
      </c>
      <c r="I6" s="19" t="n">
        <v>18000</v>
      </c>
      <c r="J6" s="19" t="n">
        <v>20000</v>
      </c>
      <c r="K6" s="10" t="n">
        <v>1000</v>
      </c>
      <c r="L6" s="10" t="n">
        <v>73566</v>
      </c>
      <c r="M6" s="10" t="n">
        <v>78</v>
      </c>
      <c r="N6" s="11" t="n">
        <v>9.8</v>
      </c>
      <c r="O6" s="18" t="s">
        <v>46</v>
      </c>
    </row>
    <row r="7" customFormat="false" ht="15" hidden="false" customHeight="false" outlineLevel="0" collapsed="false">
      <c r="A7" s="18" t="n">
        <v>146955725</v>
      </c>
      <c r="B7" s="10" t="n">
        <v>56</v>
      </c>
      <c r="C7" s="18" t="s">
        <v>43</v>
      </c>
      <c r="D7" s="9" t="s">
        <v>174</v>
      </c>
      <c r="E7" s="9" t="s">
        <v>175</v>
      </c>
      <c r="F7" s="9" t="s">
        <v>17</v>
      </c>
      <c r="G7" s="10" t="n">
        <v>2025</v>
      </c>
      <c r="H7" s="10" t="n">
        <v>10</v>
      </c>
      <c r="I7" s="19" t="n">
        <v>18000</v>
      </c>
      <c r="J7" s="19" t="n">
        <v>20000</v>
      </c>
      <c r="K7" s="10" t="n">
        <v>1000</v>
      </c>
      <c r="L7" s="10" t="n">
        <v>35010</v>
      </c>
      <c r="M7" s="10" t="n">
        <v>99</v>
      </c>
      <c r="N7" s="11" t="n">
        <v>9.5</v>
      </c>
      <c r="O7" s="18" t="s">
        <v>46</v>
      </c>
    </row>
    <row r="8" customFormat="false" ht="15" hidden="false" customHeight="false" outlineLevel="0" collapsed="false">
      <c r="A8" s="18" t="n">
        <v>189188156</v>
      </c>
      <c r="B8" s="10" t="n">
        <v>75</v>
      </c>
      <c r="C8" s="18" t="s">
        <v>43</v>
      </c>
      <c r="D8" s="15" t="s">
        <v>216</v>
      </c>
      <c r="E8" s="9" t="s">
        <v>217</v>
      </c>
      <c r="F8" s="9" t="s">
        <v>17</v>
      </c>
      <c r="G8" s="10" t="n">
        <v>2026</v>
      </c>
      <c r="H8" s="10" t="n">
        <v>10</v>
      </c>
      <c r="I8" s="19" t="n">
        <v>21600</v>
      </c>
      <c r="J8" s="19" t="n">
        <v>24000</v>
      </c>
      <c r="K8" s="10" t="n">
        <v>1200</v>
      </c>
      <c r="L8" s="10" t="n">
        <v>1581</v>
      </c>
      <c r="M8" s="10" t="n">
        <v>6</v>
      </c>
      <c r="N8" s="11" t="n">
        <v>10</v>
      </c>
      <c r="O8" s="18" t="s">
        <v>56</v>
      </c>
    </row>
    <row r="9" customFormat="false" ht="15" hidden="false" customHeight="false" outlineLevel="0" collapsed="false">
      <c r="A9" s="18" t="n">
        <v>180508055</v>
      </c>
      <c r="B9" s="10" t="n">
        <v>79</v>
      </c>
      <c r="C9" s="18" t="s">
        <v>43</v>
      </c>
      <c r="D9" s="9" t="s">
        <v>224</v>
      </c>
      <c r="E9" s="9" t="s">
        <v>153</v>
      </c>
      <c r="F9" s="9" t="s">
        <v>17</v>
      </c>
      <c r="G9" s="10" t="n">
        <v>2026</v>
      </c>
      <c r="H9" s="10" t="n">
        <v>10</v>
      </c>
      <c r="I9" s="19" t="n">
        <v>18900</v>
      </c>
      <c r="J9" s="19" t="n">
        <v>21000</v>
      </c>
      <c r="K9" s="10" t="n">
        <v>1050</v>
      </c>
      <c r="L9" s="10" t="n">
        <v>3606</v>
      </c>
      <c r="M9" s="10" t="n">
        <v>72</v>
      </c>
      <c r="N9" s="11" t="n">
        <v>9.9</v>
      </c>
      <c r="O9" s="18" t="s">
        <v>56</v>
      </c>
    </row>
    <row r="10" customFormat="false" ht="15" hidden="false" customHeight="false" outlineLevel="0" collapsed="false">
      <c r="A10" s="18" t="n">
        <v>189790267</v>
      </c>
      <c r="B10" s="10" t="n">
        <v>84</v>
      </c>
      <c r="C10" s="18" t="s">
        <v>43</v>
      </c>
      <c r="D10" s="15" t="s">
        <v>234</v>
      </c>
      <c r="E10" s="9" t="s">
        <v>235</v>
      </c>
      <c r="F10" s="9" t="s">
        <v>17</v>
      </c>
      <c r="G10" s="10" t="n">
        <v>2026</v>
      </c>
      <c r="H10" s="10" t="n">
        <v>10</v>
      </c>
      <c r="I10" s="19" t="n">
        <v>32400</v>
      </c>
      <c r="J10" s="19" t="n">
        <v>36000</v>
      </c>
      <c r="K10" s="10" t="n">
        <v>1800</v>
      </c>
      <c r="L10" s="10" t="n">
        <v>1044</v>
      </c>
      <c r="M10" s="10" t="n">
        <v>0</v>
      </c>
      <c r="N10" s="11" t="n">
        <v>0</v>
      </c>
      <c r="O10" s="18" t="s">
        <v>56</v>
      </c>
    </row>
    <row r="11" customFormat="false" ht="15" hidden="false" customHeight="false" outlineLevel="0" collapsed="false">
      <c r="A11" s="18" t="n">
        <v>146036009</v>
      </c>
      <c r="B11" s="10" t="n">
        <v>90</v>
      </c>
      <c r="C11" s="18" t="s">
        <v>43</v>
      </c>
      <c r="D11" s="15" t="s">
        <v>247</v>
      </c>
      <c r="E11" s="9" t="s">
        <v>248</v>
      </c>
      <c r="F11" s="9" t="s">
        <v>17</v>
      </c>
      <c r="G11" s="10" t="n">
        <v>2025</v>
      </c>
      <c r="H11" s="10" t="n">
        <v>10</v>
      </c>
      <c r="I11" s="19" t="n">
        <v>31500</v>
      </c>
      <c r="J11" s="19" t="n">
        <v>35000</v>
      </c>
      <c r="K11" s="10" t="n">
        <v>1750</v>
      </c>
      <c r="L11" s="10" t="n">
        <v>18075</v>
      </c>
      <c r="M11" s="10" t="n">
        <v>22</v>
      </c>
      <c r="N11" s="11" t="n">
        <v>9.7</v>
      </c>
      <c r="O11" s="18" t="s">
        <v>46</v>
      </c>
    </row>
    <row r="12" customFormat="false" ht="15" hidden="false" customHeight="false" outlineLevel="0" collapsed="false">
      <c r="A12" s="18" t="n">
        <v>188012932</v>
      </c>
      <c r="B12" s="10" t="n">
        <v>112</v>
      </c>
      <c r="C12" s="18" t="s">
        <v>43</v>
      </c>
      <c r="D12" s="9" t="s">
        <v>295</v>
      </c>
      <c r="E12" s="9" t="s">
        <v>296</v>
      </c>
      <c r="F12" s="9" t="s">
        <v>17</v>
      </c>
      <c r="G12" s="10" t="n">
        <v>2026</v>
      </c>
      <c r="H12" s="10" t="n">
        <v>10</v>
      </c>
      <c r="I12" s="19" t="n">
        <v>21600</v>
      </c>
      <c r="J12" s="19" t="n">
        <v>24000</v>
      </c>
      <c r="K12" s="10" t="n">
        <v>1200</v>
      </c>
      <c r="L12" s="10" t="n">
        <v>2166</v>
      </c>
      <c r="M12" s="10" t="n">
        <v>8</v>
      </c>
      <c r="N12" s="11" t="n">
        <v>10</v>
      </c>
      <c r="O12" s="18" t="s">
        <v>56</v>
      </c>
    </row>
    <row r="13" customFormat="false" ht="15" hidden="false" customHeight="false" outlineLevel="0" collapsed="false">
      <c r="A13" s="18" t="n">
        <v>181117854</v>
      </c>
      <c r="B13" s="10" t="n">
        <v>123</v>
      </c>
      <c r="C13" s="18" t="s">
        <v>43</v>
      </c>
      <c r="D13" s="9" t="s">
        <v>318</v>
      </c>
      <c r="E13" s="9" t="s">
        <v>319</v>
      </c>
      <c r="F13" s="9" t="s">
        <v>17</v>
      </c>
      <c r="G13" s="10" t="n">
        <v>2026</v>
      </c>
      <c r="H13" s="10" t="n">
        <v>10</v>
      </c>
      <c r="I13" s="19" t="n">
        <v>17100</v>
      </c>
      <c r="J13" s="19" t="n">
        <v>19000</v>
      </c>
      <c r="K13" s="10" t="n">
        <v>950</v>
      </c>
      <c r="L13" s="10" t="n">
        <v>4713</v>
      </c>
      <c r="M13" s="10" t="n">
        <v>28</v>
      </c>
      <c r="N13" s="11" t="n">
        <v>10</v>
      </c>
      <c r="O13" s="18" t="s">
        <v>56</v>
      </c>
    </row>
    <row r="14" customFormat="false" ht="15" hidden="false" customHeight="false" outlineLevel="0" collapsed="false">
      <c r="A14" s="18" t="n">
        <v>182958115</v>
      </c>
      <c r="B14" s="10" t="n">
        <v>128</v>
      </c>
      <c r="C14" s="18" t="s">
        <v>43</v>
      </c>
      <c r="D14" s="9" t="s">
        <v>330</v>
      </c>
      <c r="E14" s="9" t="s">
        <v>331</v>
      </c>
      <c r="F14" s="9" t="s">
        <v>17</v>
      </c>
      <c r="G14" s="10" t="n">
        <v>2026</v>
      </c>
      <c r="H14" s="10" t="n">
        <v>10</v>
      </c>
      <c r="I14" s="19" t="n">
        <v>18900</v>
      </c>
      <c r="J14" s="19" t="n">
        <v>21000</v>
      </c>
      <c r="K14" s="10" t="n">
        <v>1050</v>
      </c>
      <c r="L14" s="10" t="n">
        <v>4602</v>
      </c>
      <c r="M14" s="10" t="n">
        <v>15</v>
      </c>
      <c r="N14" s="11" t="n">
        <v>9.5</v>
      </c>
      <c r="O14" s="18" t="s">
        <v>46</v>
      </c>
    </row>
    <row r="15" customFormat="false" ht="15" hidden="false" customHeight="false" outlineLevel="0" collapsed="false">
      <c r="A15" s="18" t="n">
        <v>152553545</v>
      </c>
      <c r="B15" s="10" t="n">
        <v>135</v>
      </c>
      <c r="C15" s="18" t="s">
        <v>43</v>
      </c>
      <c r="D15" s="9" t="s">
        <v>343</v>
      </c>
      <c r="E15" s="9" t="s">
        <v>344</v>
      </c>
      <c r="F15" s="9" t="s">
        <v>17</v>
      </c>
      <c r="G15" s="10" t="n">
        <v>2025</v>
      </c>
      <c r="H15" s="10" t="n">
        <v>10</v>
      </c>
      <c r="I15" s="19" t="n">
        <v>21600</v>
      </c>
      <c r="J15" s="19" t="n">
        <v>24000</v>
      </c>
      <c r="K15" s="10" t="n">
        <v>1200</v>
      </c>
      <c r="L15" s="10" t="n">
        <v>8268</v>
      </c>
      <c r="M15" s="10" t="n">
        <v>26</v>
      </c>
      <c r="N15" s="11" t="n">
        <v>9.8</v>
      </c>
      <c r="O15" s="18" t="s">
        <v>56</v>
      </c>
    </row>
    <row r="16" customFormat="false" ht="15" hidden="false" customHeight="false" outlineLevel="0" collapsed="false">
      <c r="A16" s="18" t="n">
        <v>145983717</v>
      </c>
      <c r="B16" s="10" t="n">
        <v>163</v>
      </c>
      <c r="C16" s="18" t="s">
        <v>43</v>
      </c>
      <c r="D16" s="15" t="s">
        <v>398</v>
      </c>
      <c r="E16" s="9" t="s">
        <v>399</v>
      </c>
      <c r="F16" s="9" t="s">
        <v>17</v>
      </c>
      <c r="G16" s="10" t="n">
        <v>2025</v>
      </c>
      <c r="H16" s="10" t="n">
        <v>10</v>
      </c>
      <c r="I16" s="19" t="n">
        <v>26550</v>
      </c>
      <c r="J16" s="19" t="n">
        <v>29500</v>
      </c>
      <c r="K16" s="10" t="n">
        <v>1470</v>
      </c>
      <c r="L16" s="10" t="n">
        <v>4824</v>
      </c>
      <c r="M16" s="10" t="n">
        <v>11</v>
      </c>
      <c r="N16" s="11" t="n">
        <v>10</v>
      </c>
      <c r="O16" s="18" t="s">
        <v>46</v>
      </c>
    </row>
    <row r="17" customFormat="false" ht="15" hidden="false" customHeight="false" outlineLevel="0" collapsed="false">
      <c r="A17" s="18" t="n">
        <v>186524949</v>
      </c>
      <c r="B17" s="10" t="n">
        <v>184</v>
      </c>
      <c r="C17" s="18" t="s">
        <v>43</v>
      </c>
      <c r="D17" s="9" t="s">
        <v>445</v>
      </c>
      <c r="E17" s="9" t="s">
        <v>446</v>
      </c>
      <c r="F17" s="9" t="s">
        <v>17</v>
      </c>
      <c r="G17" s="10" t="n">
        <v>2026</v>
      </c>
      <c r="H17" s="10" t="n">
        <v>10</v>
      </c>
      <c r="I17" s="19" t="n">
        <v>26820</v>
      </c>
      <c r="J17" s="19" t="n">
        <v>29800</v>
      </c>
      <c r="K17" s="10" t="n">
        <v>1490</v>
      </c>
      <c r="L17" s="10" t="n">
        <v>1686</v>
      </c>
      <c r="M17" s="10" t="n">
        <v>11</v>
      </c>
      <c r="N17" s="11" t="n">
        <v>10</v>
      </c>
      <c r="O17" s="18" t="s">
        <v>56</v>
      </c>
    </row>
    <row r="18" customFormat="false" ht="15" hidden="false" customHeight="false" outlineLevel="0" collapsed="false">
      <c r="A18" s="18" t="n">
        <v>178728770</v>
      </c>
      <c r="B18" s="10" t="n">
        <v>188</v>
      </c>
      <c r="C18" s="18" t="s">
        <v>43</v>
      </c>
      <c r="D18" s="9" t="s">
        <v>453</v>
      </c>
      <c r="E18" s="9" t="s">
        <v>454</v>
      </c>
      <c r="F18" s="9" t="s">
        <v>17</v>
      </c>
      <c r="G18" s="10" t="n">
        <v>2026</v>
      </c>
      <c r="H18" s="10" t="n">
        <v>10</v>
      </c>
      <c r="I18" s="19" t="n">
        <v>19800</v>
      </c>
      <c r="J18" s="19" t="n">
        <v>22000</v>
      </c>
      <c r="K18" s="10" t="n">
        <v>1100</v>
      </c>
      <c r="L18" s="10" t="n">
        <v>2178</v>
      </c>
      <c r="M18" s="10" t="n">
        <v>18</v>
      </c>
      <c r="N18" s="11" t="n">
        <v>10</v>
      </c>
      <c r="O18" s="18" t="s">
        <v>56</v>
      </c>
    </row>
    <row r="19" customFormat="false" ht="15" hidden="false" customHeight="false" outlineLevel="0" collapsed="false">
      <c r="A19" s="18" t="n">
        <v>151780100</v>
      </c>
      <c r="B19" s="10" t="n">
        <v>198</v>
      </c>
      <c r="C19" s="18" t="s">
        <v>43</v>
      </c>
      <c r="D19" s="9" t="s">
        <v>474</v>
      </c>
      <c r="E19" s="9" t="s">
        <v>475</v>
      </c>
      <c r="F19" s="9" t="s">
        <v>17</v>
      </c>
      <c r="G19" s="10" t="n">
        <v>2025</v>
      </c>
      <c r="H19" s="10" t="n">
        <v>10</v>
      </c>
      <c r="I19" s="19" t="n">
        <v>16020</v>
      </c>
      <c r="J19" s="19" t="n">
        <v>17800</v>
      </c>
      <c r="K19" s="10" t="n">
        <v>890</v>
      </c>
      <c r="L19" s="10" t="n">
        <v>3966</v>
      </c>
      <c r="M19" s="10" t="n">
        <v>40</v>
      </c>
      <c r="N19" s="11" t="n">
        <v>10</v>
      </c>
      <c r="O19" s="18" t="s">
        <v>56</v>
      </c>
    </row>
    <row r="20" customFormat="false" ht="15" hidden="false" customHeight="false" outlineLevel="0" collapsed="false">
      <c r="A20" s="18" t="n">
        <v>150308211</v>
      </c>
      <c r="B20" s="10" t="n">
        <v>199</v>
      </c>
      <c r="C20" s="18" t="s">
        <v>43</v>
      </c>
      <c r="D20" s="9" t="s">
        <v>476</v>
      </c>
      <c r="E20" s="9" t="s">
        <v>477</v>
      </c>
      <c r="F20" s="9" t="s">
        <v>17</v>
      </c>
      <c r="G20" s="10" t="n">
        <v>2025</v>
      </c>
      <c r="H20" s="10" t="n">
        <v>10</v>
      </c>
      <c r="I20" s="19" t="n">
        <v>18900</v>
      </c>
      <c r="J20" s="19" t="n">
        <v>21000</v>
      </c>
      <c r="K20" s="10" t="n">
        <v>1050</v>
      </c>
      <c r="L20" s="10" t="n">
        <v>7518</v>
      </c>
      <c r="M20" s="10" t="n">
        <v>18</v>
      </c>
      <c r="N20" s="11" t="n">
        <v>9.9</v>
      </c>
      <c r="O20" s="18" t="s">
        <v>46</v>
      </c>
    </row>
    <row r="21" customFormat="false" ht="15" hidden="false" customHeight="false" outlineLevel="0" collapsed="false">
      <c r="A21" s="18" t="n">
        <v>122598455</v>
      </c>
      <c r="B21" s="10" t="n">
        <v>210</v>
      </c>
      <c r="C21" s="18" t="s">
        <v>43</v>
      </c>
      <c r="D21" s="9" t="s">
        <v>498</v>
      </c>
      <c r="E21" s="9" t="s">
        <v>499</v>
      </c>
      <c r="F21" s="9" t="s">
        <v>17</v>
      </c>
      <c r="G21" s="10" t="n">
        <v>2023</v>
      </c>
      <c r="H21" s="10" t="n">
        <v>10</v>
      </c>
      <c r="I21" s="19" t="n">
        <v>16200</v>
      </c>
      <c r="J21" s="19" t="n">
        <v>18000</v>
      </c>
      <c r="K21" s="10" t="n">
        <v>900</v>
      </c>
      <c r="L21" s="10" t="n">
        <v>4710</v>
      </c>
      <c r="M21" s="10" t="n">
        <v>46</v>
      </c>
      <c r="N21" s="11" t="n">
        <v>9.8</v>
      </c>
      <c r="O21" s="18" t="s">
        <v>46</v>
      </c>
    </row>
    <row r="22" customFormat="false" ht="15" hidden="false" customHeight="false" outlineLevel="0" collapsed="false">
      <c r="A22" s="18" t="n">
        <v>168263935</v>
      </c>
      <c r="B22" s="10" t="n">
        <v>260</v>
      </c>
      <c r="C22" s="18" t="s">
        <v>43</v>
      </c>
      <c r="D22" s="15" t="s">
        <v>605</v>
      </c>
      <c r="E22" s="9" t="s">
        <v>606</v>
      </c>
      <c r="F22" s="9" t="s">
        <v>17</v>
      </c>
      <c r="G22" s="10" t="n">
        <v>2025</v>
      </c>
      <c r="H22" s="10" t="n">
        <v>10</v>
      </c>
      <c r="I22" s="19" t="n">
        <v>18900</v>
      </c>
      <c r="J22" s="19" t="n">
        <v>21000</v>
      </c>
      <c r="K22" s="10" t="n">
        <v>1050</v>
      </c>
      <c r="L22" s="10" t="n">
        <v>2808</v>
      </c>
      <c r="M22" s="10" t="n">
        <v>11</v>
      </c>
      <c r="N22" s="11" t="n">
        <v>10</v>
      </c>
      <c r="O22" s="18" t="s">
        <v>56</v>
      </c>
    </row>
    <row r="23" customFormat="false" ht="15" hidden="false" customHeight="false" outlineLevel="0" collapsed="false">
      <c r="A23" s="18" t="n">
        <v>154288390</v>
      </c>
      <c r="B23" s="10" t="n">
        <v>276</v>
      </c>
      <c r="C23" s="18" t="s">
        <v>43</v>
      </c>
      <c r="D23" s="9" t="s">
        <v>638</v>
      </c>
      <c r="E23" s="9" t="s">
        <v>639</v>
      </c>
      <c r="F23" s="9" t="s">
        <v>17</v>
      </c>
      <c r="G23" s="10" t="n">
        <v>2025</v>
      </c>
      <c r="H23" s="10" t="n">
        <v>10</v>
      </c>
      <c r="I23" s="19" t="n">
        <v>21600</v>
      </c>
      <c r="J23" s="19" t="n">
        <v>24000</v>
      </c>
      <c r="K23" s="10" t="n">
        <v>1200</v>
      </c>
      <c r="L23" s="10" t="n">
        <v>3426</v>
      </c>
      <c r="M23" s="10" t="n">
        <v>10</v>
      </c>
      <c r="N23" s="11" t="n">
        <v>10</v>
      </c>
      <c r="O23" s="18" t="s">
        <v>46</v>
      </c>
    </row>
    <row r="24" customFormat="false" ht="15" hidden="false" customHeight="false" outlineLevel="0" collapsed="false">
      <c r="A24" s="18" t="n">
        <v>125692722</v>
      </c>
      <c r="B24" s="10" t="n">
        <v>304</v>
      </c>
      <c r="C24" s="18" t="s">
        <v>43</v>
      </c>
      <c r="D24" s="9" t="s">
        <v>693</v>
      </c>
      <c r="E24" s="9" t="s">
        <v>694</v>
      </c>
      <c r="F24" s="9" t="s">
        <v>17</v>
      </c>
      <c r="G24" s="10" t="n">
        <v>2024</v>
      </c>
      <c r="H24" s="10" t="n">
        <v>10</v>
      </c>
      <c r="I24" s="19" t="n">
        <v>17100</v>
      </c>
      <c r="J24" s="19" t="n">
        <v>19000</v>
      </c>
      <c r="K24" s="10" t="n">
        <v>950</v>
      </c>
      <c r="L24" s="10" t="n">
        <v>7884</v>
      </c>
      <c r="M24" s="10" t="n">
        <v>32</v>
      </c>
      <c r="N24" s="11" t="n">
        <v>9.7</v>
      </c>
      <c r="O24" s="18" t="s">
        <v>46</v>
      </c>
    </row>
    <row r="25" customFormat="false" ht="15" hidden="false" customHeight="false" outlineLevel="0" collapsed="false">
      <c r="A25" s="18" t="n">
        <v>91219874</v>
      </c>
      <c r="B25" s="10" t="n">
        <v>326</v>
      </c>
      <c r="C25" s="18" t="s">
        <v>43</v>
      </c>
      <c r="D25" s="15" t="s">
        <v>736</v>
      </c>
      <c r="E25" s="9" t="s">
        <v>737</v>
      </c>
      <c r="F25" s="9" t="s">
        <v>17</v>
      </c>
      <c r="G25" s="10" t="n">
        <v>2020</v>
      </c>
      <c r="H25" s="10" t="n">
        <v>10</v>
      </c>
      <c r="I25" s="19" t="n">
        <v>19800</v>
      </c>
      <c r="J25" s="19" t="n">
        <v>22000</v>
      </c>
      <c r="K25" s="10" t="n">
        <v>1100</v>
      </c>
      <c r="L25" s="10" t="n">
        <v>2616</v>
      </c>
      <c r="M25" s="10" t="n">
        <v>36</v>
      </c>
      <c r="N25" s="11" t="n">
        <v>9.2</v>
      </c>
      <c r="O25" s="18" t="s">
        <v>56</v>
      </c>
    </row>
    <row r="26" customFormat="false" ht="15" hidden="false" customHeight="false" outlineLevel="0" collapsed="false">
      <c r="A26" s="18" t="n">
        <v>76182394</v>
      </c>
      <c r="B26" s="10" t="n">
        <v>331</v>
      </c>
      <c r="C26" s="18" t="s">
        <v>43</v>
      </c>
      <c r="D26" s="9" t="s">
        <v>748</v>
      </c>
      <c r="E26" s="9" t="s">
        <v>499</v>
      </c>
      <c r="F26" s="9" t="s">
        <v>17</v>
      </c>
      <c r="G26" s="10" t="n">
        <v>2019</v>
      </c>
      <c r="H26" s="10" t="n">
        <v>10</v>
      </c>
      <c r="I26" s="19" t="n">
        <v>18000</v>
      </c>
      <c r="J26" s="19" t="n">
        <v>20000</v>
      </c>
      <c r="K26" s="10" t="n">
        <v>1000</v>
      </c>
      <c r="L26" s="10" t="n">
        <v>3474</v>
      </c>
      <c r="M26" s="10" t="n">
        <v>100</v>
      </c>
      <c r="N26" s="11" t="n">
        <v>9.8</v>
      </c>
      <c r="O26" s="18" t="s">
        <v>46</v>
      </c>
    </row>
    <row r="27" customFormat="false" ht="15" hidden="false" customHeight="false" outlineLevel="0" collapsed="false">
      <c r="A27" s="18" t="n">
        <v>170504548</v>
      </c>
      <c r="B27" s="10" t="n">
        <v>396</v>
      </c>
      <c r="C27" s="18" t="s">
        <v>43</v>
      </c>
      <c r="D27" s="9" t="s">
        <v>886</v>
      </c>
      <c r="E27" s="9" t="s">
        <v>887</v>
      </c>
      <c r="F27" s="9" t="s">
        <v>17</v>
      </c>
      <c r="G27" s="10" t="n">
        <v>2026</v>
      </c>
      <c r="H27" s="10" t="n">
        <v>10</v>
      </c>
      <c r="I27" s="19" t="n">
        <v>19800</v>
      </c>
      <c r="J27" s="19" t="n">
        <v>22000</v>
      </c>
      <c r="K27" s="10" t="n">
        <v>1100</v>
      </c>
      <c r="L27" s="10" t="n">
        <v>1677</v>
      </c>
      <c r="M27" s="10" t="n">
        <v>20</v>
      </c>
      <c r="N27" s="11" t="n">
        <v>10</v>
      </c>
      <c r="O27" s="18" t="s">
        <v>56</v>
      </c>
    </row>
    <row r="28" customFormat="false" ht="15" hidden="false" customHeight="false" outlineLevel="0" collapsed="false">
      <c r="A28" s="18" t="n">
        <v>147871988</v>
      </c>
      <c r="B28" s="10" t="n">
        <v>432</v>
      </c>
      <c r="C28" s="18" t="s">
        <v>43</v>
      </c>
      <c r="D28" s="15" t="s">
        <v>956</v>
      </c>
      <c r="E28" s="9" t="s">
        <v>217</v>
      </c>
      <c r="F28" s="9" t="s">
        <v>17</v>
      </c>
      <c r="G28" s="10" t="n">
        <v>2025</v>
      </c>
      <c r="H28" s="10" t="n">
        <v>10</v>
      </c>
      <c r="I28" s="19" t="n">
        <v>32400</v>
      </c>
      <c r="J28" s="19" t="n">
        <v>36000</v>
      </c>
      <c r="K28" s="10" t="n">
        <v>1800</v>
      </c>
      <c r="L28" s="10" t="n">
        <v>2730</v>
      </c>
      <c r="M28" s="10" t="n">
        <v>7</v>
      </c>
      <c r="N28" s="11" t="n">
        <v>10</v>
      </c>
      <c r="O28" s="18" t="s">
        <v>56</v>
      </c>
    </row>
    <row r="29" customFormat="false" ht="15" hidden="false" customHeight="false" outlineLevel="0" collapsed="false">
      <c r="A29" s="18" t="n">
        <v>142814138</v>
      </c>
      <c r="B29" s="10" t="n">
        <v>452</v>
      </c>
      <c r="C29" s="18" t="s">
        <v>43</v>
      </c>
      <c r="D29" s="9" t="s">
        <v>995</v>
      </c>
      <c r="E29" s="9" t="s">
        <v>296</v>
      </c>
      <c r="F29" s="9" t="s">
        <v>17</v>
      </c>
      <c r="G29" s="10" t="n">
        <v>2025</v>
      </c>
      <c r="H29" s="10" t="n">
        <v>10</v>
      </c>
      <c r="I29" s="19" t="n">
        <v>17820</v>
      </c>
      <c r="J29" s="19" t="n">
        <v>19800</v>
      </c>
      <c r="K29" s="10" t="n">
        <v>990</v>
      </c>
      <c r="L29" s="10" t="n">
        <v>16920</v>
      </c>
      <c r="M29" s="10" t="n">
        <v>39</v>
      </c>
      <c r="N29" s="11" t="n">
        <v>10</v>
      </c>
      <c r="O29" s="18" t="s">
        <v>56</v>
      </c>
    </row>
    <row r="30" customFormat="false" ht="15" hidden="false" customHeight="false" outlineLevel="0" collapsed="false">
      <c r="A30" s="18" t="n">
        <v>129133723</v>
      </c>
      <c r="B30" s="10" t="n">
        <v>475</v>
      </c>
      <c r="C30" s="18" t="s">
        <v>43</v>
      </c>
      <c r="D30" s="15" t="s">
        <v>1040</v>
      </c>
      <c r="E30" s="9" t="s">
        <v>1041</v>
      </c>
      <c r="F30" s="9" t="s">
        <v>17</v>
      </c>
      <c r="G30" s="10" t="n">
        <v>2024</v>
      </c>
      <c r="H30" s="10" t="n">
        <v>10</v>
      </c>
      <c r="I30" s="19" t="n">
        <v>28800</v>
      </c>
      <c r="J30" s="19" t="n">
        <v>32000</v>
      </c>
      <c r="K30" s="10" t="n">
        <v>1600</v>
      </c>
      <c r="L30" s="10" t="n">
        <v>4056</v>
      </c>
      <c r="M30" s="10" t="n">
        <v>86</v>
      </c>
      <c r="N30" s="11" t="n">
        <v>9.6</v>
      </c>
      <c r="O30" s="18" t="s">
        <v>56</v>
      </c>
    </row>
    <row r="31" customFormat="false" ht="15" hidden="false" customHeight="false" outlineLevel="0" collapsed="false">
      <c r="A31" s="18" t="n">
        <v>128725552</v>
      </c>
      <c r="B31" s="10" t="n">
        <v>478</v>
      </c>
      <c r="C31" s="18" t="s">
        <v>43</v>
      </c>
      <c r="D31" s="9" t="s">
        <v>1046</v>
      </c>
      <c r="E31" s="9" t="s">
        <v>1047</v>
      </c>
      <c r="F31" s="9" t="s">
        <v>17</v>
      </c>
      <c r="G31" s="10" t="n">
        <v>2024</v>
      </c>
      <c r="H31" s="10" t="n">
        <v>10</v>
      </c>
      <c r="I31" s="19" t="n">
        <v>16200</v>
      </c>
      <c r="J31" s="19" t="n">
        <v>18000</v>
      </c>
      <c r="K31" s="10" t="n">
        <v>900</v>
      </c>
      <c r="L31" s="10" t="n">
        <v>2400</v>
      </c>
      <c r="M31" s="10" t="n">
        <v>30</v>
      </c>
      <c r="N31" s="11" t="n">
        <v>9.9</v>
      </c>
      <c r="O31" s="18" t="s">
        <v>56</v>
      </c>
    </row>
    <row r="32" customFormat="false" ht="15" hidden="false" customHeight="false" outlineLevel="0" collapsed="false">
      <c r="A32" s="18" t="n">
        <v>126871758</v>
      </c>
      <c r="B32" s="10" t="n">
        <v>483</v>
      </c>
      <c r="C32" s="18" t="s">
        <v>43</v>
      </c>
      <c r="D32" s="15" t="s">
        <v>1057</v>
      </c>
      <c r="E32" s="9" t="s">
        <v>1058</v>
      </c>
      <c r="F32" s="9" t="s">
        <v>17</v>
      </c>
      <c r="G32" s="10" t="n">
        <v>2024</v>
      </c>
      <c r="H32" s="10" t="n">
        <v>10</v>
      </c>
      <c r="I32" s="19" t="n">
        <v>20700</v>
      </c>
      <c r="J32" s="19" t="n">
        <v>23000</v>
      </c>
      <c r="K32" s="10" t="n">
        <v>1150</v>
      </c>
      <c r="L32" s="10" t="n">
        <v>3048</v>
      </c>
      <c r="M32" s="10" t="n">
        <v>17</v>
      </c>
      <c r="N32" s="11" t="n">
        <v>10</v>
      </c>
      <c r="O32" s="18" t="s">
        <v>56</v>
      </c>
    </row>
    <row r="33" customFormat="false" ht="15" hidden="false" customHeight="false" outlineLevel="0" collapsed="false">
      <c r="A33" s="18" t="n">
        <v>122560579</v>
      </c>
      <c r="B33" s="10" t="n">
        <v>500</v>
      </c>
      <c r="C33" s="18" t="s">
        <v>43</v>
      </c>
      <c r="D33" s="9" t="s">
        <v>1091</v>
      </c>
      <c r="E33" s="9" t="s">
        <v>1092</v>
      </c>
      <c r="F33" s="9" t="s">
        <v>17</v>
      </c>
      <c r="G33" s="10" t="n">
        <v>2023</v>
      </c>
      <c r="H33" s="10" t="n">
        <v>10</v>
      </c>
      <c r="I33" s="19" t="n">
        <v>19800</v>
      </c>
      <c r="J33" s="19" t="n">
        <v>22000</v>
      </c>
      <c r="K33" s="10" t="n">
        <v>1100</v>
      </c>
      <c r="L33" s="10" t="n">
        <v>1614</v>
      </c>
      <c r="M33" s="10" t="n">
        <v>14</v>
      </c>
      <c r="N33" s="11" t="n">
        <v>9.9</v>
      </c>
      <c r="O33" s="18" t="s">
        <v>46</v>
      </c>
    </row>
    <row r="34" customFormat="false" ht="15" hidden="false" customHeight="false" outlineLevel="0" collapsed="false">
      <c r="A34" s="18" t="n">
        <v>121209050</v>
      </c>
      <c r="B34" s="10" t="n">
        <v>507</v>
      </c>
      <c r="C34" s="18" t="s">
        <v>43</v>
      </c>
      <c r="D34" s="9" t="s">
        <v>1105</v>
      </c>
      <c r="E34" s="9" t="s">
        <v>1106</v>
      </c>
      <c r="F34" s="9" t="s">
        <v>17</v>
      </c>
      <c r="G34" s="10" t="n">
        <v>2023</v>
      </c>
      <c r="H34" s="10" t="n">
        <v>10</v>
      </c>
      <c r="I34" s="19" t="n">
        <v>15120</v>
      </c>
      <c r="J34" s="19" t="n">
        <v>16800</v>
      </c>
      <c r="K34" s="10" t="n">
        <v>840</v>
      </c>
      <c r="L34" s="10" t="n">
        <v>606</v>
      </c>
      <c r="M34" s="10" t="n">
        <v>31</v>
      </c>
      <c r="N34" s="11" t="n">
        <v>9.7</v>
      </c>
      <c r="O34" s="18" t="s">
        <v>56</v>
      </c>
    </row>
    <row r="35" customFormat="false" ht="15" hidden="false" customHeight="false" outlineLevel="0" collapsed="false">
      <c r="A35" s="18" t="n">
        <v>116038106</v>
      </c>
      <c r="B35" s="10" t="n">
        <v>524</v>
      </c>
      <c r="C35" s="18" t="s">
        <v>43</v>
      </c>
      <c r="D35" s="15" t="s">
        <v>1141</v>
      </c>
      <c r="E35" s="9" t="s">
        <v>1142</v>
      </c>
      <c r="F35" s="9" t="s">
        <v>17</v>
      </c>
      <c r="G35" s="10" t="n">
        <v>2022</v>
      </c>
      <c r="H35" s="10" t="n">
        <v>10</v>
      </c>
      <c r="I35" s="19" t="n">
        <v>19800</v>
      </c>
      <c r="J35" s="19" t="n">
        <v>22000</v>
      </c>
      <c r="K35" s="10" t="n">
        <v>1100</v>
      </c>
      <c r="L35" s="10" t="n">
        <v>2109</v>
      </c>
      <c r="M35" s="10" t="n">
        <v>19</v>
      </c>
      <c r="N35" s="11" t="n">
        <v>10</v>
      </c>
      <c r="O35" s="18" t="s">
        <v>56</v>
      </c>
    </row>
    <row r="36" customFormat="false" ht="15" hidden="false" customHeight="false" outlineLevel="0" collapsed="false">
      <c r="A36" s="18" t="n">
        <v>114627204</v>
      </c>
      <c r="B36" s="10" t="n">
        <v>526</v>
      </c>
      <c r="C36" s="18" t="s">
        <v>43</v>
      </c>
      <c r="D36" s="9" t="s">
        <v>1145</v>
      </c>
      <c r="E36" s="9" t="s">
        <v>1146</v>
      </c>
      <c r="F36" s="9" t="s">
        <v>17</v>
      </c>
      <c r="G36" s="10" t="n">
        <v>2022</v>
      </c>
      <c r="H36" s="10" t="n">
        <v>10</v>
      </c>
      <c r="I36" s="19" t="n">
        <v>27000</v>
      </c>
      <c r="J36" s="19" t="n">
        <v>30000</v>
      </c>
      <c r="K36" s="10" t="n">
        <v>1500</v>
      </c>
      <c r="L36" s="10" t="n">
        <v>1860</v>
      </c>
      <c r="M36" s="10" t="n">
        <v>66</v>
      </c>
      <c r="N36" s="11" t="n">
        <v>9.7</v>
      </c>
      <c r="O36" s="18" t="s">
        <v>46</v>
      </c>
    </row>
    <row r="37" customFormat="false" ht="15" hidden="false" customHeight="false" outlineLevel="0" collapsed="false">
      <c r="A37" s="18" t="n">
        <v>109209932</v>
      </c>
      <c r="B37" s="10" t="n">
        <v>532</v>
      </c>
      <c r="C37" s="18" t="s">
        <v>43</v>
      </c>
      <c r="D37" s="15" t="s">
        <v>1159</v>
      </c>
      <c r="E37" s="9" t="s">
        <v>90</v>
      </c>
      <c r="F37" s="9" t="s">
        <v>17</v>
      </c>
      <c r="G37" s="10" t="n">
        <v>2022</v>
      </c>
      <c r="H37" s="10" t="n">
        <v>10</v>
      </c>
      <c r="I37" s="19" t="n">
        <v>23400</v>
      </c>
      <c r="J37" s="19" t="n">
        <v>26000</v>
      </c>
      <c r="K37" s="10" t="n">
        <v>1300</v>
      </c>
      <c r="L37" s="10" t="n">
        <v>1872</v>
      </c>
      <c r="M37" s="10" t="n">
        <v>8</v>
      </c>
      <c r="N37" s="11" t="n">
        <v>8.5</v>
      </c>
      <c r="O37" s="18" t="s">
        <v>56</v>
      </c>
    </row>
    <row r="38" customFormat="false" ht="15" hidden="false" customHeight="false" outlineLevel="0" collapsed="false">
      <c r="A38" s="18" t="n">
        <v>96580456</v>
      </c>
      <c r="B38" s="10" t="n">
        <v>552</v>
      </c>
      <c r="C38" s="18" t="s">
        <v>43</v>
      </c>
      <c r="D38" s="15" t="s">
        <v>1196</v>
      </c>
      <c r="E38" s="9" t="s">
        <v>1197</v>
      </c>
      <c r="F38" s="9" t="s">
        <v>17</v>
      </c>
      <c r="G38" s="10" t="n">
        <v>2021</v>
      </c>
      <c r="H38" s="10" t="n">
        <v>10</v>
      </c>
      <c r="I38" s="19" t="n">
        <v>16200</v>
      </c>
      <c r="J38" s="19" t="n">
        <v>18000</v>
      </c>
      <c r="K38" s="10" t="n">
        <v>900</v>
      </c>
      <c r="L38" s="10" t="n">
        <v>822</v>
      </c>
      <c r="M38" s="10" t="n">
        <v>45</v>
      </c>
      <c r="N38" s="11" t="n">
        <v>9.9</v>
      </c>
      <c r="O38" s="18" t="s">
        <v>46</v>
      </c>
    </row>
    <row r="39" customFormat="false" ht="15" hidden="false" customHeight="false" outlineLevel="0" collapsed="false">
      <c r="A39" s="18" t="n">
        <v>58551591</v>
      </c>
      <c r="B39" s="10" t="n">
        <v>569</v>
      </c>
      <c r="C39" s="18" t="s">
        <v>43</v>
      </c>
      <c r="D39" s="9" t="s">
        <v>1227</v>
      </c>
      <c r="E39" s="9" t="s">
        <v>1228</v>
      </c>
      <c r="F39" s="9" t="s">
        <v>17</v>
      </c>
      <c r="G39" s="10" t="n">
        <v>2018</v>
      </c>
      <c r="H39" s="10" t="n">
        <v>10</v>
      </c>
      <c r="I39" s="19" t="n">
        <v>13500</v>
      </c>
      <c r="J39" s="19" t="n">
        <v>15000</v>
      </c>
      <c r="K39" s="10" t="n">
        <v>750</v>
      </c>
      <c r="L39" s="10" t="n">
        <v>684</v>
      </c>
      <c r="M39" s="10" t="n">
        <v>41</v>
      </c>
      <c r="N39" s="11" t="n">
        <v>8.8</v>
      </c>
      <c r="O39" s="18" t="s">
        <v>56</v>
      </c>
    </row>
    <row r="40" customFormat="false" ht="15" hidden="false" customHeight="false" outlineLevel="0" collapsed="false">
      <c r="A40" s="18" t="n">
        <v>183757381</v>
      </c>
      <c r="B40" s="10" t="n">
        <v>626</v>
      </c>
      <c r="C40" s="18" t="s">
        <v>43</v>
      </c>
      <c r="D40" s="15" t="s">
        <v>1351</v>
      </c>
      <c r="E40" s="9" t="s">
        <v>1352</v>
      </c>
      <c r="F40" s="9" t="s">
        <v>17</v>
      </c>
      <c r="G40" s="10" t="n">
        <v>2026</v>
      </c>
      <c r="H40" s="10" t="n">
        <v>10</v>
      </c>
      <c r="I40" s="19" t="n">
        <v>37800</v>
      </c>
      <c r="J40" s="19" t="n">
        <v>42000</v>
      </c>
      <c r="K40" s="10" t="n">
        <v>2100</v>
      </c>
      <c r="L40" s="10" t="n">
        <v>408</v>
      </c>
      <c r="M40" s="10" t="n">
        <v>14</v>
      </c>
      <c r="N40" s="11" t="n">
        <v>9.4</v>
      </c>
      <c r="O40" s="18" t="s">
        <v>56</v>
      </c>
    </row>
    <row r="41" customFormat="false" ht="15" hidden="false" customHeight="false" outlineLevel="0" collapsed="false">
      <c r="A41" s="18" t="n">
        <v>176919464</v>
      </c>
      <c r="B41" s="10" t="n">
        <v>680</v>
      </c>
      <c r="C41" s="18" t="s">
        <v>43</v>
      </c>
      <c r="D41" s="9" t="s">
        <v>1460</v>
      </c>
      <c r="E41" s="9" t="s">
        <v>1461</v>
      </c>
      <c r="F41" s="9" t="s">
        <v>17</v>
      </c>
      <c r="G41" s="10" t="n">
        <v>2026</v>
      </c>
      <c r="H41" s="10" t="n">
        <v>10</v>
      </c>
      <c r="I41" s="19" t="n">
        <v>25200</v>
      </c>
      <c r="J41" s="19" t="n">
        <v>28000</v>
      </c>
      <c r="K41" s="10" t="n">
        <v>1400</v>
      </c>
      <c r="L41" s="10" t="n">
        <v>2838</v>
      </c>
      <c r="M41" s="10" t="n">
        <v>27</v>
      </c>
      <c r="N41" s="11" t="n">
        <v>10</v>
      </c>
      <c r="O41" s="18" t="s">
        <v>46</v>
      </c>
    </row>
    <row r="42" customFormat="false" ht="15" hidden="false" customHeight="false" outlineLevel="0" collapsed="false">
      <c r="A42" s="18" t="n">
        <v>160153189</v>
      </c>
      <c r="B42" s="10" t="n">
        <v>745</v>
      </c>
      <c r="C42" s="18" t="s">
        <v>43</v>
      </c>
      <c r="D42" s="9" t="s">
        <v>1589</v>
      </c>
      <c r="E42" s="9" t="s">
        <v>1590</v>
      </c>
      <c r="F42" s="9" t="s">
        <v>17</v>
      </c>
      <c r="G42" s="10" t="n">
        <v>2025</v>
      </c>
      <c r="H42" s="10" t="n">
        <v>10</v>
      </c>
      <c r="I42" s="19" t="n">
        <v>16200</v>
      </c>
      <c r="J42" s="19" t="n">
        <v>18000</v>
      </c>
      <c r="K42" s="10" t="n">
        <v>900</v>
      </c>
      <c r="L42" s="10" t="n">
        <v>864</v>
      </c>
      <c r="M42" s="10" t="n">
        <v>19</v>
      </c>
      <c r="N42" s="11" t="n">
        <v>9.9</v>
      </c>
      <c r="O42" s="18" t="s">
        <v>56</v>
      </c>
    </row>
    <row r="43" customFormat="false" ht="15" hidden="false" customHeight="false" outlineLevel="0" collapsed="false">
      <c r="A43" s="18" t="n">
        <v>154286556</v>
      </c>
      <c r="B43" s="10" t="n">
        <v>761</v>
      </c>
      <c r="C43" s="18" t="s">
        <v>43</v>
      </c>
      <c r="D43" s="15" t="s">
        <v>1622</v>
      </c>
      <c r="E43" s="9" t="s">
        <v>1041</v>
      </c>
      <c r="F43" s="9" t="s">
        <v>17</v>
      </c>
      <c r="G43" s="10" t="n">
        <v>2025</v>
      </c>
      <c r="H43" s="10" t="n">
        <v>10</v>
      </c>
      <c r="I43" s="19" t="n">
        <v>20700</v>
      </c>
      <c r="J43" s="19" t="n">
        <v>23000</v>
      </c>
      <c r="K43" s="10" t="n">
        <v>1150</v>
      </c>
      <c r="L43" s="10" t="n">
        <v>4440</v>
      </c>
      <c r="M43" s="10" t="n">
        <v>20</v>
      </c>
      <c r="N43" s="11" t="n">
        <v>9.9</v>
      </c>
      <c r="O43" s="18" t="s">
        <v>56</v>
      </c>
    </row>
    <row r="44" customFormat="false" ht="15" hidden="false" customHeight="false" outlineLevel="0" collapsed="false">
      <c r="A44" s="18" t="n">
        <v>150240159</v>
      </c>
      <c r="B44" s="10" t="n">
        <v>803</v>
      </c>
      <c r="C44" s="18" t="s">
        <v>43</v>
      </c>
      <c r="D44" s="15" t="s">
        <v>1705</v>
      </c>
      <c r="E44" s="9" t="s">
        <v>1706</v>
      </c>
      <c r="F44" s="9" t="s">
        <v>17</v>
      </c>
      <c r="G44" s="10" t="n">
        <v>2025</v>
      </c>
      <c r="H44" s="10" t="n">
        <v>10</v>
      </c>
      <c r="I44" s="19" t="n">
        <v>35100</v>
      </c>
      <c r="J44" s="19" t="n">
        <v>39000</v>
      </c>
      <c r="K44" s="10" t="n">
        <v>1950</v>
      </c>
      <c r="L44" s="10" t="n">
        <v>1476</v>
      </c>
      <c r="M44" s="10" t="n">
        <v>6</v>
      </c>
      <c r="N44" s="11" t="n">
        <v>10</v>
      </c>
      <c r="O44" s="18" t="s">
        <v>56</v>
      </c>
    </row>
    <row r="45" customFormat="false" ht="15" hidden="false" customHeight="false" outlineLevel="0" collapsed="false">
      <c r="A45" s="18" t="n">
        <v>147098142</v>
      </c>
      <c r="B45" s="10" t="n">
        <v>845</v>
      </c>
      <c r="C45" s="18" t="s">
        <v>43</v>
      </c>
      <c r="D45" s="9" t="s">
        <v>1785</v>
      </c>
      <c r="E45" s="9" t="s">
        <v>1786</v>
      </c>
      <c r="F45" s="9" t="s">
        <v>17</v>
      </c>
      <c r="G45" s="10" t="n">
        <v>2025</v>
      </c>
      <c r="H45" s="10" t="n">
        <v>10</v>
      </c>
      <c r="I45" s="19" t="n">
        <v>15120</v>
      </c>
      <c r="J45" s="19" t="n">
        <v>16800</v>
      </c>
      <c r="K45" s="10" t="n">
        <v>840</v>
      </c>
      <c r="L45" s="10" t="n">
        <v>609</v>
      </c>
      <c r="M45" s="10" t="n">
        <v>31</v>
      </c>
      <c r="N45" s="11" t="n">
        <v>9.7</v>
      </c>
      <c r="O45" s="18" t="s">
        <v>56</v>
      </c>
    </row>
    <row r="46" customFormat="false" ht="15" hidden="false" customHeight="false" outlineLevel="0" collapsed="false">
      <c r="A46" s="18" t="n">
        <v>144253147</v>
      </c>
      <c r="B46" s="10" t="n">
        <v>883</v>
      </c>
      <c r="C46" s="18" t="s">
        <v>43</v>
      </c>
      <c r="D46" s="9" t="s">
        <v>1861</v>
      </c>
      <c r="E46" s="9" t="s">
        <v>1862</v>
      </c>
      <c r="F46" s="9" t="s">
        <v>17</v>
      </c>
      <c r="G46" s="10" t="n">
        <v>2025</v>
      </c>
      <c r="H46" s="10" t="n">
        <v>10</v>
      </c>
      <c r="I46" s="19" t="n">
        <v>18900</v>
      </c>
      <c r="J46" s="19" t="n">
        <v>21000</v>
      </c>
      <c r="K46" s="10" t="n">
        <v>1050</v>
      </c>
      <c r="L46" s="10" t="n">
        <v>4332</v>
      </c>
      <c r="M46" s="10" t="n">
        <v>18</v>
      </c>
      <c r="N46" s="11" t="n">
        <v>10</v>
      </c>
      <c r="O46" s="18" t="s">
        <v>56</v>
      </c>
    </row>
    <row r="47" customFormat="false" ht="15" hidden="false" customHeight="false" outlineLevel="0" collapsed="false">
      <c r="A47" s="18" t="n">
        <v>141262171</v>
      </c>
      <c r="B47" s="10" t="n">
        <v>925</v>
      </c>
      <c r="C47" s="18" t="s">
        <v>43</v>
      </c>
      <c r="D47" s="9" t="s">
        <v>1947</v>
      </c>
      <c r="E47" s="9" t="s">
        <v>1948</v>
      </c>
      <c r="F47" s="9" t="s">
        <v>17</v>
      </c>
      <c r="G47" s="10" t="n">
        <v>2025</v>
      </c>
      <c r="H47" s="10" t="n">
        <v>10</v>
      </c>
      <c r="I47" s="19" t="n">
        <v>17100</v>
      </c>
      <c r="J47" s="19" t="n">
        <v>19000</v>
      </c>
      <c r="K47" s="10" t="n">
        <v>950</v>
      </c>
      <c r="L47" s="10" t="n">
        <v>2154</v>
      </c>
      <c r="M47" s="10" t="n">
        <v>7</v>
      </c>
      <c r="N47" s="11" t="n">
        <v>10</v>
      </c>
      <c r="O47" s="18" t="s">
        <v>46</v>
      </c>
    </row>
    <row r="48" customFormat="false" ht="15" hidden="false" customHeight="false" outlineLevel="0" collapsed="false">
      <c r="A48" s="18" t="n">
        <v>140407763</v>
      </c>
      <c r="B48" s="10" t="n">
        <v>930</v>
      </c>
      <c r="C48" s="18" t="s">
        <v>43</v>
      </c>
      <c r="D48" s="9" t="s">
        <v>1956</v>
      </c>
      <c r="E48" s="9" t="s">
        <v>1957</v>
      </c>
      <c r="F48" s="9" t="s">
        <v>17</v>
      </c>
      <c r="G48" s="10" t="n">
        <v>2025</v>
      </c>
      <c r="H48" s="10" t="n">
        <v>10</v>
      </c>
      <c r="I48" s="19" t="n">
        <v>18000</v>
      </c>
      <c r="J48" s="19" t="n">
        <v>20000</v>
      </c>
      <c r="K48" s="10" t="n">
        <v>1000</v>
      </c>
      <c r="L48" s="10" t="n">
        <v>1641</v>
      </c>
      <c r="M48" s="10" t="n">
        <v>10</v>
      </c>
      <c r="N48" s="11" t="n">
        <v>10</v>
      </c>
      <c r="O48" s="18" t="s">
        <v>56</v>
      </c>
    </row>
    <row r="49" customFormat="false" ht="15" hidden="false" customHeight="false" outlineLevel="0" collapsed="false">
      <c r="A49" s="18" t="n">
        <v>140396422</v>
      </c>
      <c r="B49" s="10" t="n">
        <v>931</v>
      </c>
      <c r="C49" s="18" t="s">
        <v>43</v>
      </c>
      <c r="D49" s="15" t="s">
        <v>1958</v>
      </c>
      <c r="E49" s="9" t="s">
        <v>1959</v>
      </c>
      <c r="F49" s="9" t="s">
        <v>17</v>
      </c>
      <c r="G49" s="10" t="n">
        <v>2025</v>
      </c>
      <c r="H49" s="10" t="n">
        <v>10</v>
      </c>
      <c r="I49" s="19" t="n">
        <v>26100</v>
      </c>
      <c r="J49" s="19" t="n">
        <v>29000</v>
      </c>
      <c r="K49" s="10" t="n">
        <v>1450</v>
      </c>
      <c r="L49" s="10" t="n">
        <v>2076</v>
      </c>
      <c r="M49" s="10" t="n">
        <v>21</v>
      </c>
      <c r="N49" s="11" t="n">
        <v>10</v>
      </c>
      <c r="O49" s="18" t="s">
        <v>56</v>
      </c>
    </row>
    <row r="50" customFormat="false" ht="15" hidden="false" customHeight="false" outlineLevel="0" collapsed="false">
      <c r="A50" s="18" t="n">
        <v>139913428</v>
      </c>
      <c r="B50" s="10" t="n">
        <v>936</v>
      </c>
      <c r="C50" s="18" t="s">
        <v>43</v>
      </c>
      <c r="D50" s="15" t="s">
        <v>1970</v>
      </c>
      <c r="E50" s="9" t="s">
        <v>1971</v>
      </c>
      <c r="F50" s="9" t="s">
        <v>17</v>
      </c>
      <c r="G50" s="10" t="n">
        <v>2024</v>
      </c>
      <c r="H50" s="10" t="n">
        <v>10</v>
      </c>
      <c r="I50" s="19" t="n">
        <v>22500</v>
      </c>
      <c r="J50" s="19" t="n">
        <v>25000</v>
      </c>
      <c r="K50" s="10" t="n">
        <v>1250</v>
      </c>
      <c r="L50" s="10" t="n">
        <v>288</v>
      </c>
      <c r="M50" s="10" t="n">
        <v>15</v>
      </c>
      <c r="N50" s="11" t="n">
        <v>10</v>
      </c>
      <c r="O50" s="18" t="s">
        <v>56</v>
      </c>
    </row>
    <row r="51" customFormat="false" ht="15" hidden="false" customHeight="false" outlineLevel="0" collapsed="false">
      <c r="A51" s="18" t="n">
        <v>136374348</v>
      </c>
      <c r="B51" s="10" t="n">
        <v>948</v>
      </c>
      <c r="C51" s="18" t="s">
        <v>43</v>
      </c>
      <c r="D51" s="9" t="s">
        <v>1994</v>
      </c>
      <c r="E51" s="9" t="s">
        <v>1995</v>
      </c>
      <c r="F51" s="9" t="s">
        <v>17</v>
      </c>
      <c r="G51" s="10" t="n">
        <v>2024</v>
      </c>
      <c r="H51" s="10" t="n">
        <v>10</v>
      </c>
      <c r="I51" s="19" t="n">
        <v>16200</v>
      </c>
      <c r="J51" s="19" t="n">
        <v>18000</v>
      </c>
      <c r="K51" s="10" t="n">
        <v>900</v>
      </c>
      <c r="L51" s="10" t="n">
        <v>1134</v>
      </c>
      <c r="M51" s="10" t="n">
        <v>9</v>
      </c>
      <c r="N51" s="11" t="n">
        <v>10</v>
      </c>
      <c r="O51" s="18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10.02"/>
    <col collapsed="false" customWidth="true" hidden="false" outlineLevel="0" max="2" min="2" style="0" width="9.18"/>
    <col collapsed="false" customWidth="true" hidden="false" outlineLevel="0" max="3" min="3" style="0" width="10.85"/>
    <col collapsed="false" customWidth="true" hidden="false" outlineLevel="0" max="4" min="4" style="0" width="47.57"/>
    <col collapsed="false" customWidth="true" hidden="false" outlineLevel="0" max="5" min="5" style="0" width="59.25"/>
    <col collapsed="false" customWidth="true" hidden="false" outlineLevel="0" max="6" min="6" style="0" width="10.02"/>
    <col collapsed="false" customWidth="true" hidden="false" outlineLevel="0" max="7" min="7" style="0" width="12.52"/>
    <col collapsed="false" customWidth="true" hidden="false" outlineLevel="0" max="8" min="8" style="0" width="13.35"/>
    <col collapsed="false" customWidth="true" hidden="false" outlineLevel="0" max="9" min="9" style="0" width="10.85"/>
    <col collapsed="false" customWidth="true" hidden="false" outlineLevel="0" max="10" min="10" style="0" width="14.19"/>
    <col collapsed="false" customWidth="true" hidden="false" outlineLevel="0" max="11" min="11" style="0" width="9.18"/>
    <col collapsed="false" customWidth="true" hidden="false" outlineLevel="0" max="12" min="12" style="0" width="10.85"/>
    <col collapsed="false" customWidth="true" hidden="false" outlineLevel="0" max="13" min="13" style="0" width="12.52"/>
    <col collapsed="false" customWidth="true" hidden="false" outlineLevel="0" max="14" min="14" style="0" width="9.18"/>
    <col collapsed="false" customWidth="true" hidden="false" outlineLevel="0" max="15" min="15" style="0" width="14.19"/>
  </cols>
  <sheetData>
    <row r="1" customFormat="false" ht="15" hidden="false" customHeight="false" outlineLevel="0" collapsed="false">
      <c r="A1" s="17" t="s">
        <v>28</v>
      </c>
      <c r="B1" s="17" t="s">
        <v>29</v>
      </c>
      <c r="C1" s="17" t="s">
        <v>30</v>
      </c>
      <c r="D1" s="17" t="s">
        <v>31</v>
      </c>
      <c r="E1" s="17" t="s">
        <v>32</v>
      </c>
      <c r="F1" s="17" t="s">
        <v>33</v>
      </c>
      <c r="G1" s="17" t="s">
        <v>34</v>
      </c>
      <c r="H1" s="17" t="s">
        <v>35</v>
      </c>
      <c r="I1" s="17" t="s">
        <v>36</v>
      </c>
      <c r="J1" s="17" t="s">
        <v>37</v>
      </c>
      <c r="K1" s="17" t="s">
        <v>38</v>
      </c>
      <c r="L1" s="17" t="s">
        <v>39</v>
      </c>
      <c r="M1" s="17" t="s">
        <v>40</v>
      </c>
      <c r="N1" s="17" t="s">
        <v>41</v>
      </c>
      <c r="O1" s="17" t="s">
        <v>42</v>
      </c>
    </row>
    <row r="2" customFormat="false" ht="15" hidden="false" customHeight="false" outlineLevel="0" collapsed="false">
      <c r="A2" s="18" t="n">
        <v>176901674</v>
      </c>
      <c r="B2" s="10" t="n">
        <v>2</v>
      </c>
      <c r="C2" s="18" t="s">
        <v>43</v>
      </c>
      <c r="D2" s="9" t="s">
        <v>47</v>
      </c>
      <c r="E2" s="9" t="s">
        <v>48</v>
      </c>
      <c r="F2" s="9" t="s">
        <v>19</v>
      </c>
      <c r="G2" s="10" t="n">
        <v>2026</v>
      </c>
      <c r="H2" s="10" t="n">
        <v>10</v>
      </c>
      <c r="I2" s="19" t="n">
        <v>21600</v>
      </c>
      <c r="J2" s="19" t="n">
        <v>24000</v>
      </c>
      <c r="K2" s="10" t="n">
        <v>1200</v>
      </c>
      <c r="L2" s="10" t="n">
        <v>78003</v>
      </c>
      <c r="M2" s="10" t="n">
        <v>159</v>
      </c>
      <c r="N2" s="11" t="n">
        <v>9.8</v>
      </c>
      <c r="O2" s="18" t="s">
        <v>46</v>
      </c>
    </row>
    <row r="3" customFormat="false" ht="15" hidden="false" customHeight="false" outlineLevel="0" collapsed="false">
      <c r="A3" s="18" t="n">
        <v>189114943</v>
      </c>
      <c r="B3" s="10" t="n">
        <v>5</v>
      </c>
      <c r="C3" s="18" t="s">
        <v>43</v>
      </c>
      <c r="D3" s="9" t="s">
        <v>54</v>
      </c>
      <c r="E3" s="9" t="s">
        <v>55</v>
      </c>
      <c r="F3" s="9" t="s">
        <v>19</v>
      </c>
      <c r="G3" s="10" t="n">
        <v>2026</v>
      </c>
      <c r="H3" s="10" t="n">
        <v>10</v>
      </c>
      <c r="I3" s="19" t="n">
        <v>25200</v>
      </c>
      <c r="J3" s="19" t="n">
        <v>28000</v>
      </c>
      <c r="K3" s="10" t="n">
        <v>1400</v>
      </c>
      <c r="L3" s="10" t="n">
        <v>18120</v>
      </c>
      <c r="M3" s="10" t="n">
        <v>1</v>
      </c>
      <c r="N3" s="11" t="n">
        <v>10</v>
      </c>
      <c r="O3" s="18" t="s">
        <v>56</v>
      </c>
    </row>
    <row r="4" customFormat="false" ht="15" hidden="false" customHeight="false" outlineLevel="0" collapsed="false">
      <c r="A4" s="18" t="n">
        <v>189114942</v>
      </c>
      <c r="B4" s="10" t="n">
        <v>10</v>
      </c>
      <c r="C4" s="18" t="s">
        <v>43</v>
      </c>
      <c r="D4" s="9" t="s">
        <v>68</v>
      </c>
      <c r="E4" s="9" t="s">
        <v>69</v>
      </c>
      <c r="F4" s="9" t="s">
        <v>19</v>
      </c>
      <c r="G4" s="10" t="n">
        <v>2026</v>
      </c>
      <c r="H4" s="10" t="n">
        <v>10</v>
      </c>
      <c r="I4" s="19" t="n">
        <v>21600</v>
      </c>
      <c r="J4" s="19" t="n">
        <v>24000</v>
      </c>
      <c r="K4" s="10" t="n">
        <v>1200</v>
      </c>
      <c r="L4" s="10" t="n">
        <v>5832</v>
      </c>
      <c r="M4" s="10" t="n">
        <v>0</v>
      </c>
      <c r="N4" s="11" t="n">
        <v>0</v>
      </c>
      <c r="O4" s="18" t="s">
        <v>46</v>
      </c>
    </row>
    <row r="5" customFormat="false" ht="15" hidden="false" customHeight="false" outlineLevel="0" collapsed="false">
      <c r="A5" s="18" t="n">
        <v>185166276</v>
      </c>
      <c r="B5" s="10" t="n">
        <v>16</v>
      </c>
      <c r="C5" s="18" t="s">
        <v>43</v>
      </c>
      <c r="D5" s="9" t="s">
        <v>82</v>
      </c>
      <c r="E5" s="9" t="s">
        <v>83</v>
      </c>
      <c r="F5" s="9" t="s">
        <v>19</v>
      </c>
      <c r="G5" s="10" t="n">
        <v>2026</v>
      </c>
      <c r="H5" s="10" t="n">
        <v>10</v>
      </c>
      <c r="I5" s="19" t="n">
        <v>21600</v>
      </c>
      <c r="J5" s="19" t="n">
        <v>24000</v>
      </c>
      <c r="K5" s="10" t="n">
        <v>1200</v>
      </c>
      <c r="L5" s="10" t="n">
        <v>14079</v>
      </c>
      <c r="M5" s="10" t="n">
        <v>9</v>
      </c>
      <c r="N5" s="11" t="n">
        <v>9.8</v>
      </c>
      <c r="O5" s="18" t="s">
        <v>46</v>
      </c>
    </row>
    <row r="6" customFormat="false" ht="15" hidden="false" customHeight="false" outlineLevel="0" collapsed="false">
      <c r="A6" s="18" t="n">
        <v>140835200</v>
      </c>
      <c r="B6" s="10" t="n">
        <v>41</v>
      </c>
      <c r="C6" s="18" t="s">
        <v>43</v>
      </c>
      <c r="D6" s="9" t="s">
        <v>142</v>
      </c>
      <c r="E6" s="9" t="s">
        <v>48</v>
      </c>
      <c r="F6" s="9" t="s">
        <v>19</v>
      </c>
      <c r="G6" s="10" t="n">
        <v>2025</v>
      </c>
      <c r="H6" s="10" t="n">
        <v>10</v>
      </c>
      <c r="I6" s="19" t="n">
        <v>21600</v>
      </c>
      <c r="J6" s="19" t="n">
        <v>24000</v>
      </c>
      <c r="K6" s="10" t="n">
        <v>1200</v>
      </c>
      <c r="L6" s="10" t="n">
        <v>30015</v>
      </c>
      <c r="M6" s="10" t="n">
        <v>259</v>
      </c>
      <c r="N6" s="11" t="n">
        <v>9.6</v>
      </c>
      <c r="O6" s="18" t="s">
        <v>46</v>
      </c>
    </row>
    <row r="7" customFormat="false" ht="15" hidden="false" customHeight="false" outlineLevel="0" collapsed="false">
      <c r="A7" s="18" t="n">
        <v>187491806</v>
      </c>
      <c r="B7" s="10" t="n">
        <v>47</v>
      </c>
      <c r="C7" s="18" t="s">
        <v>43</v>
      </c>
      <c r="D7" s="9" t="s">
        <v>154</v>
      </c>
      <c r="E7" s="9" t="s">
        <v>155</v>
      </c>
      <c r="F7" s="9" t="s">
        <v>19</v>
      </c>
      <c r="G7" s="10" t="n">
        <v>2026</v>
      </c>
      <c r="H7" s="10" t="n">
        <v>10</v>
      </c>
      <c r="I7" s="19" t="n">
        <v>21600</v>
      </c>
      <c r="J7" s="19" t="n">
        <v>24000</v>
      </c>
      <c r="K7" s="10" t="n">
        <v>1200</v>
      </c>
      <c r="L7" s="10" t="n">
        <v>4821</v>
      </c>
      <c r="M7" s="10" t="n">
        <v>15</v>
      </c>
      <c r="N7" s="11" t="n">
        <v>10</v>
      </c>
      <c r="O7" s="18" t="s">
        <v>56</v>
      </c>
    </row>
    <row r="8" customFormat="false" ht="15" hidden="false" customHeight="false" outlineLevel="0" collapsed="false">
      <c r="A8" s="18" t="n">
        <v>187024885</v>
      </c>
      <c r="B8" s="10" t="n">
        <v>50</v>
      </c>
      <c r="C8" s="18" t="s">
        <v>43</v>
      </c>
      <c r="D8" s="9" t="s">
        <v>162</v>
      </c>
      <c r="E8" s="9" t="s">
        <v>163</v>
      </c>
      <c r="F8" s="9" t="s">
        <v>19</v>
      </c>
      <c r="G8" s="10" t="n">
        <v>2026</v>
      </c>
      <c r="H8" s="10" t="n">
        <v>10</v>
      </c>
      <c r="I8" s="19" t="n">
        <v>23400</v>
      </c>
      <c r="J8" s="19" t="n">
        <v>26000</v>
      </c>
      <c r="K8" s="10" t="n">
        <v>1300</v>
      </c>
      <c r="L8" s="10" t="n">
        <v>4764</v>
      </c>
      <c r="M8" s="10" t="n">
        <v>14</v>
      </c>
      <c r="N8" s="11" t="n">
        <v>9.9</v>
      </c>
      <c r="O8" s="18" t="s">
        <v>46</v>
      </c>
    </row>
    <row r="9" customFormat="false" ht="15" hidden="false" customHeight="false" outlineLevel="0" collapsed="false">
      <c r="A9" s="18" t="n">
        <v>169665962</v>
      </c>
      <c r="B9" s="10" t="n">
        <v>51</v>
      </c>
      <c r="C9" s="18" t="s">
        <v>43</v>
      </c>
      <c r="D9" s="9" t="s">
        <v>164</v>
      </c>
      <c r="E9" s="9" t="s">
        <v>165</v>
      </c>
      <c r="F9" s="9" t="s">
        <v>19</v>
      </c>
      <c r="G9" s="10" t="n">
        <v>2026</v>
      </c>
      <c r="H9" s="10" t="n">
        <v>10</v>
      </c>
      <c r="I9" s="19" t="n">
        <v>23400</v>
      </c>
      <c r="J9" s="19" t="n">
        <v>26000</v>
      </c>
      <c r="K9" s="10" t="n">
        <v>1300</v>
      </c>
      <c r="L9" s="10" t="n">
        <v>7860</v>
      </c>
      <c r="M9" s="10" t="n">
        <v>10</v>
      </c>
      <c r="N9" s="11" t="n">
        <v>10</v>
      </c>
      <c r="O9" s="18" t="s">
        <v>56</v>
      </c>
    </row>
    <row r="10" customFormat="false" ht="15" hidden="false" customHeight="false" outlineLevel="0" collapsed="false">
      <c r="A10" s="18" t="n">
        <v>188600611</v>
      </c>
      <c r="B10" s="10" t="n">
        <v>52</v>
      </c>
      <c r="C10" s="18" t="s">
        <v>43</v>
      </c>
      <c r="D10" s="9" t="s">
        <v>166</v>
      </c>
      <c r="E10" s="9" t="s">
        <v>167</v>
      </c>
      <c r="F10" s="9" t="s">
        <v>19</v>
      </c>
      <c r="G10" s="10" t="n">
        <v>2026</v>
      </c>
      <c r="H10" s="10" t="n">
        <v>10</v>
      </c>
      <c r="I10" s="19" t="n">
        <v>21600</v>
      </c>
      <c r="J10" s="19" t="n">
        <v>24000</v>
      </c>
      <c r="K10" s="10" t="n">
        <v>1200</v>
      </c>
      <c r="L10" s="10" t="n">
        <v>3060</v>
      </c>
      <c r="M10" s="10" t="n">
        <v>96</v>
      </c>
      <c r="N10" s="11" t="n">
        <v>10</v>
      </c>
      <c r="O10" s="18" t="s">
        <v>56</v>
      </c>
    </row>
    <row r="11" customFormat="false" ht="15" hidden="false" customHeight="false" outlineLevel="0" collapsed="false">
      <c r="A11" s="18" t="n">
        <v>175110068</v>
      </c>
      <c r="B11" s="10" t="n">
        <v>54</v>
      </c>
      <c r="C11" s="18" t="s">
        <v>43</v>
      </c>
      <c r="D11" s="9" t="s">
        <v>170</v>
      </c>
      <c r="E11" s="9" t="s">
        <v>171</v>
      </c>
      <c r="F11" s="9" t="s">
        <v>19</v>
      </c>
      <c r="G11" s="10" t="n">
        <v>2026</v>
      </c>
      <c r="H11" s="10" t="n">
        <v>10</v>
      </c>
      <c r="I11" s="19" t="n">
        <v>25200</v>
      </c>
      <c r="J11" s="19" t="n">
        <v>28000</v>
      </c>
      <c r="K11" s="10" t="n">
        <v>1400</v>
      </c>
      <c r="L11" s="10" t="n">
        <v>5091</v>
      </c>
      <c r="M11" s="10" t="n">
        <v>35</v>
      </c>
      <c r="N11" s="11" t="n">
        <v>9.9</v>
      </c>
      <c r="O11" s="18" t="s">
        <v>56</v>
      </c>
    </row>
    <row r="12" customFormat="false" ht="15" hidden="false" customHeight="false" outlineLevel="0" collapsed="false">
      <c r="A12" s="18" t="n">
        <v>185824258</v>
      </c>
      <c r="B12" s="10" t="n">
        <v>57</v>
      </c>
      <c r="C12" s="18" t="s">
        <v>43</v>
      </c>
      <c r="D12" s="9" t="s">
        <v>176</v>
      </c>
      <c r="E12" s="9" t="s">
        <v>177</v>
      </c>
      <c r="F12" s="9" t="s">
        <v>19</v>
      </c>
      <c r="G12" s="10" t="n">
        <v>2026</v>
      </c>
      <c r="H12" s="10" t="n">
        <v>10</v>
      </c>
      <c r="I12" s="19" t="n">
        <v>23220</v>
      </c>
      <c r="J12" s="19" t="n">
        <v>25800</v>
      </c>
      <c r="K12" s="10" t="n">
        <v>1290</v>
      </c>
      <c r="L12" s="10" t="n">
        <v>3090</v>
      </c>
      <c r="M12" s="10" t="n">
        <v>14</v>
      </c>
      <c r="N12" s="11" t="n">
        <v>9.9</v>
      </c>
      <c r="O12" s="18" t="s">
        <v>56</v>
      </c>
    </row>
    <row r="13" customFormat="false" ht="15" hidden="false" customHeight="false" outlineLevel="0" collapsed="false">
      <c r="A13" s="18" t="n">
        <v>190806231</v>
      </c>
      <c r="B13" s="10" t="n">
        <v>58</v>
      </c>
      <c r="C13" s="18" t="s">
        <v>43</v>
      </c>
      <c r="D13" s="9" t="s">
        <v>178</v>
      </c>
      <c r="E13" s="9" t="s">
        <v>179</v>
      </c>
      <c r="F13" s="9" t="s">
        <v>19</v>
      </c>
      <c r="G13" s="10" t="n">
        <v>2026</v>
      </c>
      <c r="H13" s="10" t="n">
        <v>10</v>
      </c>
      <c r="I13" s="19" t="n">
        <v>27000</v>
      </c>
      <c r="J13" s="19" t="n">
        <v>30000</v>
      </c>
      <c r="K13" s="10" t="n">
        <v>1500</v>
      </c>
      <c r="L13" s="10" t="n">
        <v>840</v>
      </c>
      <c r="M13" s="10" t="n">
        <v>0</v>
      </c>
      <c r="N13" s="11" t="n">
        <v>0</v>
      </c>
      <c r="O13" s="18" t="s">
        <v>56</v>
      </c>
    </row>
    <row r="14" customFormat="false" ht="15" hidden="false" customHeight="false" outlineLevel="0" collapsed="false">
      <c r="A14" s="18" t="n">
        <v>184275427</v>
      </c>
      <c r="B14" s="10" t="n">
        <v>62</v>
      </c>
      <c r="C14" s="18" t="s">
        <v>43</v>
      </c>
      <c r="D14" s="9" t="s">
        <v>187</v>
      </c>
      <c r="E14" s="9" t="s">
        <v>188</v>
      </c>
      <c r="F14" s="9" t="s">
        <v>19</v>
      </c>
      <c r="G14" s="10" t="n">
        <v>2026</v>
      </c>
      <c r="H14" s="10" t="n">
        <v>5</v>
      </c>
      <c r="I14" s="19" t="n">
        <v>23750</v>
      </c>
      <c r="J14" s="19" t="n">
        <v>25000</v>
      </c>
      <c r="K14" s="10" t="n">
        <v>1250</v>
      </c>
      <c r="L14" s="10" t="n">
        <v>5493</v>
      </c>
      <c r="M14" s="10" t="n">
        <v>34</v>
      </c>
      <c r="N14" s="11" t="n">
        <v>9.8</v>
      </c>
      <c r="O14" s="18" t="s">
        <v>46</v>
      </c>
    </row>
    <row r="15" customFormat="false" ht="15" hidden="false" customHeight="false" outlineLevel="0" collapsed="false">
      <c r="A15" s="18" t="n">
        <v>189823964</v>
      </c>
      <c r="B15" s="10" t="n">
        <v>67</v>
      </c>
      <c r="C15" s="18" t="s">
        <v>43</v>
      </c>
      <c r="D15" s="9" t="s">
        <v>198</v>
      </c>
      <c r="E15" s="9" t="s">
        <v>199</v>
      </c>
      <c r="F15" s="9" t="s">
        <v>19</v>
      </c>
      <c r="G15" s="10" t="n">
        <v>2026</v>
      </c>
      <c r="H15" s="10" t="n">
        <v>10</v>
      </c>
      <c r="I15" s="19" t="n">
        <v>21600</v>
      </c>
      <c r="J15" s="19" t="n">
        <v>24000</v>
      </c>
      <c r="K15" s="10" t="n">
        <v>1200</v>
      </c>
      <c r="L15" s="10" t="n">
        <v>1557</v>
      </c>
      <c r="M15" s="10" t="n">
        <v>0</v>
      </c>
      <c r="N15" s="11" t="n">
        <v>0</v>
      </c>
      <c r="O15" s="18" t="s">
        <v>56</v>
      </c>
    </row>
    <row r="16" customFormat="false" ht="15" hidden="false" customHeight="false" outlineLevel="0" collapsed="false">
      <c r="A16" s="18" t="n">
        <v>183530330</v>
      </c>
      <c r="B16" s="10" t="n">
        <v>69</v>
      </c>
      <c r="C16" s="18" t="s">
        <v>43</v>
      </c>
      <c r="D16" s="9" t="s">
        <v>203</v>
      </c>
      <c r="E16" s="9" t="s">
        <v>204</v>
      </c>
      <c r="F16" s="9" t="s">
        <v>19</v>
      </c>
      <c r="G16" s="10" t="n">
        <v>2026</v>
      </c>
      <c r="H16" s="10" t="n">
        <v>10</v>
      </c>
      <c r="I16" s="19" t="n">
        <v>27000</v>
      </c>
      <c r="J16" s="19" t="n">
        <v>30000</v>
      </c>
      <c r="K16" s="10" t="n">
        <v>1500</v>
      </c>
      <c r="L16" s="10" t="n">
        <v>3765</v>
      </c>
      <c r="M16" s="10" t="n">
        <v>10</v>
      </c>
      <c r="N16" s="11" t="n">
        <v>10</v>
      </c>
      <c r="O16" s="18" t="s">
        <v>56</v>
      </c>
    </row>
    <row r="17" customFormat="false" ht="15" hidden="false" customHeight="false" outlineLevel="0" collapsed="false">
      <c r="A17" s="18" t="n">
        <v>174658020</v>
      </c>
      <c r="B17" s="10" t="n">
        <v>80</v>
      </c>
      <c r="C17" s="18" t="s">
        <v>43</v>
      </c>
      <c r="D17" s="9" t="s">
        <v>225</v>
      </c>
      <c r="E17" s="9" t="s">
        <v>226</v>
      </c>
      <c r="F17" s="9" t="s">
        <v>19</v>
      </c>
      <c r="G17" s="10" t="n">
        <v>2026</v>
      </c>
      <c r="H17" s="10" t="n">
        <v>10</v>
      </c>
      <c r="I17" s="19" t="n">
        <v>25200</v>
      </c>
      <c r="J17" s="19" t="n">
        <v>28000</v>
      </c>
      <c r="K17" s="10" t="n">
        <v>1400</v>
      </c>
      <c r="L17" s="10" t="n">
        <v>18756</v>
      </c>
      <c r="M17" s="10" t="n">
        <v>28</v>
      </c>
      <c r="N17" s="11" t="n">
        <v>9.8</v>
      </c>
      <c r="O17" s="18" t="s">
        <v>46</v>
      </c>
    </row>
    <row r="18" customFormat="false" ht="15" hidden="false" customHeight="false" outlineLevel="0" collapsed="false">
      <c r="A18" s="18" t="n">
        <v>190210781</v>
      </c>
      <c r="B18" s="10" t="n">
        <v>83</v>
      </c>
      <c r="C18" s="18" t="s">
        <v>43</v>
      </c>
      <c r="D18" s="9" t="s">
        <v>232</v>
      </c>
      <c r="E18" s="9" t="s">
        <v>233</v>
      </c>
      <c r="F18" s="9" t="s">
        <v>19</v>
      </c>
      <c r="G18" s="10" t="n">
        <v>2026</v>
      </c>
      <c r="H18" s="10" t="n">
        <v>10</v>
      </c>
      <c r="I18" s="19" t="n">
        <v>21600</v>
      </c>
      <c r="J18" s="19" t="n">
        <v>24000</v>
      </c>
      <c r="K18" s="10" t="n">
        <v>1200</v>
      </c>
      <c r="L18" s="10" t="n">
        <v>582</v>
      </c>
      <c r="M18" s="10" t="n">
        <v>0</v>
      </c>
      <c r="N18" s="11" t="n">
        <v>0</v>
      </c>
      <c r="O18" s="18" t="s">
        <v>56</v>
      </c>
    </row>
    <row r="19" customFormat="false" ht="15" hidden="false" customHeight="false" outlineLevel="0" collapsed="false">
      <c r="A19" s="18" t="n">
        <v>190419762</v>
      </c>
      <c r="B19" s="10" t="n">
        <v>93</v>
      </c>
      <c r="C19" s="18" t="s">
        <v>43</v>
      </c>
      <c r="D19" s="9" t="s">
        <v>255</v>
      </c>
      <c r="E19" s="9" t="s">
        <v>256</v>
      </c>
      <c r="F19" s="9" t="s">
        <v>19</v>
      </c>
      <c r="G19" s="10" t="n">
        <v>2026</v>
      </c>
      <c r="H19" s="10" t="n">
        <v>10</v>
      </c>
      <c r="I19" s="19" t="n">
        <v>22500</v>
      </c>
      <c r="J19" s="19" t="n">
        <v>25000</v>
      </c>
      <c r="K19" s="10" t="n">
        <v>1250</v>
      </c>
      <c r="L19" s="10" t="n">
        <v>720</v>
      </c>
      <c r="M19" s="10" t="n">
        <v>12</v>
      </c>
      <c r="N19" s="11" t="n">
        <v>9.8</v>
      </c>
      <c r="O19" s="18" t="s">
        <v>56</v>
      </c>
    </row>
    <row r="20" customFormat="false" ht="15" hidden="false" customHeight="false" outlineLevel="0" collapsed="false">
      <c r="A20" s="18" t="n">
        <v>167428992</v>
      </c>
      <c r="B20" s="10" t="n">
        <v>114</v>
      </c>
      <c r="C20" s="18" t="s">
        <v>43</v>
      </c>
      <c r="D20" s="9" t="s">
        <v>299</v>
      </c>
      <c r="E20" s="9" t="s">
        <v>204</v>
      </c>
      <c r="F20" s="9" t="s">
        <v>19</v>
      </c>
      <c r="G20" s="10" t="n">
        <v>2025</v>
      </c>
      <c r="H20" s="10" t="n">
        <v>10</v>
      </c>
      <c r="I20" s="19" t="n">
        <v>21600</v>
      </c>
      <c r="J20" s="19" t="n">
        <v>24000</v>
      </c>
      <c r="K20" s="10" t="n">
        <v>1200</v>
      </c>
      <c r="L20" s="10" t="n">
        <v>2628</v>
      </c>
      <c r="M20" s="10" t="n">
        <v>4</v>
      </c>
      <c r="N20" s="11" t="n">
        <v>10</v>
      </c>
      <c r="O20" s="18" t="s">
        <v>56</v>
      </c>
    </row>
    <row r="21" customFormat="false" ht="15" hidden="false" customHeight="false" outlineLevel="0" collapsed="false">
      <c r="A21" s="18" t="n">
        <v>153029475</v>
      </c>
      <c r="B21" s="10" t="n">
        <v>134</v>
      </c>
      <c r="C21" s="18" t="s">
        <v>43</v>
      </c>
      <c r="D21" s="9" t="s">
        <v>342</v>
      </c>
      <c r="E21" s="9" t="s">
        <v>204</v>
      </c>
      <c r="F21" s="9" t="s">
        <v>19</v>
      </c>
      <c r="G21" s="10" t="n">
        <v>2025</v>
      </c>
      <c r="H21" s="10" t="n">
        <v>10</v>
      </c>
      <c r="I21" s="19" t="n">
        <v>21600</v>
      </c>
      <c r="J21" s="19" t="n">
        <v>24000</v>
      </c>
      <c r="K21" s="10" t="n">
        <v>1200</v>
      </c>
      <c r="L21" s="10" t="n">
        <v>15042</v>
      </c>
      <c r="M21" s="10" t="n">
        <v>85</v>
      </c>
      <c r="N21" s="11" t="n">
        <v>9.9</v>
      </c>
      <c r="O21" s="18" t="s">
        <v>56</v>
      </c>
    </row>
    <row r="22" customFormat="false" ht="15" hidden="false" customHeight="false" outlineLevel="0" collapsed="false">
      <c r="A22" s="18" t="n">
        <v>151850127</v>
      </c>
      <c r="B22" s="10" t="n">
        <v>136</v>
      </c>
      <c r="C22" s="18" t="s">
        <v>43</v>
      </c>
      <c r="D22" s="9" t="s">
        <v>345</v>
      </c>
      <c r="E22" s="9" t="s">
        <v>226</v>
      </c>
      <c r="F22" s="9" t="s">
        <v>19</v>
      </c>
      <c r="G22" s="10" t="n">
        <v>2025</v>
      </c>
      <c r="H22" s="10" t="n">
        <v>10</v>
      </c>
      <c r="I22" s="19" t="n">
        <v>21600</v>
      </c>
      <c r="J22" s="19" t="n">
        <v>24000</v>
      </c>
      <c r="K22" s="10" t="n">
        <v>1200</v>
      </c>
      <c r="L22" s="10" t="n">
        <v>28539</v>
      </c>
      <c r="M22" s="10" t="n">
        <v>19</v>
      </c>
      <c r="N22" s="11" t="n">
        <v>8.5</v>
      </c>
      <c r="O22" s="18" t="s">
        <v>46</v>
      </c>
    </row>
    <row r="23" customFormat="false" ht="15" hidden="false" customHeight="false" outlineLevel="0" collapsed="false">
      <c r="A23" s="18" t="n">
        <v>180158155</v>
      </c>
      <c r="B23" s="10" t="n">
        <v>155</v>
      </c>
      <c r="C23" s="18" t="s">
        <v>43</v>
      </c>
      <c r="D23" s="9" t="s">
        <v>382</v>
      </c>
      <c r="E23" s="9" t="s">
        <v>383</v>
      </c>
      <c r="F23" s="9" t="s">
        <v>19</v>
      </c>
      <c r="G23" s="10" t="n">
        <v>2026</v>
      </c>
      <c r="H23" s="10" t="n">
        <v>10</v>
      </c>
      <c r="I23" s="19" t="n">
        <v>24120</v>
      </c>
      <c r="J23" s="19" t="n">
        <v>26800</v>
      </c>
      <c r="K23" s="10" t="n">
        <v>1340</v>
      </c>
      <c r="L23" s="10" t="n">
        <v>1422</v>
      </c>
      <c r="M23" s="10" t="n">
        <v>109</v>
      </c>
      <c r="N23" s="11" t="n">
        <v>9.9</v>
      </c>
      <c r="O23" s="18" t="s">
        <v>56</v>
      </c>
    </row>
    <row r="24" customFormat="false" ht="15" hidden="false" customHeight="false" outlineLevel="0" collapsed="false">
      <c r="A24" s="18" t="n">
        <v>129366565</v>
      </c>
      <c r="B24" s="10" t="n">
        <v>168</v>
      </c>
      <c r="C24" s="18" t="s">
        <v>43</v>
      </c>
      <c r="D24" s="15" t="s">
        <v>409</v>
      </c>
      <c r="E24" s="9" t="s">
        <v>410</v>
      </c>
      <c r="F24" s="9" t="s">
        <v>19</v>
      </c>
      <c r="G24" s="10" t="n">
        <v>2024</v>
      </c>
      <c r="H24" s="10" t="n">
        <v>10</v>
      </c>
      <c r="I24" s="19" t="n">
        <v>37800</v>
      </c>
      <c r="J24" s="19" t="n">
        <v>42000</v>
      </c>
      <c r="K24" s="10" t="n">
        <v>2100</v>
      </c>
      <c r="L24" s="10" t="n">
        <v>1320</v>
      </c>
      <c r="M24" s="10" t="n">
        <v>13</v>
      </c>
      <c r="N24" s="11" t="n">
        <v>9.8</v>
      </c>
      <c r="O24" s="18" t="s">
        <v>46</v>
      </c>
    </row>
    <row r="25" customFormat="false" ht="15" hidden="false" customHeight="false" outlineLevel="0" collapsed="false">
      <c r="A25" s="18" t="n">
        <v>181178233</v>
      </c>
      <c r="B25" s="10" t="n">
        <v>176</v>
      </c>
      <c r="C25" s="18" t="s">
        <v>43</v>
      </c>
      <c r="D25" s="15" t="s">
        <v>427</v>
      </c>
      <c r="E25" s="9" t="s">
        <v>428</v>
      </c>
      <c r="F25" s="9" t="s">
        <v>19</v>
      </c>
      <c r="G25" s="10" t="n">
        <v>2026</v>
      </c>
      <c r="H25" s="10" t="n">
        <v>10</v>
      </c>
      <c r="I25" s="19" t="n">
        <v>25200</v>
      </c>
      <c r="J25" s="19" t="n">
        <v>28000</v>
      </c>
      <c r="K25" s="10" t="n">
        <v>1400</v>
      </c>
      <c r="L25" s="10" t="n">
        <v>3390</v>
      </c>
      <c r="M25" s="10" t="n">
        <v>109</v>
      </c>
      <c r="N25" s="11" t="n">
        <v>10</v>
      </c>
      <c r="O25" s="18" t="s">
        <v>56</v>
      </c>
    </row>
    <row r="26" customFormat="false" ht="15" hidden="false" customHeight="false" outlineLevel="0" collapsed="false">
      <c r="A26" s="18" t="n">
        <v>180468863</v>
      </c>
      <c r="B26" s="10" t="n">
        <v>248</v>
      </c>
      <c r="C26" s="18" t="s">
        <v>43</v>
      </c>
      <c r="D26" s="15" t="s">
        <v>581</v>
      </c>
      <c r="E26" s="9" t="s">
        <v>582</v>
      </c>
      <c r="F26" s="9" t="s">
        <v>19</v>
      </c>
      <c r="G26" s="10" t="n">
        <v>2026</v>
      </c>
      <c r="H26" s="10" t="n">
        <v>10</v>
      </c>
      <c r="I26" s="19" t="n">
        <v>32400</v>
      </c>
      <c r="J26" s="19" t="n">
        <v>36000</v>
      </c>
      <c r="K26" s="10" t="n">
        <v>1800</v>
      </c>
      <c r="L26" s="10" t="n">
        <v>2556</v>
      </c>
      <c r="M26" s="10" t="n">
        <v>29</v>
      </c>
      <c r="N26" s="11" t="n">
        <v>10</v>
      </c>
      <c r="O26" s="18" t="s">
        <v>46</v>
      </c>
    </row>
    <row r="27" customFormat="false" ht="15" hidden="false" customHeight="false" outlineLevel="0" collapsed="false">
      <c r="A27" s="18" t="n">
        <v>167384326</v>
      </c>
      <c r="B27" s="10" t="n">
        <v>265</v>
      </c>
      <c r="C27" s="18" t="s">
        <v>43</v>
      </c>
      <c r="D27" s="9" t="s">
        <v>616</v>
      </c>
      <c r="E27" s="9" t="s">
        <v>617</v>
      </c>
      <c r="F27" s="9" t="s">
        <v>19</v>
      </c>
      <c r="G27" s="10" t="n">
        <v>2025</v>
      </c>
      <c r="H27" s="10" t="n">
        <v>10</v>
      </c>
      <c r="I27" s="19" t="n">
        <v>23400</v>
      </c>
      <c r="J27" s="19" t="n">
        <v>26000</v>
      </c>
      <c r="K27" s="10" t="n">
        <v>1300</v>
      </c>
      <c r="L27" s="10" t="n">
        <v>4614</v>
      </c>
      <c r="M27" s="10" t="n">
        <v>80</v>
      </c>
      <c r="N27" s="11" t="n">
        <v>10</v>
      </c>
      <c r="O27" s="18" t="s">
        <v>56</v>
      </c>
    </row>
    <row r="28" customFormat="false" ht="15" hidden="false" customHeight="false" outlineLevel="0" collapsed="false">
      <c r="A28" s="18" t="n">
        <v>154566057</v>
      </c>
      <c r="B28" s="10" t="n">
        <v>275</v>
      </c>
      <c r="C28" s="18" t="s">
        <v>43</v>
      </c>
      <c r="D28" s="9" t="s">
        <v>636</v>
      </c>
      <c r="E28" s="9" t="s">
        <v>637</v>
      </c>
      <c r="F28" s="9" t="s">
        <v>19</v>
      </c>
      <c r="G28" s="10" t="n">
        <v>2025</v>
      </c>
      <c r="H28" s="10" t="n">
        <v>10</v>
      </c>
      <c r="I28" s="19" t="n">
        <v>19800</v>
      </c>
      <c r="J28" s="19" t="n">
        <v>22000</v>
      </c>
      <c r="K28" s="10" t="n">
        <v>1100</v>
      </c>
      <c r="L28" s="10" t="n">
        <v>15258</v>
      </c>
      <c r="M28" s="10" t="n">
        <v>91</v>
      </c>
      <c r="N28" s="11" t="n">
        <v>9.8</v>
      </c>
      <c r="O28" s="18" t="s">
        <v>56</v>
      </c>
    </row>
    <row r="29" customFormat="false" ht="15" hidden="false" customHeight="false" outlineLevel="0" collapsed="false">
      <c r="A29" s="18" t="n">
        <v>150110126</v>
      </c>
      <c r="B29" s="10" t="n">
        <v>282</v>
      </c>
      <c r="C29" s="18" t="s">
        <v>43</v>
      </c>
      <c r="D29" s="9" t="s">
        <v>650</v>
      </c>
      <c r="E29" s="9" t="s">
        <v>651</v>
      </c>
      <c r="F29" s="9" t="s">
        <v>19</v>
      </c>
      <c r="G29" s="10" t="n">
        <v>2025</v>
      </c>
      <c r="H29" s="10" t="n">
        <v>10</v>
      </c>
      <c r="I29" s="19" t="n">
        <v>23400</v>
      </c>
      <c r="J29" s="19" t="n">
        <v>26000</v>
      </c>
      <c r="K29" s="10" t="n">
        <v>1300</v>
      </c>
      <c r="L29" s="10" t="n">
        <v>5340</v>
      </c>
      <c r="M29" s="10" t="n">
        <v>10</v>
      </c>
      <c r="N29" s="11" t="n">
        <v>9.8</v>
      </c>
      <c r="O29" s="18" t="s">
        <v>46</v>
      </c>
    </row>
    <row r="30" customFormat="false" ht="15" hidden="false" customHeight="false" outlineLevel="0" collapsed="false">
      <c r="A30" s="18" t="n">
        <v>124213797</v>
      </c>
      <c r="B30" s="10" t="n">
        <v>308</v>
      </c>
      <c r="C30" s="18" t="s">
        <v>43</v>
      </c>
      <c r="D30" s="9" t="s">
        <v>700</v>
      </c>
      <c r="E30" s="9" t="s">
        <v>701</v>
      </c>
      <c r="F30" s="9" t="s">
        <v>19</v>
      </c>
      <c r="G30" s="10" t="n">
        <v>2024</v>
      </c>
      <c r="H30" s="10" t="n">
        <v>10</v>
      </c>
      <c r="I30" s="19" t="n">
        <v>18000</v>
      </c>
      <c r="J30" s="19" t="n">
        <v>20000</v>
      </c>
      <c r="K30" s="10" t="n">
        <v>1000</v>
      </c>
      <c r="L30" s="10" t="n">
        <v>684</v>
      </c>
      <c r="M30" s="10" t="n">
        <v>6</v>
      </c>
      <c r="N30" s="11" t="n">
        <v>10</v>
      </c>
      <c r="O30" s="18" t="s">
        <v>56</v>
      </c>
    </row>
    <row r="31" customFormat="false" ht="15" hidden="false" customHeight="false" outlineLevel="0" collapsed="false">
      <c r="A31" s="18" t="n">
        <v>176538801</v>
      </c>
      <c r="B31" s="10" t="n">
        <v>386</v>
      </c>
      <c r="C31" s="18" t="s">
        <v>43</v>
      </c>
      <c r="D31" s="9" t="s">
        <v>863</v>
      </c>
      <c r="E31" s="9" t="s">
        <v>864</v>
      </c>
      <c r="F31" s="9" t="s">
        <v>19</v>
      </c>
      <c r="G31" s="10" t="n">
        <v>2026</v>
      </c>
      <c r="H31" s="10" t="n">
        <v>10</v>
      </c>
      <c r="I31" s="19" t="n">
        <v>21600</v>
      </c>
      <c r="J31" s="19" t="n">
        <v>24000</v>
      </c>
      <c r="K31" s="10" t="n">
        <v>1200</v>
      </c>
      <c r="L31" s="10" t="n">
        <v>4008</v>
      </c>
      <c r="M31" s="10" t="n">
        <v>62</v>
      </c>
      <c r="N31" s="11" t="n">
        <v>10</v>
      </c>
      <c r="O31" s="18" t="s">
        <v>56</v>
      </c>
    </row>
    <row r="32" customFormat="false" ht="15" hidden="false" customHeight="false" outlineLevel="0" collapsed="false">
      <c r="A32" s="18" t="n">
        <v>168451090</v>
      </c>
      <c r="B32" s="10" t="n">
        <v>402</v>
      </c>
      <c r="C32" s="18" t="s">
        <v>43</v>
      </c>
      <c r="D32" s="9" t="s">
        <v>897</v>
      </c>
      <c r="E32" s="9" t="s">
        <v>898</v>
      </c>
      <c r="F32" s="9" t="s">
        <v>19</v>
      </c>
      <c r="G32" s="10" t="n">
        <v>2026</v>
      </c>
      <c r="H32" s="10" t="n">
        <v>10</v>
      </c>
      <c r="I32" s="19" t="n">
        <v>25200</v>
      </c>
      <c r="J32" s="19" t="n">
        <v>28000</v>
      </c>
      <c r="K32" s="10" t="n">
        <v>1400</v>
      </c>
      <c r="L32" s="10" t="n">
        <v>1452</v>
      </c>
      <c r="M32" s="10" t="n">
        <v>7</v>
      </c>
      <c r="N32" s="11" t="n">
        <v>9.4</v>
      </c>
      <c r="O32" s="18" t="s">
        <v>56</v>
      </c>
    </row>
    <row r="33" customFormat="false" ht="15" hidden="false" customHeight="false" outlineLevel="0" collapsed="false">
      <c r="A33" s="18" t="n">
        <v>161342252</v>
      </c>
      <c r="B33" s="10" t="n">
        <v>410</v>
      </c>
      <c r="C33" s="18" t="s">
        <v>43</v>
      </c>
      <c r="D33" s="15" t="s">
        <v>912</v>
      </c>
      <c r="E33" s="9" t="s">
        <v>913</v>
      </c>
      <c r="F33" s="9" t="s">
        <v>19</v>
      </c>
      <c r="G33" s="10" t="n">
        <v>2025</v>
      </c>
      <c r="H33" s="10" t="n">
        <v>10</v>
      </c>
      <c r="I33" s="19" t="n">
        <v>21600</v>
      </c>
      <c r="J33" s="19" t="n">
        <v>24000</v>
      </c>
      <c r="K33" s="10" t="n">
        <v>1200</v>
      </c>
      <c r="L33" s="10" t="n">
        <v>3666</v>
      </c>
      <c r="M33" s="10" t="n">
        <v>158</v>
      </c>
      <c r="N33" s="11" t="n">
        <v>10</v>
      </c>
      <c r="O33" s="18" t="s">
        <v>56</v>
      </c>
    </row>
    <row r="34" customFormat="false" ht="15" hidden="false" customHeight="false" outlineLevel="0" collapsed="false">
      <c r="A34" s="18" t="n">
        <v>150701473</v>
      </c>
      <c r="B34" s="10" t="n">
        <v>423</v>
      </c>
      <c r="C34" s="18" t="s">
        <v>43</v>
      </c>
      <c r="D34" s="9" t="s">
        <v>938</v>
      </c>
      <c r="E34" s="9" t="s">
        <v>939</v>
      </c>
      <c r="F34" s="9" t="s">
        <v>19</v>
      </c>
      <c r="G34" s="10" t="n">
        <v>2025</v>
      </c>
      <c r="H34" s="10" t="n">
        <v>10</v>
      </c>
      <c r="I34" s="19" t="n">
        <v>28800</v>
      </c>
      <c r="J34" s="19" t="n">
        <v>32000</v>
      </c>
      <c r="K34" s="10" t="n">
        <v>1600</v>
      </c>
      <c r="L34" s="10" t="n">
        <v>8064</v>
      </c>
      <c r="M34" s="10" t="n">
        <v>0</v>
      </c>
      <c r="N34" s="11" t="n">
        <v>0</v>
      </c>
      <c r="O34" s="18" t="s">
        <v>56</v>
      </c>
    </row>
    <row r="35" customFormat="false" ht="15" hidden="false" customHeight="false" outlineLevel="0" collapsed="false">
      <c r="A35" s="18" t="n">
        <v>143533211</v>
      </c>
      <c r="B35" s="10" t="n">
        <v>448</v>
      </c>
      <c r="C35" s="18" t="s">
        <v>43</v>
      </c>
      <c r="D35" s="9" t="s">
        <v>986</v>
      </c>
      <c r="E35" s="9" t="s">
        <v>987</v>
      </c>
      <c r="F35" s="9" t="s">
        <v>19</v>
      </c>
      <c r="G35" s="10" t="n">
        <v>2025</v>
      </c>
      <c r="H35" s="10" t="n">
        <v>10</v>
      </c>
      <c r="I35" s="19" t="n">
        <v>25200</v>
      </c>
      <c r="J35" s="19" t="n">
        <v>28000</v>
      </c>
      <c r="K35" s="10" t="n">
        <v>1400</v>
      </c>
      <c r="L35" s="10" t="n">
        <v>3885</v>
      </c>
      <c r="M35" s="10" t="n">
        <v>6</v>
      </c>
      <c r="N35" s="11" t="n">
        <v>10</v>
      </c>
      <c r="O35" s="18" t="s">
        <v>56</v>
      </c>
    </row>
    <row r="36" customFormat="false" ht="15" hidden="false" customHeight="false" outlineLevel="0" collapsed="false">
      <c r="A36" s="18" t="n">
        <v>143251916</v>
      </c>
      <c r="B36" s="10" t="n">
        <v>451</v>
      </c>
      <c r="C36" s="18" t="s">
        <v>43</v>
      </c>
      <c r="D36" s="9" t="s">
        <v>993</v>
      </c>
      <c r="E36" s="9" t="s">
        <v>994</v>
      </c>
      <c r="F36" s="9" t="s">
        <v>19</v>
      </c>
      <c r="G36" s="10" t="n">
        <v>2025</v>
      </c>
      <c r="H36" s="10" t="n">
        <v>10</v>
      </c>
      <c r="I36" s="19" t="n">
        <v>19800</v>
      </c>
      <c r="J36" s="19" t="n">
        <v>22000</v>
      </c>
      <c r="K36" s="10" t="n">
        <v>1100</v>
      </c>
      <c r="L36" s="10" t="n">
        <v>888</v>
      </c>
      <c r="M36" s="10" t="n">
        <v>0</v>
      </c>
      <c r="N36" s="11" t="n">
        <v>0</v>
      </c>
      <c r="O36" s="18" t="s">
        <v>56</v>
      </c>
    </row>
    <row r="37" customFormat="false" ht="15" hidden="false" customHeight="false" outlineLevel="0" collapsed="false">
      <c r="A37" s="18" t="n">
        <v>140256885</v>
      </c>
      <c r="B37" s="10" t="n">
        <v>458</v>
      </c>
      <c r="C37" s="18" t="s">
        <v>43</v>
      </c>
      <c r="D37" s="9" t="s">
        <v>1007</v>
      </c>
      <c r="E37" s="9" t="s">
        <v>1008</v>
      </c>
      <c r="F37" s="9" t="s">
        <v>19</v>
      </c>
      <c r="G37" s="10" t="n">
        <v>2025</v>
      </c>
      <c r="H37" s="10" t="n">
        <v>10</v>
      </c>
      <c r="I37" s="19" t="n">
        <v>32400</v>
      </c>
      <c r="J37" s="19" t="n">
        <v>36000</v>
      </c>
      <c r="K37" s="10" t="n">
        <v>1800</v>
      </c>
      <c r="L37" s="10" t="n">
        <v>1140</v>
      </c>
      <c r="M37" s="10" t="n">
        <v>4</v>
      </c>
      <c r="N37" s="11" t="n">
        <v>10</v>
      </c>
      <c r="O37" s="18" t="s">
        <v>56</v>
      </c>
    </row>
    <row r="38" customFormat="false" ht="15" hidden="false" customHeight="false" outlineLevel="0" collapsed="false">
      <c r="A38" s="18" t="n">
        <v>133846138</v>
      </c>
      <c r="B38" s="10" t="n">
        <v>473</v>
      </c>
      <c r="C38" s="18" t="s">
        <v>43</v>
      </c>
      <c r="D38" s="9" t="s">
        <v>1037</v>
      </c>
      <c r="E38" s="9" t="s">
        <v>48</v>
      </c>
      <c r="F38" s="9" t="s">
        <v>19</v>
      </c>
      <c r="G38" s="10" t="n">
        <v>2024</v>
      </c>
      <c r="H38" s="10" t="n">
        <v>10</v>
      </c>
      <c r="I38" s="19" t="n">
        <v>19800</v>
      </c>
      <c r="J38" s="19" t="n">
        <v>22000</v>
      </c>
      <c r="K38" s="10" t="n">
        <v>1100</v>
      </c>
      <c r="L38" s="10" t="n">
        <v>2526</v>
      </c>
      <c r="M38" s="10" t="n">
        <v>149</v>
      </c>
      <c r="N38" s="11" t="n">
        <v>9.6</v>
      </c>
      <c r="O38" s="18" t="s">
        <v>46</v>
      </c>
    </row>
    <row r="39" customFormat="false" ht="15" hidden="false" customHeight="false" outlineLevel="0" collapsed="false">
      <c r="A39" s="18" t="n">
        <v>180953300</v>
      </c>
      <c r="B39" s="10" t="n">
        <v>582</v>
      </c>
      <c r="C39" s="18" t="s">
        <v>43</v>
      </c>
      <c r="D39" s="9" t="s">
        <v>1260</v>
      </c>
      <c r="E39" s="9" t="s">
        <v>1261</v>
      </c>
      <c r="F39" s="9" t="s">
        <v>19</v>
      </c>
      <c r="G39" s="10" t="n">
        <v>2026</v>
      </c>
      <c r="H39" s="10" t="n">
        <v>10</v>
      </c>
      <c r="I39" s="19" t="n">
        <v>21600</v>
      </c>
      <c r="J39" s="19" t="n">
        <v>24000</v>
      </c>
      <c r="K39" s="10" t="n">
        <v>1200</v>
      </c>
      <c r="L39" s="10" t="n">
        <v>2556</v>
      </c>
      <c r="M39" s="10" t="n">
        <v>106</v>
      </c>
      <c r="N39" s="11" t="n">
        <v>9.9</v>
      </c>
      <c r="O39" s="18" t="s">
        <v>56</v>
      </c>
    </row>
    <row r="40" customFormat="false" ht="15" hidden="false" customHeight="false" outlineLevel="0" collapsed="false">
      <c r="A40" s="18" t="n">
        <v>185717805</v>
      </c>
      <c r="B40" s="10" t="n">
        <v>618</v>
      </c>
      <c r="C40" s="18" t="s">
        <v>43</v>
      </c>
      <c r="D40" s="15" t="s">
        <v>1333</v>
      </c>
      <c r="E40" s="9" t="s">
        <v>1334</v>
      </c>
      <c r="F40" s="9" t="s">
        <v>19</v>
      </c>
      <c r="G40" s="10" t="n">
        <v>2026</v>
      </c>
      <c r="H40" s="10" t="n">
        <v>0</v>
      </c>
      <c r="I40" s="19" t="n">
        <v>60000</v>
      </c>
      <c r="J40" s="19" t="n">
        <v>60000</v>
      </c>
      <c r="K40" s="10" t="n">
        <v>0</v>
      </c>
      <c r="L40" s="10" t="n">
        <v>444</v>
      </c>
      <c r="M40" s="10" t="n">
        <v>2</v>
      </c>
      <c r="N40" s="11" t="n">
        <v>10</v>
      </c>
      <c r="O40" s="18" t="s">
        <v>56</v>
      </c>
    </row>
    <row r="41" customFormat="false" ht="15" hidden="false" customHeight="false" outlineLevel="0" collapsed="false">
      <c r="A41" s="18" t="n">
        <v>154152862</v>
      </c>
      <c r="B41" s="10" t="n">
        <v>762</v>
      </c>
      <c r="C41" s="18" t="s">
        <v>43</v>
      </c>
      <c r="D41" s="15" t="s">
        <v>1623</v>
      </c>
      <c r="E41" s="9" t="s">
        <v>1624</v>
      </c>
      <c r="F41" s="9" t="s">
        <v>19</v>
      </c>
      <c r="G41" s="10" t="n">
        <v>2025</v>
      </c>
      <c r="H41" s="10" t="n">
        <v>10</v>
      </c>
      <c r="I41" s="19" t="n">
        <v>36000</v>
      </c>
      <c r="J41" s="19" t="n">
        <v>40000</v>
      </c>
      <c r="K41" s="10" t="n">
        <v>2000</v>
      </c>
      <c r="L41" s="10" t="n">
        <v>1182</v>
      </c>
      <c r="M41" s="10" t="n">
        <v>0</v>
      </c>
      <c r="N41" s="11" t="n">
        <v>0</v>
      </c>
      <c r="O41" s="18" t="s">
        <v>56</v>
      </c>
    </row>
    <row r="42" customFormat="false" ht="15" hidden="false" customHeight="false" outlineLevel="0" collapsed="false">
      <c r="A42" s="18" t="n">
        <v>145993511</v>
      </c>
      <c r="B42" s="10" t="n">
        <v>866</v>
      </c>
      <c r="C42" s="18" t="s">
        <v>43</v>
      </c>
      <c r="D42" s="9" t="s">
        <v>1825</v>
      </c>
      <c r="E42" s="9" t="s">
        <v>1826</v>
      </c>
      <c r="F42" s="9" t="s">
        <v>19</v>
      </c>
      <c r="G42" s="10" t="n">
        <v>2025</v>
      </c>
      <c r="H42" s="10" t="n">
        <v>10</v>
      </c>
      <c r="I42" s="19" t="n">
        <v>21600</v>
      </c>
      <c r="J42" s="19" t="n">
        <v>24000</v>
      </c>
      <c r="K42" s="10" t="n">
        <v>1200</v>
      </c>
      <c r="L42" s="10" t="n">
        <v>1182</v>
      </c>
      <c r="M42" s="10" t="n">
        <v>0</v>
      </c>
      <c r="N42" s="11" t="n">
        <v>0</v>
      </c>
      <c r="O42" s="18" t="s">
        <v>56</v>
      </c>
    </row>
    <row r="43" customFormat="false" ht="15" hidden="false" customHeight="false" outlineLevel="0" collapsed="false">
      <c r="A43" s="18" t="n">
        <v>144868498</v>
      </c>
      <c r="B43" s="10" t="n">
        <v>878</v>
      </c>
      <c r="C43" s="18" t="s">
        <v>43</v>
      </c>
      <c r="D43" s="9" t="s">
        <v>1850</v>
      </c>
      <c r="E43" s="9" t="s">
        <v>204</v>
      </c>
      <c r="F43" s="9" t="s">
        <v>19</v>
      </c>
      <c r="G43" s="10" t="n">
        <v>2025</v>
      </c>
      <c r="H43" s="10" t="n">
        <v>10</v>
      </c>
      <c r="I43" s="19" t="n">
        <v>23400</v>
      </c>
      <c r="J43" s="19" t="n">
        <v>26000</v>
      </c>
      <c r="K43" s="10" t="n">
        <v>1300</v>
      </c>
      <c r="L43" s="10" t="n">
        <v>3084</v>
      </c>
      <c r="M43" s="10" t="n">
        <v>7</v>
      </c>
      <c r="N43" s="11" t="n">
        <v>9.1</v>
      </c>
      <c r="O43" s="18" t="s">
        <v>46</v>
      </c>
    </row>
    <row r="44" customFormat="false" ht="15" hidden="false" customHeight="false" outlineLevel="0" collapsed="false">
      <c r="A44" s="18" t="n">
        <v>130346848</v>
      </c>
      <c r="B44" s="10" t="n">
        <v>980</v>
      </c>
      <c r="C44" s="18" t="s">
        <v>43</v>
      </c>
      <c r="D44" s="9" t="s">
        <v>2054</v>
      </c>
      <c r="E44" s="9" t="s">
        <v>2055</v>
      </c>
      <c r="F44" s="9" t="s">
        <v>19</v>
      </c>
      <c r="G44" s="10" t="n">
        <v>2024</v>
      </c>
      <c r="H44" s="10" t="n">
        <v>10</v>
      </c>
      <c r="I44" s="19" t="n">
        <v>21600</v>
      </c>
      <c r="J44" s="19" t="n">
        <v>24000</v>
      </c>
      <c r="K44" s="10" t="n">
        <v>1200</v>
      </c>
      <c r="L44" s="10" t="n">
        <v>774</v>
      </c>
      <c r="M44" s="10" t="n">
        <v>2</v>
      </c>
      <c r="N44" s="11" t="n">
        <v>10</v>
      </c>
      <c r="O44" s="18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10.02"/>
    <col collapsed="false" customWidth="true" hidden="false" outlineLevel="0" max="2" min="2" style="0" width="9.18"/>
    <col collapsed="false" customWidth="true" hidden="false" outlineLevel="0" max="3" min="3" style="0" width="10.85"/>
    <col collapsed="false" customWidth="true" hidden="false" outlineLevel="0" max="4" min="4" style="0" width="45.07"/>
    <col collapsed="false" customWidth="true" hidden="false" outlineLevel="0" max="5" min="5" style="0" width="34.22"/>
    <col collapsed="false" customWidth="true" hidden="false" outlineLevel="0" max="6" min="6" style="0" width="10.02"/>
    <col collapsed="false" customWidth="true" hidden="false" outlineLevel="0" max="7" min="7" style="0" width="12.52"/>
    <col collapsed="false" customWidth="true" hidden="false" outlineLevel="0" max="8" min="8" style="0" width="13.35"/>
    <col collapsed="false" customWidth="true" hidden="false" outlineLevel="0" max="9" min="9" style="0" width="10.85"/>
    <col collapsed="false" customWidth="true" hidden="false" outlineLevel="0" max="10" min="10" style="0" width="14.19"/>
    <col collapsed="false" customWidth="true" hidden="false" outlineLevel="0" max="11" min="11" style="0" width="9.18"/>
    <col collapsed="false" customWidth="true" hidden="false" outlineLevel="0" max="12" min="12" style="0" width="10.85"/>
    <col collapsed="false" customWidth="true" hidden="false" outlineLevel="0" max="13" min="13" style="0" width="12.52"/>
    <col collapsed="false" customWidth="true" hidden="false" outlineLevel="0" max="14" min="14" style="0" width="9.18"/>
    <col collapsed="false" customWidth="true" hidden="false" outlineLevel="0" max="15" min="15" style="0" width="14.19"/>
  </cols>
  <sheetData>
    <row r="1" customFormat="false" ht="15" hidden="false" customHeight="false" outlineLevel="0" collapsed="false">
      <c r="A1" s="17" t="s">
        <v>28</v>
      </c>
      <c r="B1" s="17" t="s">
        <v>29</v>
      </c>
      <c r="C1" s="17" t="s">
        <v>30</v>
      </c>
      <c r="D1" s="17" t="s">
        <v>31</v>
      </c>
      <c r="E1" s="17" t="s">
        <v>32</v>
      </c>
      <c r="F1" s="17" t="s">
        <v>33</v>
      </c>
      <c r="G1" s="17" t="s">
        <v>34</v>
      </c>
      <c r="H1" s="17" t="s">
        <v>35</v>
      </c>
      <c r="I1" s="17" t="s">
        <v>36</v>
      </c>
      <c r="J1" s="17" t="s">
        <v>37</v>
      </c>
      <c r="K1" s="17" t="s">
        <v>38</v>
      </c>
      <c r="L1" s="17" t="s">
        <v>39</v>
      </c>
      <c r="M1" s="17" t="s">
        <v>40</v>
      </c>
      <c r="N1" s="17" t="s">
        <v>41</v>
      </c>
      <c r="O1" s="17" t="s">
        <v>42</v>
      </c>
    </row>
    <row r="2" customFormat="false" ht="15" hidden="false" customHeight="false" outlineLevel="0" collapsed="false">
      <c r="A2" s="18" t="n">
        <v>180513899</v>
      </c>
      <c r="B2" s="10" t="n">
        <v>36</v>
      </c>
      <c r="C2" s="18" t="s">
        <v>43</v>
      </c>
      <c r="D2" s="9" t="s">
        <v>132</v>
      </c>
      <c r="E2" s="9" t="s">
        <v>133</v>
      </c>
      <c r="F2" s="9" t="s">
        <v>21</v>
      </c>
      <c r="G2" s="10" t="n">
        <v>2026</v>
      </c>
      <c r="H2" s="10" t="n">
        <v>10</v>
      </c>
      <c r="I2" s="19" t="n">
        <v>23400</v>
      </c>
      <c r="J2" s="19" t="n">
        <v>26000</v>
      </c>
      <c r="K2" s="10" t="n">
        <v>1300</v>
      </c>
      <c r="L2" s="10" t="n">
        <v>16494</v>
      </c>
      <c r="M2" s="10" t="n">
        <v>8</v>
      </c>
      <c r="N2" s="11" t="n">
        <v>9.5</v>
      </c>
      <c r="O2" s="18" t="s">
        <v>46</v>
      </c>
    </row>
    <row r="3" customFormat="false" ht="15" hidden="false" customHeight="false" outlineLevel="0" collapsed="false">
      <c r="A3" s="18" t="n">
        <v>186921504</v>
      </c>
      <c r="B3" s="10" t="n">
        <v>44</v>
      </c>
      <c r="C3" s="18" t="s">
        <v>43</v>
      </c>
      <c r="D3" s="15" t="s">
        <v>148</v>
      </c>
      <c r="E3" s="9" t="s">
        <v>149</v>
      </c>
      <c r="F3" s="9" t="s">
        <v>21</v>
      </c>
      <c r="G3" s="10" t="n">
        <v>2026</v>
      </c>
      <c r="H3" s="10" t="n">
        <v>10</v>
      </c>
      <c r="I3" s="19" t="n">
        <v>37800</v>
      </c>
      <c r="J3" s="19" t="n">
        <v>42000</v>
      </c>
      <c r="K3" s="10" t="n">
        <v>2100</v>
      </c>
      <c r="L3" s="10" t="n">
        <v>6903</v>
      </c>
      <c r="M3" s="10" t="n">
        <v>21</v>
      </c>
      <c r="N3" s="11" t="n">
        <v>9.9</v>
      </c>
      <c r="O3" s="18" t="s">
        <v>46</v>
      </c>
    </row>
    <row r="4" customFormat="false" ht="15" hidden="false" customHeight="false" outlineLevel="0" collapsed="false">
      <c r="A4" s="18" t="n">
        <v>92742567</v>
      </c>
      <c r="B4" s="10" t="n">
        <v>219</v>
      </c>
      <c r="C4" s="18" t="s">
        <v>43</v>
      </c>
      <c r="D4" s="9" t="s">
        <v>518</v>
      </c>
      <c r="E4" s="9" t="s">
        <v>519</v>
      </c>
      <c r="F4" s="9" t="s">
        <v>21</v>
      </c>
      <c r="G4" s="10" t="n">
        <v>2020</v>
      </c>
      <c r="H4" s="10" t="n">
        <v>10</v>
      </c>
      <c r="I4" s="19" t="n">
        <v>40500</v>
      </c>
      <c r="J4" s="19" t="n">
        <v>45000</v>
      </c>
      <c r="K4" s="10" t="n">
        <v>2250</v>
      </c>
      <c r="L4" s="10" t="n">
        <v>3204</v>
      </c>
      <c r="M4" s="10" t="n">
        <v>89</v>
      </c>
      <c r="N4" s="11" t="n">
        <v>9.6</v>
      </c>
      <c r="O4" s="18" t="s">
        <v>46</v>
      </c>
    </row>
    <row r="5" customFormat="false" ht="15" hidden="false" customHeight="false" outlineLevel="0" collapsed="false">
      <c r="A5" s="18" t="n">
        <v>162224477</v>
      </c>
      <c r="B5" s="10" t="n">
        <v>228</v>
      </c>
      <c r="C5" s="18" t="s">
        <v>43</v>
      </c>
      <c r="D5" s="15" t="s">
        <v>537</v>
      </c>
      <c r="E5" s="15" t="s">
        <v>538</v>
      </c>
      <c r="F5" s="9" t="s">
        <v>21</v>
      </c>
      <c r="G5" s="10" t="n">
        <v>2025</v>
      </c>
      <c r="H5" s="10" t="n">
        <v>10</v>
      </c>
      <c r="I5" s="19" t="n">
        <v>25200</v>
      </c>
      <c r="J5" s="19" t="n">
        <v>28000</v>
      </c>
      <c r="K5" s="10" t="n">
        <v>1400</v>
      </c>
      <c r="L5" s="10" t="n">
        <v>2943</v>
      </c>
      <c r="M5" s="10" t="n">
        <v>1</v>
      </c>
      <c r="N5" s="11" t="n">
        <v>10</v>
      </c>
      <c r="O5" s="18" t="s">
        <v>56</v>
      </c>
    </row>
    <row r="6" customFormat="false" ht="15" hidden="false" customHeight="false" outlineLevel="0" collapsed="false">
      <c r="A6" s="18" t="n">
        <v>180513905</v>
      </c>
      <c r="B6" s="10" t="n">
        <v>246</v>
      </c>
      <c r="C6" s="18" t="s">
        <v>43</v>
      </c>
      <c r="D6" s="9" t="s">
        <v>577</v>
      </c>
      <c r="E6" s="9" t="s">
        <v>578</v>
      </c>
      <c r="F6" s="9" t="s">
        <v>21</v>
      </c>
      <c r="G6" s="10" t="n">
        <v>2026</v>
      </c>
      <c r="H6" s="10" t="n">
        <v>10</v>
      </c>
      <c r="I6" s="19" t="n">
        <v>34200</v>
      </c>
      <c r="J6" s="19" t="n">
        <v>38000</v>
      </c>
      <c r="K6" s="10" t="n">
        <v>1900</v>
      </c>
      <c r="L6" s="10" t="n">
        <v>594</v>
      </c>
      <c r="M6" s="10" t="n">
        <v>0</v>
      </c>
      <c r="N6" s="11" t="n">
        <v>0</v>
      </c>
      <c r="O6" s="18" t="s">
        <v>56</v>
      </c>
    </row>
    <row r="7" customFormat="false" ht="15" hidden="false" customHeight="false" outlineLevel="0" collapsed="false">
      <c r="A7" s="18" t="n">
        <v>105104944</v>
      </c>
      <c r="B7" s="10" t="n">
        <v>321</v>
      </c>
      <c r="C7" s="18" t="s">
        <v>43</v>
      </c>
      <c r="D7" s="9" t="s">
        <v>725</v>
      </c>
      <c r="E7" s="9" t="s">
        <v>726</v>
      </c>
      <c r="F7" s="9" t="s">
        <v>21</v>
      </c>
      <c r="G7" s="10" t="n">
        <v>2021</v>
      </c>
      <c r="H7" s="10" t="n">
        <v>10</v>
      </c>
      <c r="I7" s="19" t="n">
        <v>22500</v>
      </c>
      <c r="J7" s="19" t="n">
        <v>25000</v>
      </c>
      <c r="K7" s="10" t="n">
        <v>1250</v>
      </c>
      <c r="L7" s="10" t="n">
        <v>936</v>
      </c>
      <c r="M7" s="10" t="n">
        <v>9</v>
      </c>
      <c r="N7" s="11" t="n">
        <v>9.3</v>
      </c>
      <c r="O7" s="18" t="s">
        <v>56</v>
      </c>
    </row>
    <row r="8" customFormat="false" ht="15" hidden="false" customHeight="false" outlineLevel="0" collapsed="false">
      <c r="A8" s="18" t="n">
        <v>59566585</v>
      </c>
      <c r="B8" s="10" t="n">
        <v>334</v>
      </c>
      <c r="C8" s="18" t="s">
        <v>43</v>
      </c>
      <c r="D8" s="9" t="s">
        <v>754</v>
      </c>
      <c r="E8" s="9" t="s">
        <v>755</v>
      </c>
      <c r="F8" s="9" t="s">
        <v>21</v>
      </c>
      <c r="G8" s="10" t="n">
        <v>2018</v>
      </c>
      <c r="H8" s="10" t="n">
        <v>10</v>
      </c>
      <c r="I8" s="19" t="n">
        <v>32400</v>
      </c>
      <c r="J8" s="19" t="n">
        <v>36000</v>
      </c>
      <c r="K8" s="10" t="n">
        <v>1800</v>
      </c>
      <c r="L8" s="10" t="n">
        <v>3834</v>
      </c>
      <c r="M8" s="10" t="n">
        <v>21</v>
      </c>
      <c r="N8" s="11" t="n">
        <v>8.8</v>
      </c>
      <c r="O8" s="18" t="s">
        <v>46</v>
      </c>
    </row>
    <row r="9" customFormat="false" ht="15" hidden="false" customHeight="false" outlineLevel="0" collapsed="false">
      <c r="A9" s="18" t="n">
        <v>18249021</v>
      </c>
      <c r="B9" s="10" t="n">
        <v>344</v>
      </c>
      <c r="C9" s="18" t="s">
        <v>43</v>
      </c>
      <c r="D9" s="9" t="s">
        <v>775</v>
      </c>
      <c r="E9" s="9" t="s">
        <v>776</v>
      </c>
      <c r="F9" s="9" t="s">
        <v>21</v>
      </c>
      <c r="G9" s="10" t="n">
        <v>2015</v>
      </c>
      <c r="H9" s="10" t="n">
        <v>10</v>
      </c>
      <c r="I9" s="19" t="n">
        <v>18000</v>
      </c>
      <c r="J9" s="19" t="n">
        <v>20000</v>
      </c>
      <c r="K9" s="10" t="n">
        <v>1000</v>
      </c>
      <c r="L9" s="10" t="n">
        <v>2394</v>
      </c>
      <c r="M9" s="10" t="n">
        <v>90</v>
      </c>
      <c r="N9" s="11" t="n">
        <v>9.4</v>
      </c>
      <c r="O9" s="18" t="s">
        <v>46</v>
      </c>
    </row>
    <row r="10" customFormat="false" ht="15" hidden="false" customHeight="false" outlineLevel="0" collapsed="false">
      <c r="A10" s="18" t="n">
        <v>180513902</v>
      </c>
      <c r="B10" s="10" t="n">
        <v>379</v>
      </c>
      <c r="C10" s="18" t="s">
        <v>43</v>
      </c>
      <c r="D10" s="9" t="s">
        <v>849</v>
      </c>
      <c r="E10" s="9" t="s">
        <v>850</v>
      </c>
      <c r="F10" s="9" t="s">
        <v>21</v>
      </c>
      <c r="G10" s="10" t="n">
        <v>2026</v>
      </c>
      <c r="H10" s="10" t="n">
        <v>10</v>
      </c>
      <c r="I10" s="19" t="n">
        <v>21600</v>
      </c>
      <c r="J10" s="19" t="n">
        <v>24000</v>
      </c>
      <c r="K10" s="10" t="n">
        <v>1200</v>
      </c>
      <c r="L10" s="10" t="n">
        <v>882</v>
      </c>
      <c r="M10" s="10" t="n">
        <v>0</v>
      </c>
      <c r="N10" s="11" t="n">
        <v>0</v>
      </c>
      <c r="O10" s="18" t="s">
        <v>56</v>
      </c>
    </row>
    <row r="11" customFormat="false" ht="15" hidden="false" customHeight="false" outlineLevel="0" collapsed="false">
      <c r="A11" s="18" t="n">
        <v>179587739</v>
      </c>
      <c r="B11" s="10" t="n">
        <v>383</v>
      </c>
      <c r="C11" s="18" t="s">
        <v>43</v>
      </c>
      <c r="D11" s="9" t="s">
        <v>857</v>
      </c>
      <c r="E11" s="9" t="s">
        <v>858</v>
      </c>
      <c r="F11" s="9" t="s">
        <v>21</v>
      </c>
      <c r="G11" s="10" t="n">
        <v>2026</v>
      </c>
      <c r="H11" s="10" t="n">
        <v>10</v>
      </c>
      <c r="I11" s="19" t="n">
        <v>25200</v>
      </c>
      <c r="J11" s="19" t="n">
        <v>28000</v>
      </c>
      <c r="K11" s="10" t="n">
        <v>1400</v>
      </c>
      <c r="L11" s="10" t="n">
        <v>702</v>
      </c>
      <c r="M11" s="10" t="n">
        <v>0</v>
      </c>
      <c r="N11" s="11" t="n">
        <v>0</v>
      </c>
      <c r="O11" s="18" t="s">
        <v>56</v>
      </c>
    </row>
    <row r="12" customFormat="false" ht="15" hidden="false" customHeight="false" outlineLevel="0" collapsed="false">
      <c r="A12" s="18" t="n">
        <v>176913080</v>
      </c>
      <c r="B12" s="10" t="n">
        <v>384</v>
      </c>
      <c r="C12" s="18" t="s">
        <v>43</v>
      </c>
      <c r="D12" s="9" t="s">
        <v>859</v>
      </c>
      <c r="E12" s="9" t="s">
        <v>860</v>
      </c>
      <c r="F12" s="9" t="s">
        <v>21</v>
      </c>
      <c r="G12" s="10" t="n">
        <v>2026</v>
      </c>
      <c r="H12" s="10" t="n">
        <v>10</v>
      </c>
      <c r="I12" s="19" t="n">
        <v>28800</v>
      </c>
      <c r="J12" s="19" t="n">
        <v>32000</v>
      </c>
      <c r="K12" s="10" t="n">
        <v>1600</v>
      </c>
      <c r="L12" s="10" t="n">
        <v>1020</v>
      </c>
      <c r="M12" s="10" t="n">
        <v>0</v>
      </c>
      <c r="N12" s="11" t="n">
        <v>0</v>
      </c>
      <c r="O12" s="18" t="s">
        <v>56</v>
      </c>
    </row>
    <row r="13" customFormat="false" ht="15" hidden="false" customHeight="false" outlineLevel="0" collapsed="false">
      <c r="A13" s="18" t="n">
        <v>168727208</v>
      </c>
      <c r="B13" s="10" t="n">
        <v>399</v>
      </c>
      <c r="C13" s="18" t="s">
        <v>43</v>
      </c>
      <c r="D13" s="9" t="s">
        <v>892</v>
      </c>
      <c r="E13" s="9" t="s">
        <v>893</v>
      </c>
      <c r="F13" s="9" t="s">
        <v>21</v>
      </c>
      <c r="G13" s="10" t="n">
        <v>2026</v>
      </c>
      <c r="H13" s="10" t="n">
        <v>10</v>
      </c>
      <c r="I13" s="19" t="n">
        <v>25200</v>
      </c>
      <c r="J13" s="19" t="n">
        <v>28000</v>
      </c>
      <c r="K13" s="10" t="n">
        <v>1400</v>
      </c>
      <c r="L13" s="10" t="n">
        <v>2175</v>
      </c>
      <c r="M13" s="10" t="n">
        <v>2</v>
      </c>
      <c r="N13" s="11" t="n">
        <v>3</v>
      </c>
      <c r="O13" s="18" t="s">
        <v>56</v>
      </c>
    </row>
    <row r="14" customFormat="false" ht="15" hidden="false" customHeight="false" outlineLevel="0" collapsed="false">
      <c r="A14" s="18" t="n">
        <v>148124010</v>
      </c>
      <c r="B14" s="10" t="n">
        <v>429</v>
      </c>
      <c r="C14" s="18" t="s">
        <v>43</v>
      </c>
      <c r="D14" s="9" t="s">
        <v>949</v>
      </c>
      <c r="E14" s="9" t="s">
        <v>950</v>
      </c>
      <c r="F14" s="9" t="s">
        <v>21</v>
      </c>
      <c r="G14" s="10" t="n">
        <v>2025</v>
      </c>
      <c r="H14" s="10" t="n">
        <v>10</v>
      </c>
      <c r="I14" s="19" t="n">
        <v>32400</v>
      </c>
      <c r="J14" s="19" t="n">
        <v>36000</v>
      </c>
      <c r="K14" s="10" t="n">
        <v>1800</v>
      </c>
      <c r="L14" s="10" t="n">
        <v>1788</v>
      </c>
      <c r="M14" s="10" t="n">
        <v>3</v>
      </c>
      <c r="N14" s="11" t="n">
        <v>10</v>
      </c>
      <c r="O14" s="18" t="s">
        <v>56</v>
      </c>
    </row>
    <row r="15" customFormat="false" ht="15" hidden="false" customHeight="false" outlineLevel="0" collapsed="false">
      <c r="A15" s="18" t="n">
        <v>125484001</v>
      </c>
      <c r="B15" s="10" t="n">
        <v>495</v>
      </c>
      <c r="C15" s="18" t="s">
        <v>43</v>
      </c>
      <c r="D15" s="9" t="s">
        <v>1080</v>
      </c>
      <c r="E15" s="9" t="s">
        <v>1081</v>
      </c>
      <c r="F15" s="9" t="s">
        <v>21</v>
      </c>
      <c r="G15" s="10" t="n">
        <v>2024</v>
      </c>
      <c r="H15" s="10" t="n">
        <v>10</v>
      </c>
      <c r="I15" s="19" t="n">
        <v>21600</v>
      </c>
      <c r="J15" s="19" t="n">
        <v>24000</v>
      </c>
      <c r="K15" s="10" t="n">
        <v>1200</v>
      </c>
      <c r="L15" s="10" t="n">
        <v>702</v>
      </c>
      <c r="M15" s="10" t="n">
        <v>5</v>
      </c>
      <c r="N15" s="11" t="n">
        <v>10</v>
      </c>
      <c r="O15" s="18" t="s">
        <v>56</v>
      </c>
    </row>
    <row r="16" customFormat="false" ht="15" hidden="false" customHeight="false" outlineLevel="0" collapsed="false">
      <c r="A16" s="18" t="n">
        <v>122544981</v>
      </c>
      <c r="B16" s="10" t="n">
        <v>501</v>
      </c>
      <c r="C16" s="18" t="s">
        <v>43</v>
      </c>
      <c r="D16" s="9" t="s">
        <v>1093</v>
      </c>
      <c r="E16" s="9" t="s">
        <v>1094</v>
      </c>
      <c r="F16" s="9" t="s">
        <v>21</v>
      </c>
      <c r="G16" s="10" t="n">
        <v>2023</v>
      </c>
      <c r="H16" s="10" t="n">
        <v>10</v>
      </c>
      <c r="I16" s="19" t="n">
        <v>37800</v>
      </c>
      <c r="J16" s="19" t="n">
        <v>42000</v>
      </c>
      <c r="K16" s="10" t="n">
        <v>2100</v>
      </c>
      <c r="L16" s="10" t="n">
        <v>498</v>
      </c>
      <c r="M16" s="10" t="n">
        <v>4</v>
      </c>
      <c r="N16" s="11" t="n">
        <v>10</v>
      </c>
      <c r="O16" s="18" t="s">
        <v>56</v>
      </c>
    </row>
    <row r="17" customFormat="false" ht="15" hidden="false" customHeight="false" outlineLevel="0" collapsed="false">
      <c r="A17" s="18" t="n">
        <v>108824557</v>
      </c>
      <c r="B17" s="10" t="n">
        <v>534</v>
      </c>
      <c r="C17" s="18" t="s">
        <v>43</v>
      </c>
      <c r="D17" s="9" t="s">
        <v>1162</v>
      </c>
      <c r="E17" s="9" t="s">
        <v>1163</v>
      </c>
      <c r="F17" s="9" t="s">
        <v>21</v>
      </c>
      <c r="G17" s="10" t="n">
        <v>2022</v>
      </c>
      <c r="H17" s="10" t="n">
        <v>10</v>
      </c>
      <c r="I17" s="19" t="n">
        <v>36000</v>
      </c>
      <c r="J17" s="19" t="n">
        <v>40000</v>
      </c>
      <c r="K17" s="10" t="n">
        <v>2000</v>
      </c>
      <c r="L17" s="10" t="n">
        <v>3234</v>
      </c>
      <c r="M17" s="10" t="n">
        <v>17</v>
      </c>
      <c r="N17" s="11" t="n">
        <v>9.2</v>
      </c>
      <c r="O17" s="18" t="s">
        <v>56</v>
      </c>
    </row>
    <row r="18" customFormat="false" ht="15" hidden="false" customHeight="false" outlineLevel="0" collapsed="false">
      <c r="A18" s="18" t="n">
        <v>44130507</v>
      </c>
      <c r="B18" s="10" t="n">
        <v>571</v>
      </c>
      <c r="C18" s="18" t="s">
        <v>43</v>
      </c>
      <c r="D18" s="15" t="s">
        <v>1231</v>
      </c>
      <c r="E18" s="9" t="s">
        <v>1232</v>
      </c>
      <c r="F18" s="9" t="s">
        <v>21</v>
      </c>
      <c r="G18" s="10" t="n">
        <v>2020</v>
      </c>
      <c r="H18" s="10" t="n">
        <v>10</v>
      </c>
      <c r="I18" s="19" t="n">
        <v>43200</v>
      </c>
      <c r="J18" s="19" t="n">
        <v>48000</v>
      </c>
      <c r="K18" s="10" t="n">
        <v>2400</v>
      </c>
      <c r="L18" s="10" t="n">
        <v>558</v>
      </c>
      <c r="M18" s="10" t="n">
        <v>4</v>
      </c>
      <c r="N18" s="11" t="n">
        <v>9.3</v>
      </c>
      <c r="O18" s="18" t="s">
        <v>56</v>
      </c>
    </row>
    <row r="19" customFormat="false" ht="15" hidden="false" customHeight="false" outlineLevel="0" collapsed="false">
      <c r="A19" s="18" t="n">
        <v>143343835</v>
      </c>
      <c r="B19" s="10" t="n">
        <v>586</v>
      </c>
      <c r="C19" s="18" t="s">
        <v>43</v>
      </c>
      <c r="D19" s="15" t="s">
        <v>1268</v>
      </c>
      <c r="E19" s="9" t="s">
        <v>1269</v>
      </c>
      <c r="F19" s="9" t="s">
        <v>21</v>
      </c>
      <c r="G19" s="10" t="n">
        <v>2025</v>
      </c>
      <c r="H19" s="10" t="n">
        <v>10</v>
      </c>
      <c r="I19" s="19" t="n">
        <v>25200</v>
      </c>
      <c r="J19" s="19" t="n">
        <v>28000</v>
      </c>
      <c r="K19" s="10" t="n">
        <v>1400</v>
      </c>
      <c r="L19" s="10" t="n">
        <v>534</v>
      </c>
      <c r="M19" s="10" t="n">
        <v>2</v>
      </c>
      <c r="N19" s="11" t="n">
        <v>10</v>
      </c>
      <c r="O19" s="18" t="s">
        <v>56</v>
      </c>
    </row>
    <row r="20" customFormat="false" ht="15" hidden="false" customHeight="false" outlineLevel="0" collapsed="false">
      <c r="A20" s="18" t="n">
        <v>183640934</v>
      </c>
      <c r="B20" s="10" t="n">
        <v>632</v>
      </c>
      <c r="C20" s="18" t="s">
        <v>43</v>
      </c>
      <c r="D20" s="9" t="s">
        <v>1364</v>
      </c>
      <c r="E20" s="9" t="s">
        <v>1365</v>
      </c>
      <c r="F20" s="9" t="s">
        <v>21</v>
      </c>
      <c r="G20" s="10" t="n">
        <v>2026</v>
      </c>
      <c r="H20" s="10" t="n">
        <v>10</v>
      </c>
      <c r="I20" s="19" t="n">
        <v>28800</v>
      </c>
      <c r="J20" s="19" t="n">
        <v>32000</v>
      </c>
      <c r="K20" s="10" t="n">
        <v>1600</v>
      </c>
      <c r="L20" s="10" t="n">
        <v>474</v>
      </c>
      <c r="M20" s="10" t="n">
        <v>0</v>
      </c>
      <c r="N20" s="11" t="n">
        <v>0</v>
      </c>
      <c r="O20" s="18" t="s">
        <v>56</v>
      </c>
    </row>
    <row r="21" customFormat="false" ht="15" hidden="false" customHeight="false" outlineLevel="0" collapsed="false">
      <c r="A21" s="18" t="n">
        <v>171028674</v>
      </c>
      <c r="B21" s="10" t="n">
        <v>708</v>
      </c>
      <c r="C21" s="18" t="s">
        <v>43</v>
      </c>
      <c r="D21" s="9" t="s">
        <v>1513</v>
      </c>
      <c r="E21" s="9" t="s">
        <v>1514</v>
      </c>
      <c r="F21" s="9" t="s">
        <v>21</v>
      </c>
      <c r="G21" s="10" t="n">
        <v>2026</v>
      </c>
      <c r="H21" s="10" t="n">
        <v>10</v>
      </c>
      <c r="I21" s="19" t="n">
        <v>25200</v>
      </c>
      <c r="J21" s="19" t="n">
        <v>28000</v>
      </c>
      <c r="K21" s="10" t="n">
        <v>1400</v>
      </c>
      <c r="L21" s="10" t="n">
        <v>570</v>
      </c>
      <c r="M21" s="10" t="n">
        <v>2</v>
      </c>
      <c r="N21" s="11" t="n">
        <v>10</v>
      </c>
      <c r="O21" s="18" t="s">
        <v>56</v>
      </c>
    </row>
    <row r="22" customFormat="false" ht="15" hidden="false" customHeight="false" outlineLevel="0" collapsed="false">
      <c r="A22" s="18" t="n">
        <v>168228070</v>
      </c>
      <c r="B22" s="10" t="n">
        <v>718</v>
      </c>
      <c r="C22" s="18" t="s">
        <v>43</v>
      </c>
      <c r="D22" s="9" t="s">
        <v>1533</v>
      </c>
      <c r="E22" s="9" t="s">
        <v>1534</v>
      </c>
      <c r="F22" s="9" t="s">
        <v>21</v>
      </c>
      <c r="G22" s="10" t="n">
        <v>2026</v>
      </c>
      <c r="H22" s="10" t="n">
        <v>10</v>
      </c>
      <c r="I22" s="19" t="n">
        <v>31500</v>
      </c>
      <c r="J22" s="19" t="n">
        <v>35000</v>
      </c>
      <c r="K22" s="10" t="n">
        <v>1750</v>
      </c>
      <c r="L22" s="10" t="n">
        <v>930</v>
      </c>
      <c r="M22" s="10" t="n">
        <v>0</v>
      </c>
      <c r="N22" s="11" t="n">
        <v>0</v>
      </c>
      <c r="O22" s="18" t="s">
        <v>56</v>
      </c>
    </row>
    <row r="23" customFormat="false" ht="15" hidden="false" customHeight="false" outlineLevel="0" collapsed="false">
      <c r="A23" s="18" t="n">
        <v>166382462</v>
      </c>
      <c r="B23" s="10" t="n">
        <v>731</v>
      </c>
      <c r="C23" s="18" t="s">
        <v>43</v>
      </c>
      <c r="D23" s="15" t="s">
        <v>1559</v>
      </c>
      <c r="E23" s="9" t="s">
        <v>1560</v>
      </c>
      <c r="F23" s="9" t="s">
        <v>21</v>
      </c>
      <c r="G23" s="10" t="n">
        <v>2025</v>
      </c>
      <c r="H23" s="10" t="n">
        <v>10</v>
      </c>
      <c r="I23" s="19" t="n">
        <v>31500</v>
      </c>
      <c r="J23" s="19" t="n">
        <v>35000</v>
      </c>
      <c r="K23" s="10" t="n">
        <v>1750</v>
      </c>
      <c r="L23" s="10" t="n">
        <v>546</v>
      </c>
      <c r="M23" s="10" t="n">
        <v>0</v>
      </c>
      <c r="N23" s="11" t="n">
        <v>0</v>
      </c>
      <c r="O23" s="18" t="s">
        <v>56</v>
      </c>
    </row>
    <row r="24" customFormat="false" ht="15" hidden="false" customHeight="false" outlineLevel="0" collapsed="false">
      <c r="A24" s="18" t="n">
        <v>160465401</v>
      </c>
      <c r="B24" s="10" t="n">
        <v>743</v>
      </c>
      <c r="C24" s="18" t="s">
        <v>43</v>
      </c>
      <c r="D24" s="15" t="s">
        <v>1584</v>
      </c>
      <c r="E24" s="9" t="s">
        <v>1585</v>
      </c>
      <c r="F24" s="9" t="s">
        <v>21</v>
      </c>
      <c r="G24" s="10" t="n">
        <v>2025</v>
      </c>
      <c r="H24" s="10" t="n">
        <v>10</v>
      </c>
      <c r="I24" s="19" t="n">
        <v>22500</v>
      </c>
      <c r="J24" s="19" t="n">
        <v>25000</v>
      </c>
      <c r="K24" s="10" t="n">
        <v>1250</v>
      </c>
      <c r="L24" s="10" t="n">
        <v>780</v>
      </c>
      <c r="M24" s="10" t="n">
        <v>0</v>
      </c>
      <c r="N24" s="11" t="n">
        <v>0</v>
      </c>
      <c r="O24" s="18" t="s">
        <v>56</v>
      </c>
    </row>
    <row r="25" customFormat="false" ht="15" hidden="false" customHeight="false" outlineLevel="0" collapsed="false">
      <c r="A25" s="18" t="n">
        <v>148412805</v>
      </c>
      <c r="B25" s="10" t="n">
        <v>818</v>
      </c>
      <c r="C25" s="18" t="s">
        <v>43</v>
      </c>
      <c r="D25" s="15" t="s">
        <v>1733</v>
      </c>
      <c r="E25" s="9" t="s">
        <v>1734</v>
      </c>
      <c r="F25" s="9" t="s">
        <v>21</v>
      </c>
      <c r="G25" s="10" t="n">
        <v>2025</v>
      </c>
      <c r="H25" s="10" t="n">
        <v>10</v>
      </c>
      <c r="I25" s="19" t="n">
        <v>27000</v>
      </c>
      <c r="J25" s="19" t="n">
        <v>30000</v>
      </c>
      <c r="K25" s="10" t="n">
        <v>1500</v>
      </c>
      <c r="L25" s="10" t="n">
        <v>1416</v>
      </c>
      <c r="M25" s="10" t="n">
        <v>1</v>
      </c>
      <c r="N25" s="11" t="n">
        <v>10</v>
      </c>
      <c r="O25" s="18" t="s">
        <v>56</v>
      </c>
    </row>
    <row r="26" customFormat="false" ht="15" hidden="false" customHeight="false" outlineLevel="0" collapsed="false">
      <c r="A26" s="18" t="n">
        <v>147123137</v>
      </c>
      <c r="B26" s="10" t="n">
        <v>843</v>
      </c>
      <c r="C26" s="18" t="s">
        <v>43</v>
      </c>
      <c r="D26" s="9" t="s">
        <v>1781</v>
      </c>
      <c r="E26" s="9" t="s">
        <v>1782</v>
      </c>
      <c r="F26" s="9" t="s">
        <v>21</v>
      </c>
      <c r="G26" s="10" t="n">
        <v>2025</v>
      </c>
      <c r="H26" s="10" t="n">
        <v>10</v>
      </c>
      <c r="I26" s="19" t="n">
        <v>31500</v>
      </c>
      <c r="J26" s="19" t="n">
        <v>35000</v>
      </c>
      <c r="K26" s="10" t="n">
        <v>1750</v>
      </c>
      <c r="L26" s="10" t="n">
        <v>2052</v>
      </c>
      <c r="M26" s="10" t="n">
        <v>0</v>
      </c>
      <c r="N26" s="11" t="n">
        <v>0</v>
      </c>
      <c r="O26" s="18" t="s">
        <v>56</v>
      </c>
    </row>
    <row r="27" customFormat="false" ht="15" hidden="false" customHeight="false" outlineLevel="0" collapsed="false">
      <c r="A27" s="18" t="n">
        <v>147068169</v>
      </c>
      <c r="B27" s="10" t="n">
        <v>847</v>
      </c>
      <c r="C27" s="18" t="s">
        <v>43</v>
      </c>
      <c r="D27" s="15" t="s">
        <v>1788</v>
      </c>
      <c r="E27" s="9" t="s">
        <v>1789</v>
      </c>
      <c r="F27" s="9" t="s">
        <v>21</v>
      </c>
      <c r="G27" s="10" t="n">
        <v>2025</v>
      </c>
      <c r="H27" s="10" t="n">
        <v>10</v>
      </c>
      <c r="I27" s="19" t="n">
        <v>49500</v>
      </c>
      <c r="J27" s="19" t="n">
        <v>55000</v>
      </c>
      <c r="K27" s="10" t="n">
        <v>2750</v>
      </c>
      <c r="L27" s="10" t="n">
        <v>996</v>
      </c>
      <c r="M27" s="10" t="n">
        <v>4</v>
      </c>
      <c r="N27" s="11" t="n">
        <v>10</v>
      </c>
      <c r="O27" s="18" t="s">
        <v>56</v>
      </c>
    </row>
    <row r="28" customFormat="false" ht="15" hidden="false" customHeight="false" outlineLevel="0" collapsed="false">
      <c r="A28" s="18" t="n">
        <v>145240291</v>
      </c>
      <c r="B28" s="10" t="n">
        <v>872</v>
      </c>
      <c r="C28" s="18" t="s">
        <v>43</v>
      </c>
      <c r="D28" s="9" t="s">
        <v>1838</v>
      </c>
      <c r="E28" s="9" t="s">
        <v>1839</v>
      </c>
      <c r="F28" s="9" t="s">
        <v>21</v>
      </c>
      <c r="G28" s="10" t="n">
        <v>2025</v>
      </c>
      <c r="H28" s="10" t="n">
        <v>10</v>
      </c>
      <c r="I28" s="19" t="n">
        <v>22500</v>
      </c>
      <c r="J28" s="19" t="n">
        <v>25000</v>
      </c>
      <c r="K28" s="10" t="n">
        <v>1250</v>
      </c>
      <c r="L28" s="10" t="n">
        <v>366</v>
      </c>
      <c r="M28" s="10" t="n">
        <v>3</v>
      </c>
      <c r="N28" s="11" t="n">
        <v>10</v>
      </c>
      <c r="O28" s="18" t="s">
        <v>56</v>
      </c>
    </row>
    <row r="29" customFormat="false" ht="15" hidden="false" customHeight="false" outlineLevel="0" collapsed="false">
      <c r="A29" s="18" t="n">
        <v>145047404</v>
      </c>
      <c r="B29" s="10" t="n">
        <v>875</v>
      </c>
      <c r="C29" s="18" t="s">
        <v>43</v>
      </c>
      <c r="D29" s="9" t="s">
        <v>1844</v>
      </c>
      <c r="E29" s="9" t="s">
        <v>1845</v>
      </c>
      <c r="F29" s="9" t="s">
        <v>21</v>
      </c>
      <c r="G29" s="10" t="n">
        <v>2025</v>
      </c>
      <c r="H29" s="10" t="n">
        <v>10</v>
      </c>
      <c r="I29" s="19" t="n">
        <v>18000</v>
      </c>
      <c r="J29" s="19" t="n">
        <v>20000</v>
      </c>
      <c r="K29" s="10" t="n">
        <v>1000</v>
      </c>
      <c r="L29" s="10" t="n">
        <v>1875</v>
      </c>
      <c r="M29" s="10" t="n">
        <v>4</v>
      </c>
      <c r="N29" s="11" t="n">
        <v>9.5</v>
      </c>
      <c r="O29" s="18" t="s">
        <v>56</v>
      </c>
    </row>
    <row r="30" customFormat="false" ht="15" hidden="false" customHeight="false" outlineLevel="0" collapsed="false">
      <c r="A30" s="18" t="n">
        <v>143792169</v>
      </c>
      <c r="B30" s="10" t="n">
        <v>890</v>
      </c>
      <c r="C30" s="18" t="s">
        <v>43</v>
      </c>
      <c r="D30" s="9" t="s">
        <v>1874</v>
      </c>
      <c r="E30" s="9" t="s">
        <v>1875</v>
      </c>
      <c r="F30" s="9" t="s">
        <v>21</v>
      </c>
      <c r="G30" s="10" t="n">
        <v>2025</v>
      </c>
      <c r="H30" s="10" t="n">
        <v>10</v>
      </c>
      <c r="I30" s="19" t="n">
        <v>25200</v>
      </c>
      <c r="J30" s="19" t="n">
        <v>28000</v>
      </c>
      <c r="K30" s="10" t="n">
        <v>1400</v>
      </c>
      <c r="L30" s="10" t="n">
        <v>438</v>
      </c>
      <c r="M30" s="10" t="n">
        <v>0</v>
      </c>
      <c r="N30" s="11" t="n">
        <v>0</v>
      </c>
      <c r="O30" s="18" t="s">
        <v>56</v>
      </c>
    </row>
    <row r="31" customFormat="false" ht="15" hidden="false" customHeight="false" outlineLevel="0" collapsed="false">
      <c r="A31" s="18" t="n">
        <v>143311442</v>
      </c>
      <c r="B31" s="10" t="n">
        <v>895</v>
      </c>
      <c r="C31" s="18" t="s">
        <v>43</v>
      </c>
      <c r="D31" s="9" t="s">
        <v>1884</v>
      </c>
      <c r="E31" s="9" t="s">
        <v>1885</v>
      </c>
      <c r="F31" s="9" t="s">
        <v>21</v>
      </c>
      <c r="G31" s="10" t="n">
        <v>2025</v>
      </c>
      <c r="H31" s="10" t="n">
        <v>10</v>
      </c>
      <c r="I31" s="19" t="n">
        <v>28800</v>
      </c>
      <c r="J31" s="19" t="n">
        <v>32000</v>
      </c>
      <c r="K31" s="10" t="n">
        <v>1600</v>
      </c>
      <c r="L31" s="10" t="n">
        <v>264</v>
      </c>
      <c r="M31" s="10" t="n">
        <v>0</v>
      </c>
      <c r="N31" s="11" t="n">
        <v>0</v>
      </c>
      <c r="O31" s="18" t="s">
        <v>56</v>
      </c>
    </row>
    <row r="32" customFormat="false" ht="15" hidden="false" customHeight="false" outlineLevel="0" collapsed="false">
      <c r="A32" s="18" t="n">
        <v>141128416</v>
      </c>
      <c r="B32" s="10" t="n">
        <v>926</v>
      </c>
      <c r="C32" s="18" t="s">
        <v>43</v>
      </c>
      <c r="D32" s="9" t="s">
        <v>1949</v>
      </c>
      <c r="E32" s="9" t="s">
        <v>1950</v>
      </c>
      <c r="F32" s="9" t="s">
        <v>21</v>
      </c>
      <c r="G32" s="10" t="n">
        <v>2025</v>
      </c>
      <c r="H32" s="10" t="n">
        <v>10</v>
      </c>
      <c r="I32" s="19" t="n">
        <v>31500</v>
      </c>
      <c r="J32" s="19" t="n">
        <v>35000</v>
      </c>
      <c r="K32" s="10" t="n">
        <v>1750</v>
      </c>
      <c r="L32" s="10" t="n">
        <v>378</v>
      </c>
      <c r="M32" s="10" t="n">
        <v>2</v>
      </c>
      <c r="N32" s="11" t="n">
        <v>8</v>
      </c>
      <c r="O32" s="18" t="s">
        <v>56</v>
      </c>
    </row>
    <row r="33" customFormat="false" ht="15" hidden="false" customHeight="false" outlineLevel="0" collapsed="false">
      <c r="A33" s="18" t="n">
        <v>141128415</v>
      </c>
      <c r="B33" s="10" t="n">
        <v>927</v>
      </c>
      <c r="C33" s="18" t="s">
        <v>43</v>
      </c>
      <c r="D33" s="15" t="s">
        <v>1951</v>
      </c>
      <c r="E33" s="9" t="s">
        <v>1952</v>
      </c>
      <c r="F33" s="9" t="s">
        <v>21</v>
      </c>
      <c r="G33" s="10" t="n">
        <v>2025</v>
      </c>
      <c r="H33" s="10" t="n">
        <v>10</v>
      </c>
      <c r="I33" s="19" t="n">
        <v>31500</v>
      </c>
      <c r="J33" s="19" t="n">
        <v>35000</v>
      </c>
      <c r="K33" s="10" t="n">
        <v>1750</v>
      </c>
      <c r="L33" s="10" t="n">
        <v>696</v>
      </c>
      <c r="M33" s="10" t="n">
        <v>4</v>
      </c>
      <c r="N33" s="11" t="n">
        <v>10</v>
      </c>
      <c r="O33" s="18" t="s">
        <v>56</v>
      </c>
    </row>
    <row r="34" customFormat="false" ht="15" hidden="false" customHeight="false" outlineLevel="0" collapsed="false">
      <c r="A34" s="18" t="n">
        <v>138231663</v>
      </c>
      <c r="B34" s="10" t="n">
        <v>945</v>
      </c>
      <c r="C34" s="18" t="s">
        <v>43</v>
      </c>
      <c r="D34" s="9" t="s">
        <v>1987</v>
      </c>
      <c r="E34" s="9" t="s">
        <v>1988</v>
      </c>
      <c r="F34" s="9" t="s">
        <v>21</v>
      </c>
      <c r="G34" s="10" t="n">
        <v>2024</v>
      </c>
      <c r="H34" s="10" t="n">
        <v>10</v>
      </c>
      <c r="I34" s="19" t="n">
        <v>25200</v>
      </c>
      <c r="J34" s="19" t="n">
        <v>28000</v>
      </c>
      <c r="K34" s="10" t="n">
        <v>1400</v>
      </c>
      <c r="L34" s="10" t="n">
        <v>384</v>
      </c>
      <c r="M34" s="10" t="n">
        <v>1</v>
      </c>
      <c r="N34" s="11" t="n">
        <v>6</v>
      </c>
      <c r="O34" s="18" t="s">
        <v>56</v>
      </c>
    </row>
    <row r="35" customFormat="false" ht="15" hidden="false" customHeight="false" outlineLevel="0" collapsed="false">
      <c r="A35" s="18" t="n">
        <v>135911922</v>
      </c>
      <c r="B35" s="10" t="n">
        <v>953</v>
      </c>
      <c r="C35" s="18" t="s">
        <v>43</v>
      </c>
      <c r="D35" s="9" t="s">
        <v>2002</v>
      </c>
      <c r="E35" s="9" t="s">
        <v>2003</v>
      </c>
      <c r="F35" s="9" t="s">
        <v>21</v>
      </c>
      <c r="G35" s="10" t="n">
        <v>2024</v>
      </c>
      <c r="H35" s="10" t="n">
        <v>10</v>
      </c>
      <c r="I35" s="19" t="n">
        <v>25200</v>
      </c>
      <c r="J35" s="19" t="n">
        <v>28000</v>
      </c>
      <c r="K35" s="10" t="n">
        <v>1400</v>
      </c>
      <c r="L35" s="10" t="n">
        <v>300</v>
      </c>
      <c r="M35" s="10" t="n">
        <v>0</v>
      </c>
      <c r="N35" s="11" t="n">
        <v>0</v>
      </c>
      <c r="O35" s="18" t="s">
        <v>56</v>
      </c>
    </row>
    <row r="36" customFormat="false" ht="15" hidden="false" customHeight="false" outlineLevel="0" collapsed="false">
      <c r="A36" s="18" t="n">
        <v>133290567</v>
      </c>
      <c r="B36" s="10" t="n">
        <v>966</v>
      </c>
      <c r="C36" s="18" t="s">
        <v>43</v>
      </c>
      <c r="D36" s="9" t="s">
        <v>2027</v>
      </c>
      <c r="E36" s="9" t="s">
        <v>2028</v>
      </c>
      <c r="F36" s="9" t="s">
        <v>21</v>
      </c>
      <c r="G36" s="10" t="n">
        <v>2024</v>
      </c>
      <c r="H36" s="10" t="n">
        <v>10</v>
      </c>
      <c r="I36" s="19" t="n">
        <v>24300</v>
      </c>
      <c r="J36" s="19" t="n">
        <v>27000</v>
      </c>
      <c r="K36" s="10" t="n">
        <v>1350</v>
      </c>
      <c r="L36" s="10" t="n">
        <v>852</v>
      </c>
      <c r="M36" s="10" t="n">
        <v>5</v>
      </c>
      <c r="N36" s="11" t="n">
        <v>10</v>
      </c>
      <c r="O36" s="18" t="s">
        <v>56</v>
      </c>
    </row>
    <row r="37" customFormat="false" ht="15" hidden="false" customHeight="false" outlineLevel="0" collapsed="false">
      <c r="A37" s="18" t="n">
        <v>130271536</v>
      </c>
      <c r="B37" s="10" t="n">
        <v>984</v>
      </c>
      <c r="C37" s="18" t="s">
        <v>43</v>
      </c>
      <c r="D37" s="9" t="s">
        <v>2062</v>
      </c>
      <c r="E37" s="9" t="s">
        <v>2063</v>
      </c>
      <c r="F37" s="9" t="s">
        <v>21</v>
      </c>
      <c r="G37" s="10" t="n">
        <v>2024</v>
      </c>
      <c r="H37" s="10" t="n">
        <v>10</v>
      </c>
      <c r="I37" s="19" t="n">
        <v>25200</v>
      </c>
      <c r="J37" s="19" t="n">
        <v>28000</v>
      </c>
      <c r="K37" s="10" t="n">
        <v>1400</v>
      </c>
      <c r="L37" s="10" t="n">
        <v>168</v>
      </c>
      <c r="M37" s="10" t="n">
        <v>5</v>
      </c>
      <c r="N37" s="11" t="n">
        <v>9.6</v>
      </c>
      <c r="O37" s="18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10.02"/>
    <col collapsed="false" customWidth="true" hidden="false" outlineLevel="0" max="2" min="2" style="0" width="9.18"/>
    <col collapsed="false" customWidth="true" hidden="false" outlineLevel="0" max="3" min="3" style="0" width="10.85"/>
    <col collapsed="false" customWidth="true" hidden="false" outlineLevel="0" max="4" min="4" style="0" width="35.89"/>
    <col collapsed="false" customWidth="true" hidden="false" outlineLevel="0" max="5" min="5" style="0" width="36.72"/>
    <col collapsed="false" customWidth="true" hidden="false" outlineLevel="0" max="6" min="6" style="0" width="10.02"/>
    <col collapsed="false" customWidth="true" hidden="false" outlineLevel="0" max="7" min="7" style="0" width="12.52"/>
    <col collapsed="false" customWidth="true" hidden="false" outlineLevel="0" max="8" min="8" style="0" width="13.35"/>
    <col collapsed="false" customWidth="true" hidden="false" outlineLevel="0" max="9" min="9" style="0" width="10.85"/>
    <col collapsed="false" customWidth="true" hidden="false" outlineLevel="0" max="10" min="10" style="0" width="14.19"/>
    <col collapsed="false" customWidth="true" hidden="false" outlineLevel="0" max="11" min="11" style="0" width="9.18"/>
    <col collapsed="false" customWidth="true" hidden="false" outlineLevel="0" max="12" min="12" style="0" width="10.85"/>
    <col collapsed="false" customWidth="true" hidden="false" outlineLevel="0" max="13" min="13" style="0" width="12.52"/>
    <col collapsed="false" customWidth="true" hidden="false" outlineLevel="0" max="14" min="14" style="0" width="9.18"/>
    <col collapsed="false" customWidth="true" hidden="false" outlineLevel="0" max="15" min="15" style="0" width="14.19"/>
  </cols>
  <sheetData>
    <row r="1" customFormat="false" ht="15" hidden="false" customHeight="false" outlineLevel="0" collapsed="false">
      <c r="A1" s="17" t="s">
        <v>28</v>
      </c>
      <c r="B1" s="17" t="s">
        <v>29</v>
      </c>
      <c r="C1" s="17" t="s">
        <v>30</v>
      </c>
      <c r="D1" s="17" t="s">
        <v>31</v>
      </c>
      <c r="E1" s="17" t="s">
        <v>32</v>
      </c>
      <c r="F1" s="17" t="s">
        <v>33</v>
      </c>
      <c r="G1" s="17" t="s">
        <v>34</v>
      </c>
      <c r="H1" s="17" t="s">
        <v>35</v>
      </c>
      <c r="I1" s="17" t="s">
        <v>36</v>
      </c>
      <c r="J1" s="17" t="s">
        <v>37</v>
      </c>
      <c r="K1" s="17" t="s">
        <v>38</v>
      </c>
      <c r="L1" s="17" t="s">
        <v>39</v>
      </c>
      <c r="M1" s="17" t="s">
        <v>40</v>
      </c>
      <c r="N1" s="17" t="s">
        <v>41</v>
      </c>
      <c r="O1" s="17" t="s">
        <v>42</v>
      </c>
    </row>
    <row r="2" customFormat="false" ht="15" hidden="false" customHeight="false" outlineLevel="0" collapsed="false">
      <c r="A2" s="18" t="n">
        <v>186939301</v>
      </c>
      <c r="B2" s="10" t="n">
        <v>182</v>
      </c>
      <c r="C2" s="18" t="s">
        <v>43</v>
      </c>
      <c r="D2" s="9" t="s">
        <v>441</v>
      </c>
      <c r="E2" s="9" t="s">
        <v>442</v>
      </c>
      <c r="F2" s="9" t="s">
        <v>23</v>
      </c>
      <c r="G2" s="10" t="n">
        <v>2026</v>
      </c>
      <c r="H2" s="10" t="n">
        <v>10</v>
      </c>
      <c r="I2" s="19" t="n">
        <v>16200</v>
      </c>
      <c r="J2" s="19" t="n">
        <v>18000</v>
      </c>
      <c r="K2" s="10" t="n">
        <v>900</v>
      </c>
      <c r="L2" s="10" t="n">
        <v>990</v>
      </c>
      <c r="M2" s="10" t="n">
        <v>19</v>
      </c>
      <c r="N2" s="11" t="n">
        <v>9.8</v>
      </c>
      <c r="O2" s="18" t="s">
        <v>56</v>
      </c>
    </row>
    <row r="3" customFormat="false" ht="15" hidden="false" customHeight="false" outlineLevel="0" collapsed="false">
      <c r="A3" s="18" t="n">
        <v>122535588</v>
      </c>
      <c r="B3" s="10" t="n">
        <v>211</v>
      </c>
      <c r="C3" s="18" t="s">
        <v>43</v>
      </c>
      <c r="D3" s="9" t="s">
        <v>500</v>
      </c>
      <c r="E3" s="9" t="s">
        <v>501</v>
      </c>
      <c r="F3" s="9" t="s">
        <v>23</v>
      </c>
      <c r="G3" s="10" t="n">
        <v>2023</v>
      </c>
      <c r="H3" s="10" t="n">
        <v>10</v>
      </c>
      <c r="I3" s="19" t="n">
        <v>20700</v>
      </c>
      <c r="J3" s="19" t="n">
        <v>23000</v>
      </c>
      <c r="K3" s="10" t="n">
        <v>1150</v>
      </c>
      <c r="L3" s="10" t="n">
        <v>1974</v>
      </c>
      <c r="M3" s="10" t="n">
        <v>16</v>
      </c>
      <c r="N3" s="11" t="n">
        <v>9.7</v>
      </c>
      <c r="O3" s="18" t="s">
        <v>56</v>
      </c>
    </row>
    <row r="4" customFormat="false" ht="15" hidden="false" customHeight="false" outlineLevel="0" collapsed="false">
      <c r="A4" s="18" t="n">
        <v>177288116</v>
      </c>
      <c r="B4" s="10" t="n">
        <v>226</v>
      </c>
      <c r="C4" s="18" t="s">
        <v>43</v>
      </c>
      <c r="D4" s="9" t="s">
        <v>533</v>
      </c>
      <c r="E4" s="9" t="s">
        <v>534</v>
      </c>
      <c r="F4" s="9" t="s">
        <v>23</v>
      </c>
      <c r="G4" s="10" t="n">
        <v>2026</v>
      </c>
      <c r="H4" s="10" t="n">
        <v>10</v>
      </c>
      <c r="I4" s="19" t="n">
        <v>28800</v>
      </c>
      <c r="J4" s="19" t="n">
        <v>32000</v>
      </c>
      <c r="K4" s="10" t="n">
        <v>1600</v>
      </c>
      <c r="L4" s="10" t="n">
        <v>1359</v>
      </c>
      <c r="M4" s="10" t="n">
        <v>18</v>
      </c>
      <c r="N4" s="11" t="n">
        <v>10</v>
      </c>
      <c r="O4" s="18" t="s">
        <v>56</v>
      </c>
    </row>
    <row r="5" customFormat="false" ht="15" hidden="false" customHeight="false" outlineLevel="0" collapsed="false">
      <c r="A5" s="18" t="n">
        <v>167459219</v>
      </c>
      <c r="B5" s="10" t="n">
        <v>263</v>
      </c>
      <c r="C5" s="18" t="s">
        <v>43</v>
      </c>
      <c r="D5" s="9" t="s">
        <v>611</v>
      </c>
      <c r="E5" s="9" t="s">
        <v>612</v>
      </c>
      <c r="F5" s="9" t="s">
        <v>23</v>
      </c>
      <c r="G5" s="10" t="n">
        <v>2025</v>
      </c>
      <c r="H5" s="10" t="n">
        <v>10</v>
      </c>
      <c r="I5" s="19" t="n">
        <v>19800</v>
      </c>
      <c r="J5" s="19" t="n">
        <v>22000</v>
      </c>
      <c r="K5" s="10" t="n">
        <v>1100</v>
      </c>
      <c r="L5" s="10" t="n">
        <v>1509</v>
      </c>
      <c r="M5" s="10" t="n">
        <v>6</v>
      </c>
      <c r="N5" s="11" t="n">
        <v>9.3</v>
      </c>
      <c r="O5" s="18" t="s">
        <v>56</v>
      </c>
    </row>
    <row r="6" customFormat="false" ht="15" hidden="false" customHeight="false" outlineLevel="0" collapsed="false">
      <c r="A6" s="18" t="n">
        <v>159171284</v>
      </c>
      <c r="B6" s="10" t="n">
        <v>272</v>
      </c>
      <c r="C6" s="18" t="s">
        <v>43</v>
      </c>
      <c r="D6" s="9" t="s">
        <v>630</v>
      </c>
      <c r="E6" s="9" t="s">
        <v>631</v>
      </c>
      <c r="F6" s="9" t="s">
        <v>23</v>
      </c>
      <c r="G6" s="10" t="n">
        <v>2025</v>
      </c>
      <c r="H6" s="10" t="n">
        <v>10</v>
      </c>
      <c r="I6" s="19" t="n">
        <v>25200</v>
      </c>
      <c r="J6" s="19" t="n">
        <v>28000</v>
      </c>
      <c r="K6" s="10" t="n">
        <v>1400</v>
      </c>
      <c r="L6" s="10" t="n">
        <v>1914</v>
      </c>
      <c r="M6" s="10" t="n">
        <v>22</v>
      </c>
      <c r="N6" s="11" t="n">
        <v>10</v>
      </c>
      <c r="O6" s="18" t="s">
        <v>56</v>
      </c>
    </row>
    <row r="7" customFormat="false" ht="15" hidden="false" customHeight="false" outlineLevel="0" collapsed="false">
      <c r="A7" s="18" t="n">
        <v>152443479</v>
      </c>
      <c r="B7" s="10" t="n">
        <v>279</v>
      </c>
      <c r="C7" s="18" t="s">
        <v>43</v>
      </c>
      <c r="D7" s="9" t="s">
        <v>644</v>
      </c>
      <c r="E7" s="9" t="s">
        <v>645</v>
      </c>
      <c r="F7" s="9" t="s">
        <v>23</v>
      </c>
      <c r="G7" s="10" t="n">
        <v>2025</v>
      </c>
      <c r="H7" s="10" t="n">
        <v>10</v>
      </c>
      <c r="I7" s="19" t="n">
        <v>27000</v>
      </c>
      <c r="J7" s="19" t="n">
        <v>30000</v>
      </c>
      <c r="K7" s="10" t="n">
        <v>1500</v>
      </c>
      <c r="L7" s="10" t="n">
        <v>2871</v>
      </c>
      <c r="M7" s="10" t="n">
        <v>13</v>
      </c>
      <c r="N7" s="11" t="n">
        <v>10</v>
      </c>
      <c r="O7" s="18" t="s">
        <v>56</v>
      </c>
    </row>
    <row r="8" customFormat="false" ht="15" hidden="false" customHeight="false" outlineLevel="0" collapsed="false">
      <c r="A8" s="18" t="n">
        <v>125483821</v>
      </c>
      <c r="B8" s="10" t="n">
        <v>305</v>
      </c>
      <c r="C8" s="18" t="s">
        <v>43</v>
      </c>
      <c r="D8" s="9" t="s">
        <v>695</v>
      </c>
      <c r="E8" s="15" t="s">
        <v>696</v>
      </c>
      <c r="F8" s="9" t="s">
        <v>23</v>
      </c>
      <c r="G8" s="10" t="n">
        <v>2024</v>
      </c>
      <c r="H8" s="10" t="n">
        <v>10</v>
      </c>
      <c r="I8" s="19" t="n">
        <v>22500</v>
      </c>
      <c r="J8" s="19" t="n">
        <v>25000</v>
      </c>
      <c r="K8" s="10" t="n">
        <v>1250</v>
      </c>
      <c r="L8" s="10" t="n">
        <v>1656</v>
      </c>
      <c r="M8" s="10" t="n">
        <v>19</v>
      </c>
      <c r="N8" s="11" t="n">
        <v>10</v>
      </c>
      <c r="O8" s="18" t="s">
        <v>56</v>
      </c>
    </row>
    <row r="9" customFormat="false" ht="15" hidden="false" customHeight="false" outlineLevel="0" collapsed="false">
      <c r="A9" s="18" t="n">
        <v>91071614</v>
      </c>
      <c r="B9" s="10" t="n">
        <v>327</v>
      </c>
      <c r="C9" s="18" t="s">
        <v>43</v>
      </c>
      <c r="D9" s="9" t="s">
        <v>738</v>
      </c>
      <c r="E9" s="9" t="s">
        <v>739</v>
      </c>
      <c r="F9" s="9" t="s">
        <v>23</v>
      </c>
      <c r="G9" s="10" t="n">
        <v>2020</v>
      </c>
      <c r="H9" s="10" t="n">
        <v>10</v>
      </c>
      <c r="I9" s="19" t="n">
        <v>17100</v>
      </c>
      <c r="J9" s="19" t="n">
        <v>19000</v>
      </c>
      <c r="K9" s="10" t="n">
        <v>950</v>
      </c>
      <c r="L9" s="10" t="n">
        <v>2952</v>
      </c>
      <c r="M9" s="10" t="n">
        <v>13</v>
      </c>
      <c r="N9" s="11" t="n">
        <v>10</v>
      </c>
      <c r="O9" s="18" t="s">
        <v>46</v>
      </c>
    </row>
    <row r="10" customFormat="false" ht="15" hidden="false" customHeight="false" outlineLevel="0" collapsed="false">
      <c r="A10" s="18" t="n">
        <v>190272030</v>
      </c>
      <c r="B10" s="10" t="n">
        <v>337</v>
      </c>
      <c r="C10" s="18" t="s">
        <v>43</v>
      </c>
      <c r="D10" s="9" t="s">
        <v>761</v>
      </c>
      <c r="E10" s="9" t="s">
        <v>762</v>
      </c>
      <c r="F10" s="9" t="s">
        <v>23</v>
      </c>
      <c r="G10" s="10" t="n">
        <v>2026</v>
      </c>
      <c r="H10" s="10" t="n">
        <v>10</v>
      </c>
      <c r="I10" s="19" t="n">
        <v>18000</v>
      </c>
      <c r="J10" s="19" t="n">
        <v>20000</v>
      </c>
      <c r="K10" s="10" t="n">
        <v>1000</v>
      </c>
      <c r="L10" s="10" t="n">
        <v>240</v>
      </c>
      <c r="M10" s="10" t="n">
        <v>0</v>
      </c>
      <c r="N10" s="11" t="n">
        <v>0</v>
      </c>
      <c r="O10" s="18" t="s">
        <v>56</v>
      </c>
    </row>
    <row r="11" customFormat="false" ht="15" hidden="false" customHeight="false" outlineLevel="0" collapsed="false">
      <c r="A11" s="18" t="n">
        <v>184272211</v>
      </c>
      <c r="B11" s="10" t="n">
        <v>368</v>
      </c>
      <c r="C11" s="18" t="s">
        <v>43</v>
      </c>
      <c r="D11" s="9" t="s">
        <v>827</v>
      </c>
      <c r="E11" s="15" t="s">
        <v>828</v>
      </c>
      <c r="F11" s="9" t="s">
        <v>23</v>
      </c>
      <c r="G11" s="10" t="n">
        <v>2026</v>
      </c>
      <c r="H11" s="10" t="n">
        <v>10</v>
      </c>
      <c r="I11" s="19" t="n">
        <v>25200</v>
      </c>
      <c r="J11" s="19" t="n">
        <v>28000</v>
      </c>
      <c r="K11" s="10" t="n">
        <v>1400</v>
      </c>
      <c r="L11" s="10" t="n">
        <v>540</v>
      </c>
      <c r="M11" s="10" t="n">
        <v>18</v>
      </c>
      <c r="N11" s="11" t="n">
        <v>10</v>
      </c>
      <c r="O11" s="18" t="s">
        <v>56</v>
      </c>
    </row>
    <row r="12" customFormat="false" ht="15" hidden="false" customHeight="false" outlineLevel="0" collapsed="false">
      <c r="A12" s="18" t="n">
        <v>174753625</v>
      </c>
      <c r="B12" s="10" t="n">
        <v>390</v>
      </c>
      <c r="C12" s="18" t="s">
        <v>43</v>
      </c>
      <c r="D12" s="9" t="s">
        <v>873</v>
      </c>
      <c r="E12" s="15" t="s">
        <v>874</v>
      </c>
      <c r="F12" s="9" t="s">
        <v>23</v>
      </c>
      <c r="G12" s="10" t="n">
        <v>2026</v>
      </c>
      <c r="H12" s="10" t="n">
        <v>10</v>
      </c>
      <c r="I12" s="19" t="n">
        <v>22500</v>
      </c>
      <c r="J12" s="19" t="n">
        <v>25000</v>
      </c>
      <c r="K12" s="10" t="n">
        <v>1250</v>
      </c>
      <c r="L12" s="10" t="n">
        <v>1224</v>
      </c>
      <c r="M12" s="10" t="n">
        <v>5</v>
      </c>
      <c r="N12" s="11" t="n">
        <v>10</v>
      </c>
      <c r="O12" s="18" t="s">
        <v>56</v>
      </c>
    </row>
    <row r="13" customFormat="false" ht="15" hidden="false" customHeight="false" outlineLevel="0" collapsed="false">
      <c r="A13" s="18" t="n">
        <v>155152306</v>
      </c>
      <c r="B13" s="10" t="n">
        <v>413</v>
      </c>
      <c r="C13" s="18" t="s">
        <v>43</v>
      </c>
      <c r="D13" s="9" t="s">
        <v>919</v>
      </c>
      <c r="E13" s="9" t="s">
        <v>920</v>
      </c>
      <c r="F13" s="9" t="s">
        <v>23</v>
      </c>
      <c r="G13" s="10" t="n">
        <v>2025</v>
      </c>
      <c r="H13" s="10" t="n">
        <v>10</v>
      </c>
      <c r="I13" s="19" t="n">
        <v>32400</v>
      </c>
      <c r="J13" s="19" t="n">
        <v>36000</v>
      </c>
      <c r="K13" s="10" t="n">
        <v>1800</v>
      </c>
      <c r="L13" s="10" t="n">
        <v>1932</v>
      </c>
      <c r="M13" s="10" t="n">
        <v>11</v>
      </c>
      <c r="N13" s="11" t="n">
        <v>10</v>
      </c>
      <c r="O13" s="18" t="s">
        <v>56</v>
      </c>
    </row>
    <row r="14" customFormat="false" ht="15" hidden="false" customHeight="false" outlineLevel="0" collapsed="false">
      <c r="A14" s="18" t="n">
        <v>144980037</v>
      </c>
      <c r="B14" s="10" t="n">
        <v>441</v>
      </c>
      <c r="C14" s="18" t="s">
        <v>43</v>
      </c>
      <c r="D14" s="9" t="s">
        <v>972</v>
      </c>
      <c r="E14" s="9" t="s">
        <v>973</v>
      </c>
      <c r="F14" s="9" t="s">
        <v>23</v>
      </c>
      <c r="G14" s="10" t="n">
        <v>2025</v>
      </c>
      <c r="H14" s="10" t="n">
        <v>10</v>
      </c>
      <c r="I14" s="19" t="n">
        <v>29700</v>
      </c>
      <c r="J14" s="19" t="n">
        <v>33000</v>
      </c>
      <c r="K14" s="10" t="n">
        <v>1650</v>
      </c>
      <c r="L14" s="10" t="n">
        <v>606</v>
      </c>
      <c r="M14" s="10" t="n">
        <v>11</v>
      </c>
      <c r="N14" s="11" t="n">
        <v>9.5</v>
      </c>
      <c r="O14" s="18" t="s">
        <v>56</v>
      </c>
    </row>
    <row r="15" customFormat="false" ht="15" hidden="false" customHeight="false" outlineLevel="0" collapsed="false">
      <c r="A15" s="18" t="n">
        <v>139859964</v>
      </c>
      <c r="B15" s="10" t="n">
        <v>461</v>
      </c>
      <c r="C15" s="18" t="s">
        <v>43</v>
      </c>
      <c r="D15" s="9" t="s">
        <v>1013</v>
      </c>
      <c r="E15" s="15" t="s">
        <v>696</v>
      </c>
      <c r="F15" s="9" t="s">
        <v>23</v>
      </c>
      <c r="G15" s="10" t="n">
        <v>2024</v>
      </c>
      <c r="H15" s="10" t="n">
        <v>10</v>
      </c>
      <c r="I15" s="19" t="n">
        <v>10800</v>
      </c>
      <c r="J15" s="19" t="n">
        <v>12000</v>
      </c>
      <c r="K15" s="10" t="n">
        <v>600</v>
      </c>
      <c r="L15" s="10" t="n">
        <v>1230</v>
      </c>
      <c r="M15" s="10" t="n">
        <v>5</v>
      </c>
      <c r="N15" s="11" t="n">
        <v>10</v>
      </c>
      <c r="O15" s="18" t="s">
        <v>56</v>
      </c>
    </row>
    <row r="16" customFormat="false" ht="15" hidden="false" customHeight="false" outlineLevel="0" collapsed="false">
      <c r="A16" s="18" t="n">
        <v>133873594</v>
      </c>
      <c r="B16" s="10" t="n">
        <v>472</v>
      </c>
      <c r="C16" s="18" t="s">
        <v>43</v>
      </c>
      <c r="D16" s="9" t="s">
        <v>1035</v>
      </c>
      <c r="E16" s="9" t="s">
        <v>1036</v>
      </c>
      <c r="F16" s="9" t="s">
        <v>23</v>
      </c>
      <c r="G16" s="10" t="n">
        <v>2024</v>
      </c>
      <c r="H16" s="10" t="n">
        <v>10</v>
      </c>
      <c r="I16" s="19" t="n">
        <v>19800</v>
      </c>
      <c r="J16" s="19" t="n">
        <v>22000</v>
      </c>
      <c r="K16" s="10" t="n">
        <v>1100</v>
      </c>
      <c r="L16" s="10" t="n">
        <v>1308</v>
      </c>
      <c r="M16" s="10" t="n">
        <v>21</v>
      </c>
      <c r="N16" s="11" t="n">
        <v>10</v>
      </c>
      <c r="O16" s="18" t="s">
        <v>56</v>
      </c>
    </row>
    <row r="17" customFormat="false" ht="15" hidden="false" customHeight="false" outlineLevel="0" collapsed="false">
      <c r="A17" s="18" t="n">
        <v>126285008</v>
      </c>
      <c r="B17" s="10" t="n">
        <v>488</v>
      </c>
      <c r="C17" s="18" t="s">
        <v>43</v>
      </c>
      <c r="D17" s="9" t="s">
        <v>1068</v>
      </c>
      <c r="E17" s="9" t="s">
        <v>1069</v>
      </c>
      <c r="F17" s="9" t="s">
        <v>23</v>
      </c>
      <c r="G17" s="10" t="n">
        <v>2024</v>
      </c>
      <c r="H17" s="10" t="n">
        <v>10</v>
      </c>
      <c r="I17" s="19" t="n">
        <v>19800</v>
      </c>
      <c r="J17" s="19" t="n">
        <v>22000</v>
      </c>
      <c r="K17" s="10" t="n">
        <v>1100</v>
      </c>
      <c r="L17" s="10" t="n">
        <v>1038</v>
      </c>
      <c r="M17" s="10" t="n">
        <v>18</v>
      </c>
      <c r="N17" s="11" t="n">
        <v>10</v>
      </c>
      <c r="O17" s="18" t="s">
        <v>56</v>
      </c>
    </row>
    <row r="18" customFormat="false" ht="15" hidden="false" customHeight="false" outlineLevel="0" collapsed="false">
      <c r="A18" s="18" t="n">
        <v>126037720</v>
      </c>
      <c r="B18" s="10" t="n">
        <v>492</v>
      </c>
      <c r="C18" s="18" t="s">
        <v>43</v>
      </c>
      <c r="D18" s="9" t="s">
        <v>1076</v>
      </c>
      <c r="E18" s="15" t="s">
        <v>696</v>
      </c>
      <c r="F18" s="9" t="s">
        <v>23</v>
      </c>
      <c r="G18" s="10" t="n">
        <v>2024</v>
      </c>
      <c r="H18" s="10" t="n">
        <v>10</v>
      </c>
      <c r="I18" s="19" t="n">
        <v>16200</v>
      </c>
      <c r="J18" s="19" t="n">
        <v>18000</v>
      </c>
      <c r="K18" s="10" t="n">
        <v>900</v>
      </c>
      <c r="L18" s="10" t="n">
        <v>4056</v>
      </c>
      <c r="M18" s="10" t="n">
        <v>23</v>
      </c>
      <c r="N18" s="11" t="n">
        <v>9.6</v>
      </c>
      <c r="O18" s="18" t="s">
        <v>56</v>
      </c>
    </row>
    <row r="19" customFormat="false" ht="15" hidden="false" customHeight="false" outlineLevel="0" collapsed="false">
      <c r="A19" s="18" t="n">
        <v>105281193</v>
      </c>
      <c r="B19" s="10" t="n">
        <v>543</v>
      </c>
      <c r="C19" s="18" t="s">
        <v>43</v>
      </c>
      <c r="D19" s="9" t="s">
        <v>1177</v>
      </c>
      <c r="E19" s="15" t="s">
        <v>696</v>
      </c>
      <c r="F19" s="9" t="s">
        <v>23</v>
      </c>
      <c r="G19" s="10" t="n">
        <v>2021</v>
      </c>
      <c r="H19" s="10" t="n">
        <v>10</v>
      </c>
      <c r="I19" s="19" t="n">
        <v>10800</v>
      </c>
      <c r="J19" s="19" t="n">
        <v>12000</v>
      </c>
      <c r="K19" s="10" t="n">
        <v>600</v>
      </c>
      <c r="L19" s="10" t="n">
        <v>1230</v>
      </c>
      <c r="M19" s="10" t="n">
        <v>23</v>
      </c>
      <c r="N19" s="11" t="n">
        <v>9.7</v>
      </c>
      <c r="O19" s="18" t="s">
        <v>56</v>
      </c>
    </row>
    <row r="20" customFormat="false" ht="15" hidden="false" customHeight="false" outlineLevel="0" collapsed="false">
      <c r="A20" s="18" t="n">
        <v>55226149</v>
      </c>
      <c r="B20" s="10" t="n">
        <v>570</v>
      </c>
      <c r="C20" s="18" t="s">
        <v>43</v>
      </c>
      <c r="D20" s="9" t="s">
        <v>1229</v>
      </c>
      <c r="E20" s="15" t="s">
        <v>1230</v>
      </c>
      <c r="F20" s="9" t="s">
        <v>23</v>
      </c>
      <c r="G20" s="10" t="n">
        <v>2017</v>
      </c>
      <c r="H20" s="10" t="n">
        <v>10</v>
      </c>
      <c r="I20" s="19" t="n">
        <v>10800</v>
      </c>
      <c r="J20" s="19" t="n">
        <v>12000</v>
      </c>
      <c r="K20" s="10" t="n">
        <v>600</v>
      </c>
      <c r="L20" s="10" t="n">
        <v>540</v>
      </c>
      <c r="M20" s="10" t="n">
        <v>12</v>
      </c>
      <c r="N20" s="11" t="n">
        <v>9.7</v>
      </c>
      <c r="O20" s="18" t="s">
        <v>56</v>
      </c>
    </row>
    <row r="21" customFormat="false" ht="15" hidden="false" customHeight="false" outlineLevel="0" collapsed="false">
      <c r="A21" s="18" t="n">
        <v>189628201</v>
      </c>
      <c r="B21" s="10" t="n">
        <v>576</v>
      </c>
      <c r="C21" s="18" t="s">
        <v>43</v>
      </c>
      <c r="D21" s="15" t="s">
        <v>1244</v>
      </c>
      <c r="E21" s="9" t="s">
        <v>1245</v>
      </c>
      <c r="F21" s="9" t="s">
        <v>23</v>
      </c>
      <c r="G21" s="10" t="n">
        <v>2026</v>
      </c>
      <c r="H21" s="10" t="n">
        <v>10</v>
      </c>
      <c r="I21" s="19" t="n">
        <v>32400</v>
      </c>
      <c r="J21" s="19" t="n">
        <v>36000</v>
      </c>
      <c r="K21" s="10" t="n">
        <v>1800</v>
      </c>
      <c r="L21" s="10" t="n">
        <v>534</v>
      </c>
      <c r="M21" s="10" t="n">
        <v>2</v>
      </c>
      <c r="N21" s="11" t="n">
        <v>10</v>
      </c>
      <c r="O21" s="18" t="s">
        <v>56</v>
      </c>
    </row>
    <row r="22" customFormat="false" ht="15" hidden="false" customHeight="false" outlineLevel="0" collapsed="false">
      <c r="A22" s="18" t="n">
        <v>189238126</v>
      </c>
      <c r="B22" s="10" t="n">
        <v>602</v>
      </c>
      <c r="C22" s="18" t="s">
        <v>43</v>
      </c>
      <c r="D22" s="9" t="s">
        <v>1299</v>
      </c>
      <c r="E22" s="9" t="s">
        <v>1300</v>
      </c>
      <c r="F22" s="9" t="s">
        <v>23</v>
      </c>
      <c r="G22" s="10" t="n">
        <v>2026</v>
      </c>
      <c r="H22" s="10" t="n">
        <v>10</v>
      </c>
      <c r="I22" s="19" t="n">
        <v>22500</v>
      </c>
      <c r="J22" s="19" t="n">
        <v>25000</v>
      </c>
      <c r="K22" s="10" t="n">
        <v>1250</v>
      </c>
      <c r="L22" s="10" t="n">
        <v>522</v>
      </c>
      <c r="M22" s="10" t="n">
        <v>12</v>
      </c>
      <c r="N22" s="11" t="n">
        <v>10</v>
      </c>
      <c r="O22" s="18" t="s">
        <v>56</v>
      </c>
    </row>
    <row r="23" customFormat="false" ht="15" hidden="false" customHeight="false" outlineLevel="0" collapsed="false">
      <c r="A23" s="18" t="n">
        <v>183563868</v>
      </c>
      <c r="B23" s="10" t="n">
        <v>633</v>
      </c>
      <c r="C23" s="18" t="s">
        <v>43</v>
      </c>
      <c r="D23" s="9" t="s">
        <v>1366</v>
      </c>
      <c r="E23" s="9" t="s">
        <v>1367</v>
      </c>
      <c r="F23" s="9" t="s">
        <v>23</v>
      </c>
      <c r="G23" s="10" t="n">
        <v>2026</v>
      </c>
      <c r="H23" s="10" t="n">
        <v>10</v>
      </c>
      <c r="I23" s="19" t="n">
        <v>12600</v>
      </c>
      <c r="J23" s="19" t="n">
        <v>14000</v>
      </c>
      <c r="K23" s="10" t="n">
        <v>700</v>
      </c>
      <c r="L23" s="10" t="n">
        <v>348</v>
      </c>
      <c r="M23" s="10" t="n">
        <v>1</v>
      </c>
      <c r="N23" s="11" t="n">
        <v>10</v>
      </c>
      <c r="O23" s="18" t="s">
        <v>56</v>
      </c>
    </row>
    <row r="24" customFormat="false" ht="15" hidden="false" customHeight="false" outlineLevel="0" collapsed="false">
      <c r="A24" s="18" t="n">
        <v>175558676</v>
      </c>
      <c r="B24" s="10" t="n">
        <v>692</v>
      </c>
      <c r="C24" s="18" t="s">
        <v>43</v>
      </c>
      <c r="D24" s="9" t="s">
        <v>1481</v>
      </c>
      <c r="E24" s="15" t="s">
        <v>874</v>
      </c>
      <c r="F24" s="9" t="s">
        <v>23</v>
      </c>
      <c r="G24" s="10" t="n">
        <v>2026</v>
      </c>
      <c r="H24" s="10" t="n">
        <v>10</v>
      </c>
      <c r="I24" s="19" t="n">
        <v>15300</v>
      </c>
      <c r="J24" s="19" t="n">
        <v>17000</v>
      </c>
      <c r="K24" s="10" t="n">
        <v>850</v>
      </c>
      <c r="L24" s="10" t="n">
        <v>516</v>
      </c>
      <c r="M24" s="10" t="n">
        <v>7</v>
      </c>
      <c r="N24" s="11" t="n">
        <v>10</v>
      </c>
      <c r="O24" s="18" t="s">
        <v>56</v>
      </c>
    </row>
    <row r="25" customFormat="false" ht="15" hidden="false" customHeight="false" outlineLevel="0" collapsed="false">
      <c r="A25" s="18" t="n">
        <v>175392034</v>
      </c>
      <c r="B25" s="10" t="n">
        <v>693</v>
      </c>
      <c r="C25" s="18" t="s">
        <v>43</v>
      </c>
      <c r="D25" s="9" t="s">
        <v>1482</v>
      </c>
      <c r="E25" s="9" t="s">
        <v>1483</v>
      </c>
      <c r="F25" s="9" t="s">
        <v>23</v>
      </c>
      <c r="G25" s="10" t="n">
        <v>2026</v>
      </c>
      <c r="H25" s="10" t="n">
        <v>10</v>
      </c>
      <c r="I25" s="19" t="n">
        <v>15300</v>
      </c>
      <c r="J25" s="19" t="n">
        <v>17000</v>
      </c>
      <c r="K25" s="10" t="n">
        <v>850</v>
      </c>
      <c r="L25" s="10" t="n">
        <v>390</v>
      </c>
      <c r="M25" s="10" t="n">
        <v>10</v>
      </c>
      <c r="N25" s="11" t="n">
        <v>9.6</v>
      </c>
      <c r="O25" s="18" t="s">
        <v>56</v>
      </c>
    </row>
    <row r="26" customFormat="false" ht="15" hidden="false" customHeight="false" outlineLevel="0" collapsed="false">
      <c r="A26" s="18" t="n">
        <v>168430324</v>
      </c>
      <c r="B26" s="10" t="n">
        <v>716</v>
      </c>
      <c r="C26" s="18" t="s">
        <v>43</v>
      </c>
      <c r="D26" s="9" t="s">
        <v>1529</v>
      </c>
      <c r="E26" s="9" t="s">
        <v>1530</v>
      </c>
      <c r="F26" s="9" t="s">
        <v>23</v>
      </c>
      <c r="G26" s="10" t="n">
        <v>2025</v>
      </c>
      <c r="H26" s="10" t="n">
        <v>10</v>
      </c>
      <c r="I26" s="19" t="n">
        <v>12600</v>
      </c>
      <c r="J26" s="19" t="n">
        <v>14000</v>
      </c>
      <c r="K26" s="10" t="n">
        <v>700</v>
      </c>
      <c r="L26" s="10" t="n">
        <v>222</v>
      </c>
      <c r="M26" s="10" t="n">
        <v>0</v>
      </c>
      <c r="N26" s="11" t="n">
        <v>0</v>
      </c>
      <c r="O26" s="18" t="s">
        <v>56</v>
      </c>
    </row>
    <row r="27" customFormat="false" ht="15" hidden="false" customHeight="false" outlineLevel="0" collapsed="false">
      <c r="A27" s="18" t="n">
        <v>168396615</v>
      </c>
      <c r="B27" s="10" t="n">
        <v>717</v>
      </c>
      <c r="C27" s="18" t="s">
        <v>43</v>
      </c>
      <c r="D27" s="15" t="s">
        <v>1531</v>
      </c>
      <c r="E27" s="9" t="s">
        <v>1532</v>
      </c>
      <c r="F27" s="9" t="s">
        <v>23</v>
      </c>
      <c r="G27" s="10" t="n">
        <v>2025</v>
      </c>
      <c r="H27" s="10" t="n">
        <v>10</v>
      </c>
      <c r="I27" s="19" t="n">
        <v>19800</v>
      </c>
      <c r="J27" s="19" t="n">
        <v>22000</v>
      </c>
      <c r="K27" s="10" t="n">
        <v>1100</v>
      </c>
      <c r="L27" s="10" t="n">
        <v>1164</v>
      </c>
      <c r="M27" s="10" t="n">
        <v>3</v>
      </c>
      <c r="N27" s="11" t="n">
        <v>10</v>
      </c>
      <c r="O27" s="18" t="s">
        <v>56</v>
      </c>
    </row>
    <row r="28" customFormat="false" ht="15" hidden="false" customHeight="false" outlineLevel="0" collapsed="false">
      <c r="A28" s="18" t="n">
        <v>167459218</v>
      </c>
      <c r="B28" s="10" t="n">
        <v>728</v>
      </c>
      <c r="C28" s="18" t="s">
        <v>43</v>
      </c>
      <c r="D28" s="9" t="s">
        <v>1553</v>
      </c>
      <c r="E28" s="9" t="s">
        <v>1554</v>
      </c>
      <c r="F28" s="9" t="s">
        <v>23</v>
      </c>
      <c r="G28" s="10" t="n">
        <v>2025</v>
      </c>
      <c r="H28" s="10" t="n">
        <v>10</v>
      </c>
      <c r="I28" s="19" t="n">
        <v>31500</v>
      </c>
      <c r="J28" s="19" t="n">
        <v>35000</v>
      </c>
      <c r="K28" s="10" t="n">
        <v>1750</v>
      </c>
      <c r="L28" s="10" t="n">
        <v>612</v>
      </c>
      <c r="M28" s="10" t="n">
        <v>16</v>
      </c>
      <c r="N28" s="11" t="n">
        <v>9.9</v>
      </c>
      <c r="O28" s="18" t="s">
        <v>56</v>
      </c>
    </row>
    <row r="29" customFormat="false" ht="15" hidden="false" customHeight="false" outlineLevel="0" collapsed="false">
      <c r="A29" s="18" t="n">
        <v>153848263</v>
      </c>
      <c r="B29" s="10" t="n">
        <v>764</v>
      </c>
      <c r="C29" s="18" t="s">
        <v>43</v>
      </c>
      <c r="D29" s="9" t="s">
        <v>1627</v>
      </c>
      <c r="E29" s="9" t="s">
        <v>1628</v>
      </c>
      <c r="F29" s="9" t="s">
        <v>23</v>
      </c>
      <c r="G29" s="10" t="n">
        <v>2025</v>
      </c>
      <c r="H29" s="10" t="n">
        <v>10</v>
      </c>
      <c r="I29" s="19" t="n">
        <v>18000</v>
      </c>
      <c r="J29" s="19" t="n">
        <v>20000</v>
      </c>
      <c r="K29" s="10" t="n">
        <v>1000</v>
      </c>
      <c r="L29" s="10" t="n">
        <v>1128</v>
      </c>
      <c r="M29" s="10" t="n">
        <v>14</v>
      </c>
      <c r="N29" s="11" t="n">
        <v>9.9</v>
      </c>
      <c r="O29" s="18" t="s">
        <v>56</v>
      </c>
    </row>
    <row r="30" customFormat="false" ht="15" hidden="false" customHeight="false" outlineLevel="0" collapsed="false">
      <c r="A30" s="18" t="n">
        <v>148350160</v>
      </c>
      <c r="B30" s="10" t="n">
        <v>820</v>
      </c>
      <c r="C30" s="18" t="s">
        <v>43</v>
      </c>
      <c r="D30" s="15" t="s">
        <v>1737</v>
      </c>
      <c r="E30" s="9" t="s">
        <v>1738</v>
      </c>
      <c r="F30" s="9" t="s">
        <v>23</v>
      </c>
      <c r="G30" s="10" t="n">
        <v>2025</v>
      </c>
      <c r="H30" s="10" t="n">
        <v>10</v>
      </c>
      <c r="I30" s="19" t="n">
        <v>19800</v>
      </c>
      <c r="J30" s="19" t="n">
        <v>22000</v>
      </c>
      <c r="K30" s="10" t="n">
        <v>1100</v>
      </c>
      <c r="L30" s="10" t="n">
        <v>3414</v>
      </c>
      <c r="M30" s="10" t="n">
        <v>8</v>
      </c>
      <c r="N30" s="11" t="n">
        <v>9.5</v>
      </c>
      <c r="O30" s="18" t="s">
        <v>56</v>
      </c>
    </row>
    <row r="31" customFormat="false" ht="15" hidden="false" customHeight="false" outlineLevel="0" collapsed="false">
      <c r="A31" s="18" t="n">
        <v>148062602</v>
      </c>
      <c r="B31" s="10" t="n">
        <v>829</v>
      </c>
      <c r="C31" s="18" t="s">
        <v>43</v>
      </c>
      <c r="D31" s="9" t="s">
        <v>1753</v>
      </c>
      <c r="E31" s="9" t="s">
        <v>1754</v>
      </c>
      <c r="F31" s="9" t="s">
        <v>23</v>
      </c>
      <c r="G31" s="10" t="n">
        <v>2025</v>
      </c>
      <c r="H31" s="10" t="n">
        <v>10</v>
      </c>
      <c r="I31" s="19" t="n">
        <v>34200</v>
      </c>
      <c r="J31" s="19" t="n">
        <v>38000</v>
      </c>
      <c r="K31" s="10" t="n">
        <v>1900</v>
      </c>
      <c r="L31" s="10" t="n">
        <v>768</v>
      </c>
      <c r="M31" s="10" t="n">
        <v>13</v>
      </c>
      <c r="N31" s="11" t="n">
        <v>10</v>
      </c>
      <c r="O31" s="18" t="s">
        <v>46</v>
      </c>
    </row>
    <row r="32" customFormat="false" ht="15" hidden="false" customHeight="false" outlineLevel="0" collapsed="false">
      <c r="A32" s="18" t="n">
        <v>147129792</v>
      </c>
      <c r="B32" s="10" t="n">
        <v>842</v>
      </c>
      <c r="C32" s="18" t="s">
        <v>43</v>
      </c>
      <c r="D32" s="9" t="s">
        <v>1779</v>
      </c>
      <c r="E32" s="9" t="s">
        <v>1780</v>
      </c>
      <c r="F32" s="9" t="s">
        <v>23</v>
      </c>
      <c r="G32" s="10" t="n">
        <v>2025</v>
      </c>
      <c r="H32" s="10" t="n">
        <v>10</v>
      </c>
      <c r="I32" s="19" t="n">
        <v>19800</v>
      </c>
      <c r="J32" s="19" t="n">
        <v>22000</v>
      </c>
      <c r="K32" s="10" t="n">
        <v>1100</v>
      </c>
      <c r="L32" s="10" t="n">
        <v>1146</v>
      </c>
      <c r="M32" s="10" t="n">
        <v>14</v>
      </c>
      <c r="N32" s="11" t="n">
        <v>10</v>
      </c>
      <c r="O32" s="18" t="s">
        <v>56</v>
      </c>
    </row>
    <row r="33" customFormat="false" ht="15" hidden="false" customHeight="false" outlineLevel="0" collapsed="false">
      <c r="A33" s="18" t="n">
        <v>147103661</v>
      </c>
      <c r="B33" s="10" t="n">
        <v>844</v>
      </c>
      <c r="C33" s="18" t="s">
        <v>43</v>
      </c>
      <c r="D33" s="9" t="s">
        <v>1783</v>
      </c>
      <c r="E33" s="9" t="s">
        <v>1784</v>
      </c>
      <c r="F33" s="9" t="s">
        <v>23</v>
      </c>
      <c r="G33" s="10" t="n">
        <v>2025</v>
      </c>
      <c r="H33" s="10" t="n">
        <v>10</v>
      </c>
      <c r="I33" s="19" t="n">
        <v>18000</v>
      </c>
      <c r="J33" s="19" t="n">
        <v>20000</v>
      </c>
      <c r="K33" s="10" t="n">
        <v>1000</v>
      </c>
      <c r="L33" s="10" t="n">
        <v>2637</v>
      </c>
      <c r="M33" s="10" t="n">
        <v>9</v>
      </c>
      <c r="N33" s="11" t="n">
        <v>10</v>
      </c>
      <c r="O33" s="18" t="s">
        <v>56</v>
      </c>
    </row>
    <row r="34" customFormat="false" ht="15" hidden="false" customHeight="false" outlineLevel="0" collapsed="false">
      <c r="A34" s="18" t="n">
        <v>146965812</v>
      </c>
      <c r="B34" s="10" t="n">
        <v>849</v>
      </c>
      <c r="C34" s="18" t="s">
        <v>43</v>
      </c>
      <c r="D34" s="9" t="s">
        <v>1791</v>
      </c>
      <c r="E34" s="9" t="s">
        <v>1121</v>
      </c>
      <c r="F34" s="9" t="s">
        <v>23</v>
      </c>
      <c r="G34" s="10" t="n">
        <v>2025</v>
      </c>
      <c r="H34" s="10" t="n">
        <v>10</v>
      </c>
      <c r="I34" s="19" t="n">
        <v>21600</v>
      </c>
      <c r="J34" s="19" t="n">
        <v>24000</v>
      </c>
      <c r="K34" s="10" t="n">
        <v>1200</v>
      </c>
      <c r="L34" s="10" t="n">
        <v>810</v>
      </c>
      <c r="M34" s="10" t="n">
        <v>8</v>
      </c>
      <c r="N34" s="11" t="n">
        <v>10</v>
      </c>
      <c r="O34" s="18" t="s">
        <v>56</v>
      </c>
    </row>
    <row r="35" customFormat="false" ht="15" hidden="false" customHeight="false" outlineLevel="0" collapsed="false">
      <c r="A35" s="18" t="n">
        <v>145011592</v>
      </c>
      <c r="B35" s="10" t="n">
        <v>876</v>
      </c>
      <c r="C35" s="18" t="s">
        <v>43</v>
      </c>
      <c r="D35" s="9" t="s">
        <v>1846</v>
      </c>
      <c r="E35" s="9" t="s">
        <v>1847</v>
      </c>
      <c r="F35" s="9" t="s">
        <v>23</v>
      </c>
      <c r="G35" s="10" t="n">
        <v>2025</v>
      </c>
      <c r="H35" s="10" t="n">
        <v>10</v>
      </c>
      <c r="I35" s="19" t="n">
        <v>27000</v>
      </c>
      <c r="J35" s="19" t="n">
        <v>30000</v>
      </c>
      <c r="K35" s="10" t="n">
        <v>1500</v>
      </c>
      <c r="L35" s="10" t="n">
        <v>420</v>
      </c>
      <c r="M35" s="10" t="n">
        <v>11</v>
      </c>
      <c r="N35" s="11" t="n">
        <v>9.5</v>
      </c>
      <c r="O35" s="18" t="s">
        <v>56</v>
      </c>
    </row>
    <row r="36" customFormat="false" ht="15" hidden="false" customHeight="false" outlineLevel="0" collapsed="false">
      <c r="A36" s="18" t="n">
        <v>133202481</v>
      </c>
      <c r="B36" s="10" t="n">
        <v>969</v>
      </c>
      <c r="C36" s="18" t="s">
        <v>43</v>
      </c>
      <c r="D36" s="9" t="s">
        <v>2033</v>
      </c>
      <c r="E36" s="9" t="s">
        <v>2034</v>
      </c>
      <c r="F36" s="9" t="s">
        <v>23</v>
      </c>
      <c r="G36" s="10" t="n">
        <v>2024</v>
      </c>
      <c r="H36" s="10" t="n">
        <v>10</v>
      </c>
      <c r="I36" s="19" t="n">
        <v>28800</v>
      </c>
      <c r="J36" s="19" t="n">
        <v>32000</v>
      </c>
      <c r="K36" s="10" t="n">
        <v>1600</v>
      </c>
      <c r="L36" s="10" t="n">
        <v>780</v>
      </c>
      <c r="M36" s="10" t="n">
        <v>2</v>
      </c>
      <c r="N36" s="11" t="n">
        <v>10</v>
      </c>
      <c r="O36" s="18" t="s">
        <v>56</v>
      </c>
    </row>
    <row r="37" customFormat="false" ht="15" hidden="false" customHeight="false" outlineLevel="0" collapsed="false">
      <c r="A37" s="18" t="n">
        <v>129587785</v>
      </c>
      <c r="B37" s="10" t="n">
        <v>990</v>
      </c>
      <c r="C37" s="18" t="s">
        <v>43</v>
      </c>
      <c r="D37" s="9" t="s">
        <v>2071</v>
      </c>
      <c r="E37" s="9" t="s">
        <v>2072</v>
      </c>
      <c r="F37" s="9" t="s">
        <v>23</v>
      </c>
      <c r="G37" s="10" t="n">
        <v>2024</v>
      </c>
      <c r="H37" s="10" t="n">
        <v>10</v>
      </c>
      <c r="I37" s="19" t="n">
        <v>39600</v>
      </c>
      <c r="J37" s="19" t="n">
        <v>44000</v>
      </c>
      <c r="K37" s="10" t="n">
        <v>2200</v>
      </c>
      <c r="L37" s="10" t="n">
        <v>216</v>
      </c>
      <c r="M37" s="10" t="n">
        <v>20</v>
      </c>
      <c r="N37" s="11" t="n">
        <v>9.7</v>
      </c>
      <c r="O37" s="18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10.02"/>
    <col collapsed="false" customWidth="true" hidden="false" outlineLevel="0" max="2" min="2" style="0" width="9.18"/>
    <col collapsed="false" customWidth="true" hidden="false" outlineLevel="0" max="3" min="3" style="0" width="10.85"/>
    <col collapsed="false" customWidth="true" hidden="false" outlineLevel="0" max="4" min="4" style="0" width="85.96"/>
    <col collapsed="false" customWidth="true" hidden="false" outlineLevel="0" max="5" min="5" style="0" width="98.48"/>
    <col collapsed="false" customWidth="true" hidden="false" outlineLevel="0" max="6" min="6" style="0" width="15.86"/>
    <col collapsed="false" customWidth="true" hidden="false" outlineLevel="0" max="7" min="7" style="0" width="12.52"/>
    <col collapsed="false" customWidth="true" hidden="false" outlineLevel="0" max="8" min="8" style="0" width="13.35"/>
    <col collapsed="false" customWidth="true" hidden="false" outlineLevel="0" max="9" min="9" style="0" width="10.85"/>
    <col collapsed="false" customWidth="true" hidden="false" outlineLevel="0" max="10" min="10" style="0" width="14.19"/>
    <col collapsed="false" customWidth="true" hidden="false" outlineLevel="0" max="11" min="11" style="0" width="9.18"/>
    <col collapsed="false" customWidth="true" hidden="false" outlineLevel="0" max="12" min="12" style="0" width="10.85"/>
    <col collapsed="false" customWidth="true" hidden="false" outlineLevel="0" max="13" min="13" style="0" width="12.52"/>
    <col collapsed="false" customWidth="true" hidden="false" outlineLevel="0" max="14" min="14" style="0" width="9.18"/>
    <col collapsed="false" customWidth="true" hidden="false" outlineLevel="0" max="15" min="15" style="0" width="14.19"/>
  </cols>
  <sheetData>
    <row r="1" customFormat="false" ht="15" hidden="false" customHeight="false" outlineLevel="0" collapsed="false">
      <c r="A1" s="17" t="s">
        <v>28</v>
      </c>
      <c r="B1" s="17" t="s">
        <v>29</v>
      </c>
      <c r="C1" s="17" t="s">
        <v>30</v>
      </c>
      <c r="D1" s="17" t="s">
        <v>31</v>
      </c>
      <c r="E1" s="17" t="s">
        <v>32</v>
      </c>
      <c r="F1" s="17" t="s">
        <v>33</v>
      </c>
      <c r="G1" s="17" t="s">
        <v>34</v>
      </c>
      <c r="H1" s="17" t="s">
        <v>35</v>
      </c>
      <c r="I1" s="17" t="s">
        <v>36</v>
      </c>
      <c r="J1" s="17" t="s">
        <v>37</v>
      </c>
      <c r="K1" s="17" t="s">
        <v>38</v>
      </c>
      <c r="L1" s="17" t="s">
        <v>39</v>
      </c>
      <c r="M1" s="17" t="s">
        <v>40</v>
      </c>
      <c r="N1" s="17" t="s">
        <v>41</v>
      </c>
      <c r="O1" s="17" t="s">
        <v>42</v>
      </c>
    </row>
    <row r="2" customFormat="false" ht="15" hidden="false" customHeight="false" outlineLevel="0" collapsed="false">
      <c r="A2" s="18" t="n">
        <v>189211422</v>
      </c>
      <c r="B2" s="10" t="n">
        <v>3</v>
      </c>
      <c r="C2" s="18" t="s">
        <v>43</v>
      </c>
      <c r="D2" s="9" t="s">
        <v>49</v>
      </c>
      <c r="E2" s="15" t="s">
        <v>50</v>
      </c>
      <c r="F2" s="9" t="s">
        <v>51</v>
      </c>
      <c r="G2" s="10" t="n">
        <v>2026</v>
      </c>
      <c r="H2" s="10" t="n">
        <v>10</v>
      </c>
      <c r="I2" s="19" t="n">
        <v>29700</v>
      </c>
      <c r="J2" s="19" t="n">
        <v>33000</v>
      </c>
      <c r="K2" s="10" t="n">
        <v>1650</v>
      </c>
      <c r="L2" s="10" t="n">
        <v>22863</v>
      </c>
      <c r="M2" s="10" t="n">
        <v>11</v>
      </c>
      <c r="N2" s="11" t="n">
        <v>10</v>
      </c>
      <c r="O2" s="18" t="s">
        <v>46</v>
      </c>
    </row>
    <row r="3" customFormat="false" ht="15" hidden="false" customHeight="false" outlineLevel="0" collapsed="false">
      <c r="A3" s="18" t="n">
        <v>189212536</v>
      </c>
      <c r="B3" s="10" t="n">
        <v>7</v>
      </c>
      <c r="C3" s="18" t="s">
        <v>43</v>
      </c>
      <c r="D3" s="9" t="s">
        <v>59</v>
      </c>
      <c r="E3" s="9" t="s">
        <v>60</v>
      </c>
      <c r="F3" s="9" t="s">
        <v>61</v>
      </c>
      <c r="G3" s="10" t="n">
        <v>2026</v>
      </c>
      <c r="H3" s="10" t="n">
        <v>10</v>
      </c>
      <c r="I3" s="19" t="n">
        <v>18000</v>
      </c>
      <c r="J3" s="19" t="n">
        <v>20000</v>
      </c>
      <c r="K3" s="10" t="n">
        <v>1000</v>
      </c>
      <c r="L3" s="10" t="n">
        <v>9162</v>
      </c>
      <c r="M3" s="10" t="n">
        <v>0</v>
      </c>
      <c r="N3" s="11" t="n">
        <v>0</v>
      </c>
      <c r="O3" s="18" t="s">
        <v>56</v>
      </c>
    </row>
    <row r="4" customFormat="false" ht="15" hidden="false" customHeight="false" outlineLevel="0" collapsed="false">
      <c r="A4" s="18" t="n">
        <v>169849422</v>
      </c>
      <c r="B4" s="10" t="n">
        <v>8</v>
      </c>
      <c r="C4" s="18" t="s">
        <v>43</v>
      </c>
      <c r="D4" s="9" t="s">
        <v>62</v>
      </c>
      <c r="E4" s="9" t="s">
        <v>63</v>
      </c>
      <c r="F4" s="9" t="s">
        <v>64</v>
      </c>
      <c r="G4" s="10" t="n">
        <v>2025</v>
      </c>
      <c r="H4" s="10" t="n">
        <v>10</v>
      </c>
      <c r="I4" s="19" t="n">
        <v>17820</v>
      </c>
      <c r="J4" s="19" t="n">
        <v>19800</v>
      </c>
      <c r="K4" s="10" t="n">
        <v>990</v>
      </c>
      <c r="L4" s="10" t="n">
        <v>37359</v>
      </c>
      <c r="M4" s="10" t="n">
        <v>92</v>
      </c>
      <c r="N4" s="11" t="n">
        <v>10</v>
      </c>
      <c r="O4" s="18" t="s">
        <v>56</v>
      </c>
    </row>
    <row r="5" customFormat="false" ht="15" hidden="false" customHeight="false" outlineLevel="0" collapsed="false">
      <c r="A5" s="18" t="n">
        <v>150566390</v>
      </c>
      <c r="B5" s="10" t="n">
        <v>9</v>
      </c>
      <c r="C5" s="18" t="s">
        <v>43</v>
      </c>
      <c r="D5" s="15" t="s">
        <v>65</v>
      </c>
      <c r="E5" s="9" t="s">
        <v>66</v>
      </c>
      <c r="F5" s="9" t="s">
        <v>67</v>
      </c>
      <c r="G5" s="10" t="n">
        <v>2025</v>
      </c>
      <c r="H5" s="10" t="n">
        <v>10</v>
      </c>
      <c r="I5" s="19" t="n">
        <v>24300</v>
      </c>
      <c r="J5" s="19" t="n">
        <v>27000</v>
      </c>
      <c r="K5" s="10" t="n">
        <v>1350</v>
      </c>
      <c r="L5" s="10" t="n">
        <v>68448</v>
      </c>
      <c r="M5" s="10" t="n">
        <v>60</v>
      </c>
      <c r="N5" s="11" t="n">
        <v>9.5</v>
      </c>
      <c r="O5" s="18" t="s">
        <v>46</v>
      </c>
    </row>
    <row r="6" customFormat="false" ht="15" hidden="false" customHeight="false" outlineLevel="0" collapsed="false">
      <c r="A6" s="18" t="n">
        <v>185897982</v>
      </c>
      <c r="B6" s="10" t="n">
        <v>13</v>
      </c>
      <c r="C6" s="18" t="s">
        <v>43</v>
      </c>
      <c r="D6" s="9" t="s">
        <v>74</v>
      </c>
      <c r="E6" s="9" t="s">
        <v>75</v>
      </c>
      <c r="F6" s="9" t="s">
        <v>76</v>
      </c>
      <c r="G6" s="10" t="n">
        <v>2026</v>
      </c>
      <c r="H6" s="10" t="n">
        <v>10</v>
      </c>
      <c r="I6" s="19" t="n">
        <v>21600</v>
      </c>
      <c r="J6" s="19" t="n">
        <v>24000</v>
      </c>
      <c r="K6" s="10" t="n">
        <v>1200</v>
      </c>
      <c r="L6" s="10" t="n">
        <v>18243</v>
      </c>
      <c r="M6" s="10" t="n">
        <v>17</v>
      </c>
      <c r="N6" s="11" t="n">
        <v>10</v>
      </c>
      <c r="O6" s="18" t="s">
        <v>46</v>
      </c>
    </row>
    <row r="7" customFormat="false" ht="15" hidden="false" customHeight="false" outlineLevel="0" collapsed="false">
      <c r="A7" s="18" t="n">
        <v>187927629</v>
      </c>
      <c r="B7" s="10" t="n">
        <v>15</v>
      </c>
      <c r="C7" s="18" t="s">
        <v>43</v>
      </c>
      <c r="D7" s="15" t="s">
        <v>79</v>
      </c>
      <c r="E7" s="9" t="s">
        <v>80</v>
      </c>
      <c r="F7" s="9" t="s">
        <v>81</v>
      </c>
      <c r="G7" s="10" t="n">
        <v>2026</v>
      </c>
      <c r="H7" s="10" t="n">
        <v>10</v>
      </c>
      <c r="I7" s="19" t="n">
        <v>19800</v>
      </c>
      <c r="J7" s="19" t="n">
        <v>22000</v>
      </c>
      <c r="K7" s="10" t="n">
        <v>1100</v>
      </c>
      <c r="L7" s="10" t="n">
        <v>10116</v>
      </c>
      <c r="M7" s="10" t="n">
        <v>12</v>
      </c>
      <c r="N7" s="11" t="n">
        <v>9.7</v>
      </c>
      <c r="O7" s="18" t="s">
        <v>56</v>
      </c>
    </row>
    <row r="8" customFormat="false" ht="15" hidden="false" customHeight="false" outlineLevel="0" collapsed="false">
      <c r="A8" s="18" t="n">
        <v>189674360</v>
      </c>
      <c r="B8" s="10" t="n">
        <v>18</v>
      </c>
      <c r="C8" s="18" t="s">
        <v>43</v>
      </c>
      <c r="D8" s="9" t="s">
        <v>86</v>
      </c>
      <c r="E8" s="9" t="s">
        <v>87</v>
      </c>
      <c r="F8" s="9" t="s">
        <v>88</v>
      </c>
      <c r="G8" s="10" t="n">
        <v>2026</v>
      </c>
      <c r="H8" s="10" t="n">
        <v>10</v>
      </c>
      <c r="I8" s="19" t="n">
        <v>27000</v>
      </c>
      <c r="J8" s="19" t="n">
        <v>30000</v>
      </c>
      <c r="K8" s="10" t="n">
        <v>1500</v>
      </c>
      <c r="L8" s="10" t="n">
        <v>2616</v>
      </c>
      <c r="M8" s="10" t="n">
        <v>0</v>
      </c>
      <c r="N8" s="11" t="n">
        <v>0</v>
      </c>
      <c r="O8" s="18" t="s">
        <v>56</v>
      </c>
    </row>
    <row r="9" customFormat="false" ht="15" hidden="false" customHeight="false" outlineLevel="0" collapsed="false">
      <c r="A9" s="18" t="n">
        <v>183545796</v>
      </c>
      <c r="B9" s="10" t="n">
        <v>20</v>
      </c>
      <c r="C9" s="18" t="s">
        <v>43</v>
      </c>
      <c r="D9" s="9" t="s">
        <v>91</v>
      </c>
      <c r="E9" s="9" t="s">
        <v>92</v>
      </c>
      <c r="F9" s="9" t="s">
        <v>93</v>
      </c>
      <c r="G9" s="10" t="n">
        <v>2026</v>
      </c>
      <c r="H9" s="10" t="n">
        <v>10</v>
      </c>
      <c r="I9" s="19" t="n">
        <v>27000</v>
      </c>
      <c r="J9" s="19" t="n">
        <v>30000</v>
      </c>
      <c r="K9" s="10" t="n">
        <v>1500</v>
      </c>
      <c r="L9" s="10" t="n">
        <v>9513</v>
      </c>
      <c r="M9" s="10" t="n">
        <v>26</v>
      </c>
      <c r="N9" s="11" t="n">
        <v>10</v>
      </c>
      <c r="O9" s="18" t="s">
        <v>56</v>
      </c>
    </row>
    <row r="10" customFormat="false" ht="15" hidden="false" customHeight="false" outlineLevel="0" collapsed="false">
      <c r="A10" s="18" t="n">
        <v>189531001</v>
      </c>
      <c r="B10" s="10" t="n">
        <v>23</v>
      </c>
      <c r="C10" s="18" t="s">
        <v>43</v>
      </c>
      <c r="D10" s="9" t="s">
        <v>98</v>
      </c>
      <c r="E10" s="9" t="s">
        <v>99</v>
      </c>
      <c r="F10" s="9" t="s">
        <v>100</v>
      </c>
      <c r="G10" s="10" t="n">
        <v>2026</v>
      </c>
      <c r="H10" s="10" t="n">
        <v>10</v>
      </c>
      <c r="I10" s="19" t="n">
        <v>19800</v>
      </c>
      <c r="J10" s="19" t="n">
        <v>22000</v>
      </c>
      <c r="K10" s="10" t="n">
        <v>1100</v>
      </c>
      <c r="L10" s="10" t="n">
        <v>3060</v>
      </c>
      <c r="M10" s="10" t="n">
        <v>0</v>
      </c>
      <c r="N10" s="11" t="n">
        <v>0</v>
      </c>
      <c r="O10" s="18" t="s">
        <v>56</v>
      </c>
    </row>
    <row r="11" customFormat="false" ht="15" hidden="false" customHeight="false" outlineLevel="0" collapsed="false">
      <c r="A11" s="18" t="n">
        <v>190365713</v>
      </c>
      <c r="B11" s="10" t="n">
        <v>24</v>
      </c>
      <c r="C11" s="18" t="s">
        <v>43</v>
      </c>
      <c r="D11" s="9" t="s">
        <v>101</v>
      </c>
      <c r="E11" s="9" t="s">
        <v>102</v>
      </c>
      <c r="F11" s="9" t="s">
        <v>103</v>
      </c>
      <c r="G11" s="10" t="n">
        <v>2026</v>
      </c>
      <c r="H11" s="10" t="n">
        <v>10</v>
      </c>
      <c r="I11" s="19" t="n">
        <v>15120</v>
      </c>
      <c r="J11" s="19" t="n">
        <v>16800</v>
      </c>
      <c r="K11" s="10" t="n">
        <v>840</v>
      </c>
      <c r="L11" s="10" t="n">
        <v>1500</v>
      </c>
      <c r="M11" s="10" t="n">
        <v>16</v>
      </c>
      <c r="N11" s="11" t="n">
        <v>10</v>
      </c>
      <c r="O11" s="18" t="s">
        <v>56</v>
      </c>
    </row>
    <row r="12" customFormat="false" ht="15" hidden="false" customHeight="false" outlineLevel="0" collapsed="false">
      <c r="A12" s="18" t="n">
        <v>184533580</v>
      </c>
      <c r="B12" s="10" t="n">
        <v>25</v>
      </c>
      <c r="C12" s="18" t="s">
        <v>43</v>
      </c>
      <c r="D12" s="9" t="s">
        <v>104</v>
      </c>
      <c r="E12" s="9" t="s">
        <v>105</v>
      </c>
      <c r="F12" s="9" t="s">
        <v>106</v>
      </c>
      <c r="G12" s="10" t="n">
        <v>2026</v>
      </c>
      <c r="H12" s="10" t="n">
        <v>10</v>
      </c>
      <c r="I12" s="19" t="n">
        <v>17100</v>
      </c>
      <c r="J12" s="19" t="n">
        <v>19000</v>
      </c>
      <c r="K12" s="10" t="n">
        <v>950</v>
      </c>
      <c r="L12" s="10" t="n">
        <v>11025</v>
      </c>
      <c r="M12" s="10" t="n">
        <v>13</v>
      </c>
      <c r="N12" s="11" t="n">
        <v>10</v>
      </c>
      <c r="O12" s="18" t="s">
        <v>56</v>
      </c>
    </row>
    <row r="13" customFormat="false" ht="15" hidden="false" customHeight="false" outlineLevel="0" collapsed="false">
      <c r="A13" s="18" t="n">
        <v>189037004</v>
      </c>
      <c r="B13" s="10" t="n">
        <v>26</v>
      </c>
      <c r="C13" s="18" t="s">
        <v>43</v>
      </c>
      <c r="D13" s="9" t="s">
        <v>107</v>
      </c>
      <c r="E13" s="9" t="s">
        <v>108</v>
      </c>
      <c r="F13" s="9" t="s">
        <v>109</v>
      </c>
      <c r="G13" s="10" t="n">
        <v>2026</v>
      </c>
      <c r="H13" s="10" t="n">
        <v>10</v>
      </c>
      <c r="I13" s="19" t="n">
        <v>22500</v>
      </c>
      <c r="J13" s="19" t="n">
        <v>25000</v>
      </c>
      <c r="K13" s="10" t="n">
        <v>1250</v>
      </c>
      <c r="L13" s="10" t="n">
        <v>4059</v>
      </c>
      <c r="M13" s="10" t="n">
        <v>0</v>
      </c>
      <c r="N13" s="11" t="n">
        <v>0</v>
      </c>
      <c r="O13" s="18" t="s">
        <v>56</v>
      </c>
    </row>
    <row r="14" customFormat="false" ht="15" hidden="false" customHeight="false" outlineLevel="0" collapsed="false">
      <c r="A14" s="18" t="n">
        <v>182134623</v>
      </c>
      <c r="B14" s="10" t="n">
        <v>29</v>
      </c>
      <c r="C14" s="18" t="s">
        <v>43</v>
      </c>
      <c r="D14" s="9" t="s">
        <v>114</v>
      </c>
      <c r="E14" s="9" t="s">
        <v>115</v>
      </c>
      <c r="F14" s="9" t="s">
        <v>116</v>
      </c>
      <c r="G14" s="10" t="n">
        <v>2026</v>
      </c>
      <c r="H14" s="10" t="n">
        <v>10</v>
      </c>
      <c r="I14" s="19" t="n">
        <v>22500</v>
      </c>
      <c r="J14" s="19" t="n">
        <v>25000</v>
      </c>
      <c r="K14" s="10" t="n">
        <v>1250</v>
      </c>
      <c r="L14" s="10" t="n">
        <v>6684</v>
      </c>
      <c r="M14" s="10" t="n">
        <v>34</v>
      </c>
      <c r="N14" s="11" t="n">
        <v>9.9</v>
      </c>
      <c r="O14" s="18" t="s">
        <v>56</v>
      </c>
    </row>
    <row r="15" customFormat="false" ht="15" hidden="false" customHeight="false" outlineLevel="0" collapsed="false">
      <c r="A15" s="18" t="n">
        <v>189287920</v>
      </c>
      <c r="B15" s="10" t="n">
        <v>31</v>
      </c>
      <c r="C15" s="18" t="s">
        <v>43</v>
      </c>
      <c r="D15" s="9" t="s">
        <v>119</v>
      </c>
      <c r="E15" s="9" t="s">
        <v>120</v>
      </c>
      <c r="F15" s="9" t="s">
        <v>121</v>
      </c>
      <c r="G15" s="10" t="n">
        <v>2026</v>
      </c>
      <c r="H15" s="10" t="n">
        <v>10</v>
      </c>
      <c r="I15" s="19" t="n">
        <v>17100</v>
      </c>
      <c r="J15" s="19" t="n">
        <v>19000</v>
      </c>
      <c r="K15" s="10" t="n">
        <v>950</v>
      </c>
      <c r="L15" s="10" t="n">
        <v>1932</v>
      </c>
      <c r="M15" s="10" t="n">
        <v>0</v>
      </c>
      <c r="N15" s="11" t="n">
        <v>0</v>
      </c>
      <c r="O15" s="18" t="s">
        <v>56</v>
      </c>
    </row>
    <row r="16" customFormat="false" ht="15" hidden="false" customHeight="false" outlineLevel="0" collapsed="false">
      <c r="A16" s="18" t="n">
        <v>186833195</v>
      </c>
      <c r="B16" s="10" t="n">
        <v>32</v>
      </c>
      <c r="C16" s="18" t="s">
        <v>43</v>
      </c>
      <c r="D16" s="9" t="s">
        <v>122</v>
      </c>
      <c r="E16" s="9" t="s">
        <v>123</v>
      </c>
      <c r="F16" s="9" t="s">
        <v>124</v>
      </c>
      <c r="G16" s="10" t="n">
        <v>2026</v>
      </c>
      <c r="H16" s="10" t="n">
        <v>10</v>
      </c>
      <c r="I16" s="19" t="n">
        <v>31500</v>
      </c>
      <c r="J16" s="19" t="n">
        <v>35000</v>
      </c>
      <c r="K16" s="10" t="n">
        <v>1750</v>
      </c>
      <c r="L16" s="10" t="n">
        <v>10452</v>
      </c>
      <c r="M16" s="10" t="n">
        <v>12</v>
      </c>
      <c r="N16" s="11" t="n">
        <v>10</v>
      </c>
      <c r="O16" s="18" t="s">
        <v>56</v>
      </c>
    </row>
    <row r="17" customFormat="false" ht="15" hidden="false" customHeight="false" outlineLevel="0" collapsed="false">
      <c r="A17" s="18" t="n">
        <v>188266803</v>
      </c>
      <c r="B17" s="10" t="n">
        <v>33</v>
      </c>
      <c r="C17" s="18" t="s">
        <v>43</v>
      </c>
      <c r="D17" s="15" t="s">
        <v>125</v>
      </c>
      <c r="E17" s="9" t="s">
        <v>126</v>
      </c>
      <c r="F17" s="9" t="s">
        <v>127</v>
      </c>
      <c r="G17" s="10" t="n">
        <v>2026</v>
      </c>
      <c r="H17" s="10" t="n">
        <v>10</v>
      </c>
      <c r="I17" s="19" t="n">
        <v>19800</v>
      </c>
      <c r="J17" s="19" t="n">
        <v>22000</v>
      </c>
      <c r="K17" s="10" t="n">
        <v>1100</v>
      </c>
      <c r="L17" s="10" t="n">
        <v>10104</v>
      </c>
      <c r="M17" s="10" t="n">
        <v>5</v>
      </c>
      <c r="N17" s="11" t="n">
        <v>10</v>
      </c>
      <c r="O17" s="18" t="s">
        <v>56</v>
      </c>
    </row>
    <row r="18" customFormat="false" ht="15" hidden="false" customHeight="false" outlineLevel="0" collapsed="false">
      <c r="A18" s="18" t="n">
        <v>189521546</v>
      </c>
      <c r="B18" s="10" t="n">
        <v>42</v>
      </c>
      <c r="C18" s="18" t="s">
        <v>43</v>
      </c>
      <c r="D18" s="15" t="s">
        <v>143</v>
      </c>
      <c r="E18" s="9" t="s">
        <v>144</v>
      </c>
      <c r="F18" s="9" t="s">
        <v>145</v>
      </c>
      <c r="G18" s="10" t="n">
        <v>2026</v>
      </c>
      <c r="H18" s="10" t="n">
        <v>0</v>
      </c>
      <c r="I18" s="19" t="n">
        <v>20000</v>
      </c>
      <c r="J18" s="19" t="n">
        <v>20000</v>
      </c>
      <c r="K18" s="10" t="n">
        <v>0</v>
      </c>
      <c r="L18" s="10" t="n">
        <v>3630</v>
      </c>
      <c r="M18" s="10" t="n">
        <v>37</v>
      </c>
      <c r="N18" s="11" t="n">
        <v>10</v>
      </c>
      <c r="O18" s="18" t="s">
        <v>56</v>
      </c>
    </row>
    <row r="19" customFormat="false" ht="15" hidden="false" customHeight="false" outlineLevel="0" collapsed="false">
      <c r="A19" s="18" t="n">
        <v>184269953</v>
      </c>
      <c r="B19" s="10" t="n">
        <v>45</v>
      </c>
      <c r="C19" s="18" t="s">
        <v>43</v>
      </c>
      <c r="D19" s="9" t="s">
        <v>150</v>
      </c>
      <c r="E19" s="9" t="s">
        <v>151</v>
      </c>
      <c r="F19" s="9" t="s">
        <v>64</v>
      </c>
      <c r="G19" s="10" t="n">
        <v>2026</v>
      </c>
      <c r="H19" s="10" t="n">
        <v>10</v>
      </c>
      <c r="I19" s="19" t="n">
        <v>16920</v>
      </c>
      <c r="J19" s="19" t="n">
        <v>18800</v>
      </c>
      <c r="K19" s="10" t="n">
        <v>940</v>
      </c>
      <c r="L19" s="10" t="n">
        <v>4341</v>
      </c>
      <c r="M19" s="10" t="n">
        <v>7</v>
      </c>
      <c r="N19" s="11" t="n">
        <v>9.7</v>
      </c>
      <c r="O19" s="18" t="s">
        <v>56</v>
      </c>
    </row>
    <row r="20" customFormat="false" ht="15" hidden="false" customHeight="false" outlineLevel="0" collapsed="false">
      <c r="A20" s="18" t="n">
        <v>191018764</v>
      </c>
      <c r="B20" s="10" t="n">
        <v>48</v>
      </c>
      <c r="C20" s="18" t="s">
        <v>43</v>
      </c>
      <c r="D20" s="15" t="s">
        <v>156</v>
      </c>
      <c r="E20" s="9" t="s">
        <v>157</v>
      </c>
      <c r="F20" s="9" t="s">
        <v>158</v>
      </c>
      <c r="G20" s="10" t="n">
        <v>2026</v>
      </c>
      <c r="H20" s="10" t="n">
        <v>10</v>
      </c>
      <c r="I20" s="19" t="n">
        <v>18000</v>
      </c>
      <c r="J20" s="19" t="n">
        <v>20000</v>
      </c>
      <c r="K20" s="10" t="n">
        <v>1000</v>
      </c>
      <c r="L20" s="10" t="n">
        <v>840</v>
      </c>
      <c r="M20" s="10" t="n">
        <v>0</v>
      </c>
      <c r="N20" s="11" t="n">
        <v>0</v>
      </c>
      <c r="O20" s="18" t="s">
        <v>56</v>
      </c>
    </row>
    <row r="21" customFormat="false" ht="15" hidden="false" customHeight="false" outlineLevel="0" collapsed="false">
      <c r="A21" s="18" t="n">
        <v>132412221</v>
      </c>
      <c r="B21" s="10" t="n">
        <v>49</v>
      </c>
      <c r="C21" s="18" t="s">
        <v>43</v>
      </c>
      <c r="D21" s="15" t="s">
        <v>159</v>
      </c>
      <c r="E21" s="9" t="s">
        <v>160</v>
      </c>
      <c r="F21" s="9" t="s">
        <v>161</v>
      </c>
      <c r="G21" s="10" t="n">
        <v>2024</v>
      </c>
      <c r="H21" s="10" t="n">
        <v>10</v>
      </c>
      <c r="I21" s="19" t="n">
        <v>12600</v>
      </c>
      <c r="J21" s="19" t="n">
        <v>14000</v>
      </c>
      <c r="K21" s="10" t="n">
        <v>700</v>
      </c>
      <c r="L21" s="10" t="n">
        <v>2946</v>
      </c>
      <c r="M21" s="10" t="n">
        <v>1</v>
      </c>
      <c r="N21" s="11" t="n">
        <v>10</v>
      </c>
      <c r="O21" s="18" t="s">
        <v>56</v>
      </c>
    </row>
    <row r="22" customFormat="false" ht="15" hidden="false" customHeight="false" outlineLevel="0" collapsed="false">
      <c r="A22" s="18" t="n">
        <v>189629427</v>
      </c>
      <c r="B22" s="10" t="n">
        <v>60</v>
      </c>
      <c r="C22" s="18" t="s">
        <v>43</v>
      </c>
      <c r="D22" s="9" t="s">
        <v>182</v>
      </c>
      <c r="E22" s="9" t="s">
        <v>183</v>
      </c>
      <c r="F22" s="9" t="s">
        <v>184</v>
      </c>
      <c r="G22" s="10" t="n">
        <v>2026</v>
      </c>
      <c r="H22" s="10" t="n">
        <v>0</v>
      </c>
      <c r="I22" s="19" t="n">
        <v>19000</v>
      </c>
      <c r="J22" s="19" t="n">
        <v>19000</v>
      </c>
      <c r="K22" s="10" t="n">
        <v>0</v>
      </c>
      <c r="L22" s="10" t="n">
        <v>2049</v>
      </c>
      <c r="M22" s="10" t="n">
        <v>23</v>
      </c>
      <c r="N22" s="11" t="n">
        <v>10</v>
      </c>
      <c r="O22" s="18" t="s">
        <v>56</v>
      </c>
    </row>
    <row r="23" customFormat="false" ht="15" hidden="false" customHeight="false" outlineLevel="0" collapsed="false">
      <c r="A23" s="18" t="n">
        <v>189257260</v>
      </c>
      <c r="B23" s="10" t="n">
        <v>61</v>
      </c>
      <c r="C23" s="18" t="s">
        <v>43</v>
      </c>
      <c r="D23" s="9" t="s">
        <v>185</v>
      </c>
      <c r="E23" s="9" t="s">
        <v>186</v>
      </c>
      <c r="F23" s="9" t="s">
        <v>88</v>
      </c>
      <c r="G23" s="10" t="n">
        <v>2026</v>
      </c>
      <c r="H23" s="10" t="n">
        <v>10</v>
      </c>
      <c r="I23" s="19" t="n">
        <v>29700</v>
      </c>
      <c r="J23" s="19" t="n">
        <v>33000</v>
      </c>
      <c r="K23" s="10" t="n">
        <v>1650</v>
      </c>
      <c r="L23" s="10" t="n">
        <v>1650</v>
      </c>
      <c r="M23" s="10" t="n">
        <v>1</v>
      </c>
      <c r="N23" s="11" t="n">
        <v>10</v>
      </c>
      <c r="O23" s="18" t="s">
        <v>56</v>
      </c>
    </row>
    <row r="24" customFormat="false" ht="15" hidden="false" customHeight="false" outlineLevel="0" collapsed="false">
      <c r="A24" s="18" t="n">
        <v>152644865</v>
      </c>
      <c r="B24" s="10" t="n">
        <v>65</v>
      </c>
      <c r="C24" s="18" t="s">
        <v>43</v>
      </c>
      <c r="D24" s="9" t="s">
        <v>193</v>
      </c>
      <c r="E24" s="9" t="s">
        <v>194</v>
      </c>
      <c r="F24" s="9" t="s">
        <v>195</v>
      </c>
      <c r="G24" s="10" t="n">
        <v>2025</v>
      </c>
      <c r="H24" s="10" t="n">
        <v>10</v>
      </c>
      <c r="I24" s="19" t="n">
        <v>18000</v>
      </c>
      <c r="J24" s="19" t="n">
        <v>20000</v>
      </c>
      <c r="K24" s="10" t="n">
        <v>1000</v>
      </c>
      <c r="L24" s="10" t="n">
        <v>19836</v>
      </c>
      <c r="M24" s="10" t="n">
        <v>30</v>
      </c>
      <c r="N24" s="11" t="n">
        <v>9.7</v>
      </c>
      <c r="O24" s="18" t="s">
        <v>56</v>
      </c>
    </row>
    <row r="25" customFormat="false" ht="15" hidden="false" customHeight="false" outlineLevel="0" collapsed="false">
      <c r="A25" s="18" t="n">
        <v>189850864</v>
      </c>
      <c r="B25" s="10" t="n">
        <v>66</v>
      </c>
      <c r="C25" s="18" t="s">
        <v>43</v>
      </c>
      <c r="D25" s="9" t="s">
        <v>196</v>
      </c>
      <c r="E25" s="9" t="s">
        <v>197</v>
      </c>
      <c r="F25" s="9" t="s">
        <v>81</v>
      </c>
      <c r="G25" s="10" t="n">
        <v>2026</v>
      </c>
      <c r="H25" s="10" t="n">
        <v>10</v>
      </c>
      <c r="I25" s="19" t="n">
        <v>18000</v>
      </c>
      <c r="J25" s="19" t="n">
        <v>20000</v>
      </c>
      <c r="K25" s="10" t="n">
        <v>1000</v>
      </c>
      <c r="L25" s="10" t="n">
        <v>1872</v>
      </c>
      <c r="M25" s="10" t="n">
        <v>1</v>
      </c>
      <c r="N25" s="11" t="n">
        <v>10</v>
      </c>
      <c r="O25" s="18" t="s">
        <v>56</v>
      </c>
    </row>
    <row r="26" customFormat="false" ht="15" hidden="false" customHeight="false" outlineLevel="0" collapsed="false">
      <c r="A26" s="18" t="n">
        <v>183539313</v>
      </c>
      <c r="B26" s="10" t="n">
        <v>68</v>
      </c>
      <c r="C26" s="18" t="s">
        <v>43</v>
      </c>
      <c r="D26" s="15" t="s">
        <v>200</v>
      </c>
      <c r="E26" s="9" t="s">
        <v>201</v>
      </c>
      <c r="F26" s="9" t="s">
        <v>202</v>
      </c>
      <c r="G26" s="10" t="n">
        <v>2026</v>
      </c>
      <c r="H26" s="10" t="n">
        <v>10</v>
      </c>
      <c r="I26" s="19" t="n">
        <v>19800</v>
      </c>
      <c r="J26" s="19" t="n">
        <v>22000</v>
      </c>
      <c r="K26" s="10" t="n">
        <v>1100</v>
      </c>
      <c r="L26" s="10" t="n">
        <v>5352</v>
      </c>
      <c r="M26" s="10" t="n">
        <v>9</v>
      </c>
      <c r="N26" s="11" t="n">
        <v>10</v>
      </c>
      <c r="O26" s="18" t="s">
        <v>56</v>
      </c>
    </row>
    <row r="27" customFormat="false" ht="15" hidden="false" customHeight="false" outlineLevel="0" collapsed="false">
      <c r="A27" s="18" t="n">
        <v>174048990</v>
      </c>
      <c r="B27" s="10" t="n">
        <v>70</v>
      </c>
      <c r="C27" s="18" t="s">
        <v>43</v>
      </c>
      <c r="D27" s="9" t="s">
        <v>205</v>
      </c>
      <c r="E27" s="15" t="s">
        <v>206</v>
      </c>
      <c r="F27" s="9" t="s">
        <v>195</v>
      </c>
      <c r="G27" s="10" t="n">
        <v>2026</v>
      </c>
      <c r="H27" s="10" t="n">
        <v>10</v>
      </c>
      <c r="I27" s="19" t="n">
        <v>16200</v>
      </c>
      <c r="J27" s="19" t="n">
        <v>18000</v>
      </c>
      <c r="K27" s="10" t="n">
        <v>900</v>
      </c>
      <c r="L27" s="10" t="n">
        <v>4830</v>
      </c>
      <c r="M27" s="10" t="n">
        <v>14</v>
      </c>
      <c r="N27" s="11" t="n">
        <v>10</v>
      </c>
      <c r="O27" s="18" t="s">
        <v>46</v>
      </c>
    </row>
    <row r="28" customFormat="false" ht="15" hidden="false" customHeight="false" outlineLevel="0" collapsed="false">
      <c r="A28" s="18" t="n">
        <v>189634812</v>
      </c>
      <c r="B28" s="10" t="n">
        <v>72</v>
      </c>
      <c r="C28" s="18" t="s">
        <v>43</v>
      </c>
      <c r="D28" s="9" t="s">
        <v>209</v>
      </c>
      <c r="E28" s="9" t="s">
        <v>210</v>
      </c>
      <c r="F28" s="9" t="s">
        <v>211</v>
      </c>
      <c r="G28" s="10" t="n">
        <v>2026</v>
      </c>
      <c r="H28" s="10" t="n">
        <v>10</v>
      </c>
      <c r="I28" s="19" t="n">
        <v>24300</v>
      </c>
      <c r="J28" s="19" t="n">
        <v>27000</v>
      </c>
      <c r="K28" s="10" t="n">
        <v>1350</v>
      </c>
      <c r="L28" s="10" t="n">
        <v>1623</v>
      </c>
      <c r="M28" s="10" t="n">
        <v>15</v>
      </c>
      <c r="N28" s="11" t="n">
        <v>10</v>
      </c>
      <c r="O28" s="18" t="s">
        <v>56</v>
      </c>
    </row>
    <row r="29" customFormat="false" ht="15" hidden="false" customHeight="false" outlineLevel="0" collapsed="false">
      <c r="A29" s="18" t="n">
        <v>185714339</v>
      </c>
      <c r="B29" s="10" t="n">
        <v>73</v>
      </c>
      <c r="C29" s="18" t="s">
        <v>43</v>
      </c>
      <c r="D29" s="15" t="s">
        <v>212</v>
      </c>
      <c r="E29" s="9" t="s">
        <v>213</v>
      </c>
      <c r="F29" s="9" t="s">
        <v>211</v>
      </c>
      <c r="G29" s="10" t="n">
        <v>2026</v>
      </c>
      <c r="H29" s="10" t="n">
        <v>10</v>
      </c>
      <c r="I29" s="19" t="n">
        <v>22500</v>
      </c>
      <c r="J29" s="19" t="n">
        <v>25000</v>
      </c>
      <c r="K29" s="10" t="n">
        <v>1250</v>
      </c>
      <c r="L29" s="10" t="n">
        <v>3642</v>
      </c>
      <c r="M29" s="10" t="n">
        <v>205</v>
      </c>
      <c r="N29" s="11" t="n">
        <v>9.6</v>
      </c>
      <c r="O29" s="18" t="s">
        <v>56</v>
      </c>
    </row>
    <row r="30" customFormat="false" ht="15" hidden="false" customHeight="false" outlineLevel="0" collapsed="false">
      <c r="A30" s="18" t="n">
        <v>189445450</v>
      </c>
      <c r="B30" s="10" t="n">
        <v>74</v>
      </c>
      <c r="C30" s="18" t="s">
        <v>43</v>
      </c>
      <c r="D30" s="15" t="s">
        <v>214</v>
      </c>
      <c r="E30" s="9" t="s">
        <v>215</v>
      </c>
      <c r="F30" s="9" t="s">
        <v>211</v>
      </c>
      <c r="G30" s="10" t="n">
        <v>2026</v>
      </c>
      <c r="H30" s="10" t="n">
        <v>10</v>
      </c>
      <c r="I30" s="19" t="n">
        <v>27000</v>
      </c>
      <c r="J30" s="19" t="n">
        <v>30000</v>
      </c>
      <c r="K30" s="10" t="n">
        <v>1500</v>
      </c>
      <c r="L30" s="10" t="n">
        <v>1308</v>
      </c>
      <c r="M30" s="10" t="n">
        <v>19</v>
      </c>
      <c r="N30" s="11" t="n">
        <v>10</v>
      </c>
      <c r="O30" s="18" t="s">
        <v>56</v>
      </c>
    </row>
    <row r="31" customFormat="false" ht="15" hidden="false" customHeight="false" outlineLevel="0" collapsed="false">
      <c r="A31" s="18" t="n">
        <v>187039263</v>
      </c>
      <c r="B31" s="10" t="n">
        <v>77</v>
      </c>
      <c r="C31" s="18" t="s">
        <v>43</v>
      </c>
      <c r="D31" s="9" t="s">
        <v>220</v>
      </c>
      <c r="E31" s="9" t="s">
        <v>221</v>
      </c>
      <c r="F31" s="9" t="s">
        <v>100</v>
      </c>
      <c r="G31" s="10" t="n">
        <v>2026</v>
      </c>
      <c r="H31" s="10" t="n">
        <v>10</v>
      </c>
      <c r="I31" s="19" t="n">
        <v>19800</v>
      </c>
      <c r="J31" s="19" t="n">
        <v>22000</v>
      </c>
      <c r="K31" s="10" t="n">
        <v>1100</v>
      </c>
      <c r="L31" s="10" t="n">
        <v>2823</v>
      </c>
      <c r="M31" s="10" t="n">
        <v>5</v>
      </c>
      <c r="N31" s="11" t="n">
        <v>10</v>
      </c>
      <c r="O31" s="18" t="s">
        <v>56</v>
      </c>
    </row>
    <row r="32" customFormat="false" ht="15" hidden="false" customHeight="false" outlineLevel="0" collapsed="false">
      <c r="A32" s="18" t="n">
        <v>189829859</v>
      </c>
      <c r="B32" s="10" t="n">
        <v>82</v>
      </c>
      <c r="C32" s="18" t="s">
        <v>43</v>
      </c>
      <c r="D32" s="15" t="s">
        <v>229</v>
      </c>
      <c r="E32" s="9" t="s">
        <v>230</v>
      </c>
      <c r="F32" s="9" t="s">
        <v>231</v>
      </c>
      <c r="G32" s="10" t="n">
        <v>2026</v>
      </c>
      <c r="H32" s="10" t="n">
        <v>10</v>
      </c>
      <c r="I32" s="19" t="n">
        <v>22500</v>
      </c>
      <c r="J32" s="19" t="n">
        <v>25000</v>
      </c>
      <c r="K32" s="10" t="n">
        <v>1250</v>
      </c>
      <c r="L32" s="10" t="n">
        <v>786</v>
      </c>
      <c r="M32" s="10" t="n">
        <v>0</v>
      </c>
      <c r="N32" s="11" t="n">
        <v>0</v>
      </c>
      <c r="O32" s="18" t="s">
        <v>56</v>
      </c>
    </row>
    <row r="33" customFormat="false" ht="15" hidden="false" customHeight="false" outlineLevel="0" collapsed="false">
      <c r="A33" s="18" t="n">
        <v>188188392</v>
      </c>
      <c r="B33" s="10" t="n">
        <v>85</v>
      </c>
      <c r="C33" s="18" t="s">
        <v>43</v>
      </c>
      <c r="D33" s="9" t="s">
        <v>236</v>
      </c>
      <c r="E33" s="9" t="s">
        <v>237</v>
      </c>
      <c r="F33" s="9" t="s">
        <v>238</v>
      </c>
      <c r="G33" s="10" t="n">
        <v>2026</v>
      </c>
      <c r="H33" s="10" t="n">
        <v>10</v>
      </c>
      <c r="I33" s="19" t="n">
        <v>17100</v>
      </c>
      <c r="J33" s="19" t="n">
        <v>19000</v>
      </c>
      <c r="K33" s="10" t="n">
        <v>950</v>
      </c>
      <c r="L33" s="10" t="n">
        <v>2976</v>
      </c>
      <c r="M33" s="10" t="n">
        <v>0</v>
      </c>
      <c r="N33" s="11" t="n">
        <v>0</v>
      </c>
      <c r="O33" s="18" t="s">
        <v>56</v>
      </c>
    </row>
    <row r="34" customFormat="false" ht="15" hidden="false" customHeight="false" outlineLevel="0" collapsed="false">
      <c r="A34" s="18" t="n">
        <v>144979816</v>
      </c>
      <c r="B34" s="10" t="n">
        <v>91</v>
      </c>
      <c r="C34" s="18" t="s">
        <v>43</v>
      </c>
      <c r="D34" s="9" t="s">
        <v>249</v>
      </c>
      <c r="E34" s="9" t="s">
        <v>250</v>
      </c>
      <c r="F34" s="9" t="s">
        <v>251</v>
      </c>
      <c r="G34" s="10" t="n">
        <v>2025</v>
      </c>
      <c r="H34" s="10" t="n">
        <v>10</v>
      </c>
      <c r="I34" s="19" t="n">
        <v>18900</v>
      </c>
      <c r="J34" s="19" t="n">
        <v>21000</v>
      </c>
      <c r="K34" s="10" t="n">
        <v>1050</v>
      </c>
      <c r="L34" s="10" t="n">
        <v>10083</v>
      </c>
      <c r="M34" s="10" t="n">
        <v>11</v>
      </c>
      <c r="N34" s="11" t="n">
        <v>9.8</v>
      </c>
      <c r="O34" s="18" t="s">
        <v>56</v>
      </c>
    </row>
    <row r="35" customFormat="false" ht="15" hidden="false" customHeight="false" outlineLevel="0" collapsed="false">
      <c r="A35" s="18" t="n">
        <v>112941801</v>
      </c>
      <c r="B35" s="10" t="n">
        <v>92</v>
      </c>
      <c r="C35" s="18" t="s">
        <v>43</v>
      </c>
      <c r="D35" s="9" t="s">
        <v>252</v>
      </c>
      <c r="E35" s="9" t="s">
        <v>253</v>
      </c>
      <c r="F35" s="9" t="s">
        <v>254</v>
      </c>
      <c r="G35" s="10" t="n">
        <v>2022</v>
      </c>
      <c r="H35" s="10" t="n">
        <v>10</v>
      </c>
      <c r="I35" s="19" t="n">
        <v>16200</v>
      </c>
      <c r="J35" s="19" t="n">
        <v>18000</v>
      </c>
      <c r="K35" s="10" t="n">
        <v>900</v>
      </c>
      <c r="L35" s="10" t="n">
        <v>15456</v>
      </c>
      <c r="M35" s="10" t="n">
        <v>79</v>
      </c>
      <c r="N35" s="11" t="n">
        <v>9.7</v>
      </c>
      <c r="O35" s="18" t="s">
        <v>46</v>
      </c>
    </row>
    <row r="36" customFormat="false" ht="15" hidden="false" customHeight="false" outlineLevel="0" collapsed="false">
      <c r="A36" s="18" t="n">
        <v>188601300</v>
      </c>
      <c r="B36" s="10" t="n">
        <v>94</v>
      </c>
      <c r="C36" s="18" t="s">
        <v>43</v>
      </c>
      <c r="D36" s="9" t="s">
        <v>257</v>
      </c>
      <c r="E36" s="9" t="s">
        <v>258</v>
      </c>
      <c r="F36" s="9" t="s">
        <v>259</v>
      </c>
      <c r="G36" s="10" t="n">
        <v>2026</v>
      </c>
      <c r="H36" s="10" t="n">
        <v>10</v>
      </c>
      <c r="I36" s="19" t="n">
        <v>15120</v>
      </c>
      <c r="J36" s="19" t="n">
        <v>16800</v>
      </c>
      <c r="K36" s="10" t="n">
        <v>840</v>
      </c>
      <c r="L36" s="10" t="n">
        <v>3738</v>
      </c>
      <c r="M36" s="10" t="n">
        <v>33</v>
      </c>
      <c r="N36" s="11" t="n">
        <v>9.4</v>
      </c>
      <c r="O36" s="18" t="s">
        <v>56</v>
      </c>
    </row>
    <row r="37" customFormat="false" ht="15" hidden="false" customHeight="false" outlineLevel="0" collapsed="false">
      <c r="A37" s="18" t="n">
        <v>189857110</v>
      </c>
      <c r="B37" s="10" t="n">
        <v>95</v>
      </c>
      <c r="C37" s="18" t="s">
        <v>43</v>
      </c>
      <c r="D37" s="9" t="s">
        <v>260</v>
      </c>
      <c r="E37" s="9" t="s">
        <v>261</v>
      </c>
      <c r="F37" s="9" t="s">
        <v>195</v>
      </c>
      <c r="G37" s="10" t="n">
        <v>2026</v>
      </c>
      <c r="H37" s="10" t="n">
        <v>10</v>
      </c>
      <c r="I37" s="19" t="n">
        <v>19800</v>
      </c>
      <c r="J37" s="19" t="n">
        <v>22000</v>
      </c>
      <c r="K37" s="10" t="n">
        <v>1100</v>
      </c>
      <c r="L37" s="10" t="n">
        <v>954</v>
      </c>
      <c r="M37" s="10" t="n">
        <v>0</v>
      </c>
      <c r="N37" s="11" t="n">
        <v>0</v>
      </c>
      <c r="O37" s="18" t="s">
        <v>56</v>
      </c>
    </row>
    <row r="38" customFormat="false" ht="15" hidden="false" customHeight="false" outlineLevel="0" collapsed="false">
      <c r="A38" s="18" t="n">
        <v>188838987</v>
      </c>
      <c r="B38" s="10" t="n">
        <v>97</v>
      </c>
      <c r="C38" s="18" t="s">
        <v>43</v>
      </c>
      <c r="D38" s="9" t="s">
        <v>264</v>
      </c>
      <c r="E38" s="9" t="s">
        <v>265</v>
      </c>
      <c r="F38" s="9" t="s">
        <v>184</v>
      </c>
      <c r="G38" s="10" t="n">
        <v>2026</v>
      </c>
      <c r="H38" s="10" t="n">
        <v>0</v>
      </c>
      <c r="I38" s="19" t="n">
        <v>19000</v>
      </c>
      <c r="J38" s="19" t="n">
        <v>19000</v>
      </c>
      <c r="K38" s="10" t="n">
        <v>0</v>
      </c>
      <c r="L38" s="10" t="n">
        <v>2232</v>
      </c>
      <c r="M38" s="10" t="n">
        <v>49</v>
      </c>
      <c r="N38" s="11" t="n">
        <v>9.9</v>
      </c>
      <c r="O38" s="18" t="s">
        <v>46</v>
      </c>
    </row>
    <row r="39" customFormat="false" ht="15" hidden="false" customHeight="false" outlineLevel="0" collapsed="false">
      <c r="A39" s="18" t="n">
        <v>168871803</v>
      </c>
      <c r="B39" s="10" t="n">
        <v>100</v>
      </c>
      <c r="C39" s="18" t="s">
        <v>43</v>
      </c>
      <c r="D39" s="9" t="s">
        <v>270</v>
      </c>
      <c r="E39" s="9" t="s">
        <v>271</v>
      </c>
      <c r="F39" s="9" t="s">
        <v>272</v>
      </c>
      <c r="G39" s="10" t="n">
        <v>2026</v>
      </c>
      <c r="H39" s="10" t="n">
        <v>10</v>
      </c>
      <c r="I39" s="19" t="n">
        <v>20700</v>
      </c>
      <c r="J39" s="19" t="n">
        <v>23000</v>
      </c>
      <c r="K39" s="10" t="n">
        <v>1150</v>
      </c>
      <c r="L39" s="10" t="n">
        <v>3612</v>
      </c>
      <c r="M39" s="10" t="n">
        <v>0</v>
      </c>
      <c r="N39" s="11" t="n">
        <v>0</v>
      </c>
      <c r="O39" s="18" t="s">
        <v>56</v>
      </c>
    </row>
    <row r="40" customFormat="false" ht="15" hidden="false" customHeight="false" outlineLevel="0" collapsed="false">
      <c r="A40" s="18" t="n">
        <v>167719977</v>
      </c>
      <c r="B40" s="10" t="n">
        <v>101</v>
      </c>
      <c r="C40" s="18" t="s">
        <v>43</v>
      </c>
      <c r="D40" s="9" t="s">
        <v>273</v>
      </c>
      <c r="E40" s="9" t="s">
        <v>274</v>
      </c>
      <c r="F40" s="9" t="s">
        <v>64</v>
      </c>
      <c r="G40" s="10" t="n">
        <v>2025</v>
      </c>
      <c r="H40" s="10" t="n">
        <v>10</v>
      </c>
      <c r="I40" s="19" t="n">
        <v>22950</v>
      </c>
      <c r="J40" s="19" t="n">
        <v>25500</v>
      </c>
      <c r="K40" s="10" t="n">
        <v>1270</v>
      </c>
      <c r="L40" s="10" t="n">
        <v>5868</v>
      </c>
      <c r="M40" s="10" t="n">
        <v>13</v>
      </c>
      <c r="N40" s="11" t="n">
        <v>10</v>
      </c>
      <c r="O40" s="18" t="s">
        <v>56</v>
      </c>
    </row>
    <row r="41" customFormat="false" ht="15" hidden="false" customHeight="false" outlineLevel="0" collapsed="false">
      <c r="A41" s="18" t="n">
        <v>152079426</v>
      </c>
      <c r="B41" s="10" t="n">
        <v>103</v>
      </c>
      <c r="C41" s="18" t="s">
        <v>43</v>
      </c>
      <c r="D41" s="9" t="s">
        <v>277</v>
      </c>
      <c r="E41" s="9" t="s">
        <v>278</v>
      </c>
      <c r="F41" s="9" t="s">
        <v>279</v>
      </c>
      <c r="G41" s="10" t="n">
        <v>2025</v>
      </c>
      <c r="H41" s="10" t="n">
        <v>10</v>
      </c>
      <c r="I41" s="19" t="n">
        <v>19800</v>
      </c>
      <c r="J41" s="19" t="n">
        <v>22000</v>
      </c>
      <c r="K41" s="10" t="n">
        <v>1100</v>
      </c>
      <c r="L41" s="10" t="n">
        <v>21912</v>
      </c>
      <c r="M41" s="10" t="n">
        <v>43</v>
      </c>
      <c r="N41" s="11" t="n">
        <v>10</v>
      </c>
      <c r="O41" s="18" t="s">
        <v>56</v>
      </c>
    </row>
    <row r="42" customFormat="false" ht="15" hidden="false" customHeight="false" outlineLevel="0" collapsed="false">
      <c r="A42" s="18" t="n">
        <v>132189588</v>
      </c>
      <c r="B42" s="10" t="n">
        <v>107</v>
      </c>
      <c r="C42" s="18" t="s">
        <v>43</v>
      </c>
      <c r="D42" s="15" t="s">
        <v>286</v>
      </c>
      <c r="E42" s="9" t="s">
        <v>160</v>
      </c>
      <c r="F42" s="9" t="s">
        <v>161</v>
      </c>
      <c r="G42" s="10" t="n">
        <v>2024</v>
      </c>
      <c r="H42" s="10" t="n">
        <v>10</v>
      </c>
      <c r="I42" s="19" t="n">
        <v>12600</v>
      </c>
      <c r="J42" s="19" t="n">
        <v>14000</v>
      </c>
      <c r="K42" s="10" t="n">
        <v>700</v>
      </c>
      <c r="L42" s="10" t="n">
        <v>2838</v>
      </c>
      <c r="M42" s="10" t="n">
        <v>4</v>
      </c>
      <c r="N42" s="11" t="n">
        <v>9.5</v>
      </c>
      <c r="O42" s="18" t="s">
        <v>56</v>
      </c>
    </row>
    <row r="43" customFormat="false" ht="15" hidden="false" customHeight="false" outlineLevel="0" collapsed="false">
      <c r="A43" s="18" t="n">
        <v>183919456</v>
      </c>
      <c r="B43" s="10" t="n">
        <v>108</v>
      </c>
      <c r="C43" s="18" t="s">
        <v>43</v>
      </c>
      <c r="D43" s="9" t="s">
        <v>287</v>
      </c>
      <c r="E43" s="9" t="s">
        <v>288</v>
      </c>
      <c r="F43" s="9" t="s">
        <v>259</v>
      </c>
      <c r="G43" s="10" t="n">
        <v>2026</v>
      </c>
      <c r="H43" s="10" t="n">
        <v>10</v>
      </c>
      <c r="I43" s="19" t="n">
        <v>15120</v>
      </c>
      <c r="J43" s="19" t="n">
        <v>16800</v>
      </c>
      <c r="K43" s="10" t="n">
        <v>160</v>
      </c>
      <c r="L43" s="10" t="n">
        <v>2721</v>
      </c>
      <c r="M43" s="10" t="n">
        <v>52</v>
      </c>
      <c r="N43" s="11" t="n">
        <v>9.8</v>
      </c>
      <c r="O43" s="18" t="s">
        <v>56</v>
      </c>
    </row>
    <row r="44" customFormat="false" ht="15" hidden="false" customHeight="false" outlineLevel="0" collapsed="false">
      <c r="A44" s="18" t="n">
        <v>189477317</v>
      </c>
      <c r="B44" s="10" t="n">
        <v>109</v>
      </c>
      <c r="C44" s="18" t="s">
        <v>43</v>
      </c>
      <c r="D44" s="9" t="s">
        <v>289</v>
      </c>
      <c r="E44" s="9" t="s">
        <v>290</v>
      </c>
      <c r="F44" s="9" t="s">
        <v>259</v>
      </c>
      <c r="G44" s="10" t="n">
        <v>2026</v>
      </c>
      <c r="H44" s="10" t="n">
        <v>10</v>
      </c>
      <c r="I44" s="19" t="n">
        <v>19800</v>
      </c>
      <c r="J44" s="19" t="n">
        <v>22000</v>
      </c>
      <c r="K44" s="10" t="n">
        <v>1100</v>
      </c>
      <c r="L44" s="10" t="n">
        <v>1464</v>
      </c>
      <c r="M44" s="10" t="n">
        <v>8</v>
      </c>
      <c r="N44" s="11" t="n">
        <v>10</v>
      </c>
      <c r="O44" s="18" t="s">
        <v>56</v>
      </c>
    </row>
    <row r="45" customFormat="false" ht="15" hidden="false" customHeight="false" outlineLevel="0" collapsed="false">
      <c r="A45" s="18" t="n">
        <v>180209658</v>
      </c>
      <c r="B45" s="10" t="n">
        <v>113</v>
      </c>
      <c r="C45" s="18" t="s">
        <v>43</v>
      </c>
      <c r="D45" s="9" t="s">
        <v>297</v>
      </c>
      <c r="E45" s="9" t="s">
        <v>298</v>
      </c>
      <c r="F45" s="9" t="s">
        <v>259</v>
      </c>
      <c r="G45" s="10" t="n">
        <v>2026</v>
      </c>
      <c r="H45" s="10" t="n">
        <v>10</v>
      </c>
      <c r="I45" s="19" t="n">
        <v>21600</v>
      </c>
      <c r="J45" s="19" t="n">
        <v>24000</v>
      </c>
      <c r="K45" s="10" t="n">
        <v>240</v>
      </c>
      <c r="L45" s="10" t="n">
        <v>3858</v>
      </c>
      <c r="M45" s="10" t="n">
        <v>61</v>
      </c>
      <c r="N45" s="11" t="n">
        <v>9.9</v>
      </c>
      <c r="O45" s="18" t="s">
        <v>56</v>
      </c>
    </row>
    <row r="46" customFormat="false" ht="15" hidden="false" customHeight="false" outlineLevel="0" collapsed="false">
      <c r="A46" s="18" t="n">
        <v>109651824</v>
      </c>
      <c r="B46" s="10" t="n">
        <v>118</v>
      </c>
      <c r="C46" s="18" t="s">
        <v>43</v>
      </c>
      <c r="D46" s="9" t="s">
        <v>306</v>
      </c>
      <c r="E46" s="9" t="s">
        <v>307</v>
      </c>
      <c r="F46" s="9" t="s">
        <v>308</v>
      </c>
      <c r="G46" s="10" t="n">
        <v>2022</v>
      </c>
      <c r="H46" s="10" t="n">
        <v>10</v>
      </c>
      <c r="I46" s="19" t="n">
        <v>20700</v>
      </c>
      <c r="J46" s="19" t="n">
        <v>23000</v>
      </c>
      <c r="K46" s="10" t="n">
        <v>1150</v>
      </c>
      <c r="L46" s="10" t="n">
        <v>2916</v>
      </c>
      <c r="M46" s="10" t="n">
        <v>30</v>
      </c>
      <c r="N46" s="11" t="n">
        <v>9.8</v>
      </c>
      <c r="O46" s="18" t="s">
        <v>56</v>
      </c>
    </row>
    <row r="47" customFormat="false" ht="15" hidden="false" customHeight="false" outlineLevel="0" collapsed="false">
      <c r="A47" s="18" t="n">
        <v>15238736</v>
      </c>
      <c r="B47" s="10" t="n">
        <v>119</v>
      </c>
      <c r="C47" s="18" t="s">
        <v>43</v>
      </c>
      <c r="D47" s="9" t="s">
        <v>309</v>
      </c>
      <c r="E47" s="9" t="s">
        <v>310</v>
      </c>
      <c r="F47" s="9" t="s">
        <v>311</v>
      </c>
      <c r="G47" s="10" t="n">
        <v>2014</v>
      </c>
      <c r="H47" s="10" t="n">
        <v>10</v>
      </c>
      <c r="I47" s="19" t="n">
        <v>16200</v>
      </c>
      <c r="J47" s="19" t="n">
        <v>18000</v>
      </c>
      <c r="K47" s="10" t="n">
        <v>900</v>
      </c>
      <c r="L47" s="10" t="n">
        <v>2688</v>
      </c>
      <c r="M47" s="10" t="n">
        <v>24</v>
      </c>
      <c r="N47" s="11" t="n">
        <v>9.7</v>
      </c>
      <c r="O47" s="18" t="s">
        <v>56</v>
      </c>
    </row>
    <row r="48" customFormat="false" ht="15" hidden="false" customHeight="false" outlineLevel="0" collapsed="false">
      <c r="A48" s="18" t="n">
        <v>7921251</v>
      </c>
      <c r="B48" s="10" t="n">
        <v>121</v>
      </c>
      <c r="C48" s="18" t="s">
        <v>43</v>
      </c>
      <c r="D48" s="9" t="s">
        <v>314</v>
      </c>
      <c r="E48" s="9" t="s">
        <v>315</v>
      </c>
      <c r="F48" s="9" t="s">
        <v>311</v>
      </c>
      <c r="G48" s="10" t="n">
        <v>2012</v>
      </c>
      <c r="H48" s="10" t="n">
        <v>10</v>
      </c>
      <c r="I48" s="19" t="n">
        <v>16200</v>
      </c>
      <c r="J48" s="19" t="n">
        <v>18000</v>
      </c>
      <c r="K48" s="10" t="n">
        <v>900</v>
      </c>
      <c r="L48" s="10" t="n">
        <v>6384</v>
      </c>
      <c r="M48" s="10" t="n">
        <v>28</v>
      </c>
      <c r="N48" s="11" t="n">
        <v>6.4</v>
      </c>
      <c r="O48" s="18" t="s">
        <v>56</v>
      </c>
    </row>
    <row r="49" customFormat="false" ht="15" hidden="false" customHeight="false" outlineLevel="0" collapsed="false">
      <c r="A49" s="18" t="n">
        <v>190211456</v>
      </c>
      <c r="B49" s="10" t="n">
        <v>122</v>
      </c>
      <c r="C49" s="18" t="s">
        <v>43</v>
      </c>
      <c r="D49" s="9" t="s">
        <v>316</v>
      </c>
      <c r="E49" s="9" t="s">
        <v>317</v>
      </c>
      <c r="F49" s="9" t="s">
        <v>145</v>
      </c>
      <c r="G49" s="10" t="n">
        <v>2026</v>
      </c>
      <c r="H49" s="10" t="n">
        <v>0</v>
      </c>
      <c r="I49" s="19" t="n">
        <v>20000</v>
      </c>
      <c r="J49" s="19" t="n">
        <v>20000</v>
      </c>
      <c r="K49" s="10" t="n">
        <v>0</v>
      </c>
      <c r="L49" s="10" t="n">
        <v>420</v>
      </c>
      <c r="M49" s="10" t="n">
        <v>0</v>
      </c>
      <c r="N49" s="11" t="n">
        <v>0</v>
      </c>
      <c r="O49" s="18" t="s">
        <v>56</v>
      </c>
    </row>
    <row r="50" customFormat="false" ht="15" hidden="false" customHeight="false" outlineLevel="0" collapsed="false">
      <c r="A50" s="18" t="n">
        <v>69750539</v>
      </c>
      <c r="B50" s="10" t="n">
        <v>124</v>
      </c>
      <c r="C50" s="18" t="s">
        <v>43</v>
      </c>
      <c r="D50" s="15" t="s">
        <v>320</v>
      </c>
      <c r="E50" s="9" t="s">
        <v>321</v>
      </c>
      <c r="F50" s="9" t="s">
        <v>322</v>
      </c>
      <c r="G50" s="10" t="n">
        <v>2019</v>
      </c>
      <c r="H50" s="10" t="n">
        <v>0</v>
      </c>
      <c r="I50" s="19" t="n">
        <v>29000</v>
      </c>
      <c r="J50" s="19" t="n">
        <v>29000</v>
      </c>
      <c r="K50" s="10" t="n">
        <v>870</v>
      </c>
      <c r="L50" s="10" t="n">
        <v>7305</v>
      </c>
      <c r="M50" s="10" t="n">
        <v>39</v>
      </c>
      <c r="N50" s="11" t="n">
        <v>9.5</v>
      </c>
      <c r="O50" s="18" t="s">
        <v>46</v>
      </c>
    </row>
    <row r="51" customFormat="false" ht="15" hidden="false" customHeight="false" outlineLevel="0" collapsed="false">
      <c r="A51" s="18" t="n">
        <v>190440092</v>
      </c>
      <c r="B51" s="10" t="n">
        <v>125</v>
      </c>
      <c r="C51" s="18" t="s">
        <v>43</v>
      </c>
      <c r="D51" s="9" t="s">
        <v>323</v>
      </c>
      <c r="E51" s="9" t="s">
        <v>324</v>
      </c>
      <c r="F51" s="9" t="s">
        <v>184</v>
      </c>
      <c r="G51" s="10" t="n">
        <v>2026</v>
      </c>
      <c r="H51" s="10" t="n">
        <v>0</v>
      </c>
      <c r="I51" s="19" t="n">
        <v>17000</v>
      </c>
      <c r="J51" s="19" t="n">
        <v>17000</v>
      </c>
      <c r="K51" s="10" t="n">
        <v>0</v>
      </c>
      <c r="L51" s="10" t="n">
        <v>420</v>
      </c>
      <c r="M51" s="10" t="n">
        <v>6</v>
      </c>
      <c r="N51" s="11" t="n">
        <v>10</v>
      </c>
      <c r="O51" s="18" t="s">
        <v>56</v>
      </c>
    </row>
    <row r="52" customFormat="false" ht="15" hidden="false" customHeight="false" outlineLevel="0" collapsed="false">
      <c r="A52" s="18" t="n">
        <v>184675866</v>
      </c>
      <c r="B52" s="10" t="n">
        <v>126</v>
      </c>
      <c r="C52" s="18" t="s">
        <v>43</v>
      </c>
      <c r="D52" s="9" t="s">
        <v>325</v>
      </c>
      <c r="E52" s="9" t="s">
        <v>326</v>
      </c>
      <c r="F52" s="9" t="s">
        <v>259</v>
      </c>
      <c r="G52" s="10" t="n">
        <v>2026</v>
      </c>
      <c r="H52" s="10" t="n">
        <v>10</v>
      </c>
      <c r="I52" s="19" t="n">
        <v>22500</v>
      </c>
      <c r="J52" s="19" t="n">
        <v>25000</v>
      </c>
      <c r="K52" s="10" t="n">
        <v>250</v>
      </c>
      <c r="L52" s="10" t="n">
        <v>4221</v>
      </c>
      <c r="M52" s="10" t="n">
        <v>30</v>
      </c>
      <c r="N52" s="11" t="n">
        <v>9.8</v>
      </c>
      <c r="O52" s="18" t="s">
        <v>46</v>
      </c>
    </row>
    <row r="53" customFormat="false" ht="15" hidden="false" customHeight="false" outlineLevel="0" collapsed="false">
      <c r="A53" s="18" t="n">
        <v>183756523</v>
      </c>
      <c r="B53" s="10" t="n">
        <v>127</v>
      </c>
      <c r="C53" s="18" t="s">
        <v>43</v>
      </c>
      <c r="D53" s="9" t="s">
        <v>327</v>
      </c>
      <c r="E53" s="9" t="s">
        <v>328</v>
      </c>
      <c r="F53" s="9" t="s">
        <v>329</v>
      </c>
      <c r="G53" s="10" t="n">
        <v>2026</v>
      </c>
      <c r="H53" s="10" t="n">
        <v>10</v>
      </c>
      <c r="I53" s="19" t="n">
        <v>25200</v>
      </c>
      <c r="J53" s="19" t="n">
        <v>28000</v>
      </c>
      <c r="K53" s="10" t="n">
        <v>1400</v>
      </c>
      <c r="L53" s="10" t="n">
        <v>2634</v>
      </c>
      <c r="M53" s="10" t="n">
        <v>1</v>
      </c>
      <c r="N53" s="11" t="n">
        <v>10</v>
      </c>
      <c r="O53" s="18" t="s">
        <v>56</v>
      </c>
    </row>
    <row r="54" customFormat="false" ht="15" hidden="false" customHeight="false" outlineLevel="0" collapsed="false">
      <c r="A54" s="18" t="n">
        <v>180516403</v>
      </c>
      <c r="B54" s="10" t="n">
        <v>130</v>
      </c>
      <c r="C54" s="18" t="s">
        <v>43</v>
      </c>
      <c r="D54" s="9" t="s">
        <v>334</v>
      </c>
      <c r="E54" s="9" t="s">
        <v>335</v>
      </c>
      <c r="F54" s="9" t="s">
        <v>336</v>
      </c>
      <c r="G54" s="10" t="n">
        <v>2026</v>
      </c>
      <c r="H54" s="10" t="n">
        <v>10</v>
      </c>
      <c r="I54" s="19" t="n">
        <v>22500</v>
      </c>
      <c r="J54" s="19" t="n">
        <v>25000</v>
      </c>
      <c r="K54" s="10" t="n">
        <v>1250</v>
      </c>
      <c r="L54" s="10" t="n">
        <v>1002</v>
      </c>
      <c r="M54" s="10" t="n">
        <v>11</v>
      </c>
      <c r="N54" s="11" t="n">
        <v>9.6</v>
      </c>
      <c r="O54" s="18" t="s">
        <v>56</v>
      </c>
    </row>
    <row r="55" customFormat="false" ht="15" hidden="false" customHeight="false" outlineLevel="0" collapsed="false">
      <c r="A55" s="18" t="n">
        <v>173183477</v>
      </c>
      <c r="B55" s="10" t="n">
        <v>132</v>
      </c>
      <c r="C55" s="18" t="s">
        <v>43</v>
      </c>
      <c r="D55" s="9" t="s">
        <v>338</v>
      </c>
      <c r="E55" s="9" t="s">
        <v>339</v>
      </c>
      <c r="F55" s="9" t="s">
        <v>202</v>
      </c>
      <c r="G55" s="10" t="n">
        <v>2026</v>
      </c>
      <c r="H55" s="10" t="n">
        <v>10</v>
      </c>
      <c r="I55" s="19" t="n">
        <v>18000</v>
      </c>
      <c r="J55" s="19" t="n">
        <v>20000</v>
      </c>
      <c r="K55" s="10" t="n">
        <v>1000</v>
      </c>
      <c r="L55" s="10" t="n">
        <v>5997</v>
      </c>
      <c r="M55" s="10" t="n">
        <v>8</v>
      </c>
      <c r="N55" s="11" t="n">
        <v>10</v>
      </c>
      <c r="O55" s="18" t="s">
        <v>56</v>
      </c>
    </row>
    <row r="56" customFormat="false" ht="15" hidden="false" customHeight="false" outlineLevel="0" collapsed="false">
      <c r="A56" s="18" t="n">
        <v>167405152</v>
      </c>
      <c r="B56" s="10" t="n">
        <v>133</v>
      </c>
      <c r="C56" s="18" t="s">
        <v>43</v>
      </c>
      <c r="D56" s="9" t="s">
        <v>340</v>
      </c>
      <c r="E56" s="9" t="s">
        <v>341</v>
      </c>
      <c r="F56" s="9" t="s">
        <v>88</v>
      </c>
      <c r="G56" s="10" t="n">
        <v>2025</v>
      </c>
      <c r="H56" s="10" t="n">
        <v>10</v>
      </c>
      <c r="I56" s="19" t="n">
        <v>22500</v>
      </c>
      <c r="J56" s="19" t="n">
        <v>25000</v>
      </c>
      <c r="K56" s="10" t="n">
        <v>1250</v>
      </c>
      <c r="L56" s="10" t="n">
        <v>6168</v>
      </c>
      <c r="M56" s="10" t="n">
        <v>13</v>
      </c>
      <c r="N56" s="11" t="n">
        <v>9.7</v>
      </c>
      <c r="O56" s="18" t="s">
        <v>56</v>
      </c>
    </row>
    <row r="57" customFormat="false" ht="15" hidden="false" customHeight="false" outlineLevel="0" collapsed="false">
      <c r="A57" s="18" t="n">
        <v>144648441</v>
      </c>
      <c r="B57" s="10" t="n">
        <v>139</v>
      </c>
      <c r="C57" s="18" t="s">
        <v>43</v>
      </c>
      <c r="D57" s="9" t="s">
        <v>349</v>
      </c>
      <c r="E57" s="9" t="s">
        <v>350</v>
      </c>
      <c r="F57" s="9" t="s">
        <v>64</v>
      </c>
      <c r="G57" s="10" t="n">
        <v>2025</v>
      </c>
      <c r="H57" s="10" t="n">
        <v>10</v>
      </c>
      <c r="I57" s="19" t="n">
        <v>21960</v>
      </c>
      <c r="J57" s="19" t="n">
        <v>24400</v>
      </c>
      <c r="K57" s="10" t="n">
        <v>1220</v>
      </c>
      <c r="L57" s="10" t="n">
        <v>18750</v>
      </c>
      <c r="M57" s="10" t="n">
        <v>17</v>
      </c>
      <c r="N57" s="11" t="n">
        <v>9.9</v>
      </c>
      <c r="O57" s="18" t="s">
        <v>56</v>
      </c>
    </row>
    <row r="58" customFormat="false" ht="15" hidden="false" customHeight="false" outlineLevel="0" collapsed="false">
      <c r="A58" s="18" t="n">
        <v>142201171</v>
      </c>
      <c r="B58" s="10" t="n">
        <v>140</v>
      </c>
      <c r="C58" s="18" t="s">
        <v>43</v>
      </c>
      <c r="D58" s="9" t="s">
        <v>351</v>
      </c>
      <c r="E58" s="9" t="s">
        <v>352</v>
      </c>
      <c r="F58" s="9" t="s">
        <v>195</v>
      </c>
      <c r="G58" s="10" t="n">
        <v>2025</v>
      </c>
      <c r="H58" s="10" t="n">
        <v>10</v>
      </c>
      <c r="I58" s="19" t="n">
        <v>20700</v>
      </c>
      <c r="J58" s="19" t="n">
        <v>23000</v>
      </c>
      <c r="K58" s="10" t="n">
        <v>1150</v>
      </c>
      <c r="L58" s="10" t="n">
        <v>13461</v>
      </c>
      <c r="M58" s="10" t="n">
        <v>32</v>
      </c>
      <c r="N58" s="11" t="n">
        <v>9.9</v>
      </c>
      <c r="O58" s="18" t="s">
        <v>46</v>
      </c>
    </row>
    <row r="59" customFormat="false" ht="15" hidden="false" customHeight="false" outlineLevel="0" collapsed="false">
      <c r="A59" s="18" t="n">
        <v>140242586</v>
      </c>
      <c r="B59" s="10" t="n">
        <v>141</v>
      </c>
      <c r="C59" s="18" t="s">
        <v>43</v>
      </c>
      <c r="D59" s="9" t="s">
        <v>353</v>
      </c>
      <c r="E59" s="9" t="s">
        <v>151</v>
      </c>
      <c r="F59" s="9" t="s">
        <v>64</v>
      </c>
      <c r="G59" s="10" t="n">
        <v>2025</v>
      </c>
      <c r="H59" s="10" t="n">
        <v>10</v>
      </c>
      <c r="I59" s="19" t="n">
        <v>19620</v>
      </c>
      <c r="J59" s="19" t="n">
        <v>21800</v>
      </c>
      <c r="K59" s="10" t="n">
        <v>1090</v>
      </c>
      <c r="L59" s="10" t="n">
        <v>12696</v>
      </c>
      <c r="M59" s="10" t="n">
        <v>18</v>
      </c>
      <c r="N59" s="11" t="n">
        <v>9.9</v>
      </c>
      <c r="O59" s="18" t="s">
        <v>56</v>
      </c>
    </row>
    <row r="60" customFormat="false" ht="15" hidden="false" customHeight="false" outlineLevel="0" collapsed="false">
      <c r="A60" s="18" t="n">
        <v>61254539</v>
      </c>
      <c r="B60" s="10" t="n">
        <v>144</v>
      </c>
      <c r="C60" s="18" t="s">
        <v>43</v>
      </c>
      <c r="D60" s="9" t="s">
        <v>358</v>
      </c>
      <c r="E60" s="9" t="s">
        <v>359</v>
      </c>
      <c r="F60" s="9" t="s">
        <v>360</v>
      </c>
      <c r="G60" s="10" t="n">
        <v>2018</v>
      </c>
      <c r="H60" s="10" t="n">
        <v>10</v>
      </c>
      <c r="I60" s="19" t="n">
        <v>34200</v>
      </c>
      <c r="J60" s="19" t="n">
        <v>38000</v>
      </c>
      <c r="K60" s="10" t="n">
        <v>0</v>
      </c>
      <c r="L60" s="10" t="n">
        <v>6372</v>
      </c>
      <c r="M60" s="10" t="n">
        <v>31</v>
      </c>
      <c r="N60" s="11" t="n">
        <v>9.6</v>
      </c>
      <c r="O60" s="18" t="s">
        <v>46</v>
      </c>
    </row>
    <row r="61" customFormat="false" ht="15" hidden="false" customHeight="false" outlineLevel="0" collapsed="false">
      <c r="A61" s="18" t="n">
        <v>189360735</v>
      </c>
      <c r="B61" s="10" t="n">
        <v>146</v>
      </c>
      <c r="C61" s="18" t="s">
        <v>43</v>
      </c>
      <c r="D61" s="15" t="s">
        <v>363</v>
      </c>
      <c r="E61" s="9" t="s">
        <v>364</v>
      </c>
      <c r="F61" s="9" t="s">
        <v>365</v>
      </c>
      <c r="G61" s="10" t="n">
        <v>2026</v>
      </c>
      <c r="H61" s="10" t="n">
        <v>10</v>
      </c>
      <c r="I61" s="19" t="n">
        <v>18000</v>
      </c>
      <c r="J61" s="19" t="n">
        <v>20000</v>
      </c>
      <c r="K61" s="10" t="n">
        <v>1000</v>
      </c>
      <c r="L61" s="10" t="n">
        <v>1224</v>
      </c>
      <c r="M61" s="10" t="n">
        <v>35</v>
      </c>
      <c r="N61" s="11" t="n">
        <v>10</v>
      </c>
      <c r="O61" s="18" t="s">
        <v>56</v>
      </c>
    </row>
    <row r="62" customFormat="false" ht="15" hidden="false" customHeight="false" outlineLevel="0" collapsed="false">
      <c r="A62" s="18" t="n">
        <v>167476779</v>
      </c>
      <c r="B62" s="10" t="n">
        <v>159</v>
      </c>
      <c r="C62" s="18" t="s">
        <v>43</v>
      </c>
      <c r="D62" s="9" t="s">
        <v>390</v>
      </c>
      <c r="E62" s="9" t="s">
        <v>391</v>
      </c>
      <c r="F62" s="9" t="s">
        <v>64</v>
      </c>
      <c r="G62" s="10" t="n">
        <v>2026</v>
      </c>
      <c r="H62" s="10" t="n">
        <v>10</v>
      </c>
      <c r="I62" s="19" t="n">
        <v>18000</v>
      </c>
      <c r="J62" s="19" t="n">
        <v>20000</v>
      </c>
      <c r="K62" s="10" t="n">
        <v>1000</v>
      </c>
      <c r="L62" s="10" t="n">
        <v>2940</v>
      </c>
      <c r="M62" s="10" t="n">
        <v>25</v>
      </c>
      <c r="N62" s="11" t="n">
        <v>9.9</v>
      </c>
      <c r="O62" s="18" t="s">
        <v>56</v>
      </c>
    </row>
    <row r="63" customFormat="false" ht="15" hidden="false" customHeight="false" outlineLevel="0" collapsed="false">
      <c r="A63" s="18" t="n">
        <v>162322988</v>
      </c>
      <c r="B63" s="10" t="n">
        <v>160</v>
      </c>
      <c r="C63" s="18" t="s">
        <v>43</v>
      </c>
      <c r="D63" s="9" t="s">
        <v>392</v>
      </c>
      <c r="E63" s="9" t="s">
        <v>393</v>
      </c>
      <c r="F63" s="9" t="s">
        <v>116</v>
      </c>
      <c r="G63" s="10" t="n">
        <v>2025</v>
      </c>
      <c r="H63" s="10" t="n">
        <v>10</v>
      </c>
      <c r="I63" s="19" t="n">
        <v>25200</v>
      </c>
      <c r="J63" s="19" t="n">
        <v>28000</v>
      </c>
      <c r="K63" s="10" t="n">
        <v>1400</v>
      </c>
      <c r="L63" s="10" t="n">
        <v>9024</v>
      </c>
      <c r="M63" s="10" t="n">
        <v>4</v>
      </c>
      <c r="N63" s="11" t="n">
        <v>10</v>
      </c>
      <c r="O63" s="18" t="s">
        <v>56</v>
      </c>
    </row>
    <row r="64" customFormat="false" ht="15" hidden="false" customHeight="false" outlineLevel="0" collapsed="false">
      <c r="A64" s="18" t="n">
        <v>144689418</v>
      </c>
      <c r="B64" s="10" t="n">
        <v>164</v>
      </c>
      <c r="C64" s="18" t="s">
        <v>43</v>
      </c>
      <c r="D64" s="15" t="s">
        <v>400</v>
      </c>
      <c r="E64" s="9" t="s">
        <v>401</v>
      </c>
      <c r="F64" s="9" t="s">
        <v>211</v>
      </c>
      <c r="G64" s="10" t="n">
        <v>2025</v>
      </c>
      <c r="H64" s="10" t="n">
        <v>10</v>
      </c>
      <c r="I64" s="19" t="n">
        <v>28800</v>
      </c>
      <c r="J64" s="19" t="n">
        <v>32000</v>
      </c>
      <c r="K64" s="10" t="n">
        <v>1600</v>
      </c>
      <c r="L64" s="10" t="n">
        <v>2916</v>
      </c>
      <c r="M64" s="10" t="n">
        <v>5</v>
      </c>
      <c r="N64" s="11" t="n">
        <v>10</v>
      </c>
      <c r="O64" s="18" t="s">
        <v>56</v>
      </c>
    </row>
    <row r="65" customFormat="false" ht="15" hidden="false" customHeight="false" outlineLevel="0" collapsed="false">
      <c r="A65" s="18" t="n">
        <v>142865129</v>
      </c>
      <c r="B65" s="10" t="n">
        <v>165</v>
      </c>
      <c r="C65" s="18" t="s">
        <v>43</v>
      </c>
      <c r="D65" s="9" t="s">
        <v>402</v>
      </c>
      <c r="E65" s="9" t="s">
        <v>403</v>
      </c>
      <c r="F65" s="9" t="s">
        <v>161</v>
      </c>
      <c r="G65" s="10" t="n">
        <v>2025</v>
      </c>
      <c r="H65" s="10" t="n">
        <v>10</v>
      </c>
      <c r="I65" s="19" t="n">
        <v>12600</v>
      </c>
      <c r="J65" s="19" t="n">
        <v>14000</v>
      </c>
      <c r="K65" s="10" t="n">
        <v>700</v>
      </c>
      <c r="L65" s="10" t="n">
        <v>1665</v>
      </c>
      <c r="M65" s="10" t="n">
        <v>0</v>
      </c>
      <c r="N65" s="11" t="n">
        <v>0</v>
      </c>
      <c r="O65" s="18" t="s">
        <v>56</v>
      </c>
    </row>
    <row r="66" customFormat="false" ht="15" hidden="false" customHeight="false" outlineLevel="0" collapsed="false">
      <c r="A66" s="18" t="n">
        <v>135223090</v>
      </c>
      <c r="B66" s="10" t="n">
        <v>166</v>
      </c>
      <c r="C66" s="18" t="s">
        <v>43</v>
      </c>
      <c r="D66" s="9" t="s">
        <v>404</v>
      </c>
      <c r="E66" s="9" t="s">
        <v>405</v>
      </c>
      <c r="F66" s="9" t="s">
        <v>406</v>
      </c>
      <c r="G66" s="10" t="n">
        <v>2026</v>
      </c>
      <c r="H66" s="10" t="n">
        <v>10</v>
      </c>
      <c r="I66" s="19" t="n">
        <v>21600</v>
      </c>
      <c r="J66" s="19" t="n">
        <v>24000</v>
      </c>
      <c r="K66" s="10" t="n">
        <v>1200</v>
      </c>
      <c r="L66" s="10" t="n">
        <v>4416</v>
      </c>
      <c r="M66" s="10" t="n">
        <v>46</v>
      </c>
      <c r="N66" s="11" t="n">
        <v>10</v>
      </c>
      <c r="O66" s="18" t="s">
        <v>56</v>
      </c>
    </row>
    <row r="67" customFormat="false" ht="15" hidden="false" customHeight="false" outlineLevel="0" collapsed="false">
      <c r="A67" s="18" t="n">
        <v>133823740</v>
      </c>
      <c r="B67" s="10" t="n">
        <v>167</v>
      </c>
      <c r="C67" s="18" t="s">
        <v>43</v>
      </c>
      <c r="D67" s="9" t="s">
        <v>407</v>
      </c>
      <c r="E67" s="9" t="s">
        <v>408</v>
      </c>
      <c r="F67" s="9" t="s">
        <v>195</v>
      </c>
      <c r="G67" s="10" t="n">
        <v>2024</v>
      </c>
      <c r="H67" s="10" t="n">
        <v>10</v>
      </c>
      <c r="I67" s="19" t="n">
        <v>18000</v>
      </c>
      <c r="J67" s="19" t="n">
        <v>20000</v>
      </c>
      <c r="K67" s="10" t="n">
        <v>1000</v>
      </c>
      <c r="L67" s="10" t="n">
        <v>7884</v>
      </c>
      <c r="M67" s="10" t="n">
        <v>19</v>
      </c>
      <c r="N67" s="11" t="n">
        <v>9.7</v>
      </c>
      <c r="O67" s="18" t="s">
        <v>56</v>
      </c>
    </row>
    <row r="68" customFormat="false" ht="15" hidden="false" customHeight="false" outlineLevel="0" collapsed="false">
      <c r="A68" s="18" t="n">
        <v>126305083</v>
      </c>
      <c r="B68" s="10" t="n">
        <v>169</v>
      </c>
      <c r="C68" s="18" t="s">
        <v>43</v>
      </c>
      <c r="D68" s="9" t="s">
        <v>411</v>
      </c>
      <c r="E68" s="9" t="s">
        <v>412</v>
      </c>
      <c r="F68" s="9" t="s">
        <v>413</v>
      </c>
      <c r="G68" s="10" t="n">
        <v>2024</v>
      </c>
      <c r="H68" s="10" t="n">
        <v>10</v>
      </c>
      <c r="I68" s="19" t="n">
        <v>27000</v>
      </c>
      <c r="J68" s="19" t="n">
        <v>30000</v>
      </c>
      <c r="K68" s="10" t="n">
        <v>1500</v>
      </c>
      <c r="L68" s="10" t="n">
        <v>2526</v>
      </c>
      <c r="M68" s="10" t="n">
        <v>13</v>
      </c>
      <c r="N68" s="11" t="n">
        <v>8.6</v>
      </c>
      <c r="O68" s="18" t="s">
        <v>56</v>
      </c>
    </row>
    <row r="69" customFormat="false" ht="15" hidden="false" customHeight="false" outlineLevel="0" collapsed="false">
      <c r="A69" s="18" t="n">
        <v>115782215</v>
      </c>
      <c r="B69" s="10" t="n">
        <v>171</v>
      </c>
      <c r="C69" s="18" t="s">
        <v>43</v>
      </c>
      <c r="D69" s="15" t="s">
        <v>416</v>
      </c>
      <c r="E69" s="9" t="s">
        <v>417</v>
      </c>
      <c r="F69" s="9" t="s">
        <v>418</v>
      </c>
      <c r="G69" s="10" t="n">
        <v>2022</v>
      </c>
      <c r="H69" s="10" t="n">
        <v>10</v>
      </c>
      <c r="I69" s="19" t="n">
        <v>18900</v>
      </c>
      <c r="J69" s="19" t="n">
        <v>21000</v>
      </c>
      <c r="K69" s="10" t="n">
        <v>1050</v>
      </c>
      <c r="L69" s="10" t="n">
        <v>2382</v>
      </c>
      <c r="M69" s="10" t="n">
        <v>63</v>
      </c>
      <c r="N69" s="11" t="n">
        <v>9.4</v>
      </c>
      <c r="O69" s="18" t="s">
        <v>56</v>
      </c>
    </row>
    <row r="70" customFormat="false" ht="15" hidden="false" customHeight="false" outlineLevel="0" collapsed="false">
      <c r="A70" s="18" t="n">
        <v>91887223</v>
      </c>
      <c r="B70" s="10" t="n">
        <v>173</v>
      </c>
      <c r="C70" s="18" t="s">
        <v>43</v>
      </c>
      <c r="D70" s="9" t="s">
        <v>420</v>
      </c>
      <c r="E70" s="9" t="s">
        <v>421</v>
      </c>
      <c r="F70" s="9" t="s">
        <v>422</v>
      </c>
      <c r="G70" s="10" t="n">
        <v>2020</v>
      </c>
      <c r="H70" s="10" t="n">
        <v>10</v>
      </c>
      <c r="I70" s="19" t="n">
        <v>22500</v>
      </c>
      <c r="J70" s="19" t="n">
        <v>25000</v>
      </c>
      <c r="K70" s="10" t="n">
        <v>1250</v>
      </c>
      <c r="L70" s="10" t="n">
        <v>1554</v>
      </c>
      <c r="M70" s="10" t="n">
        <v>3</v>
      </c>
      <c r="N70" s="11" t="n">
        <v>9.3</v>
      </c>
      <c r="O70" s="18" t="s">
        <v>56</v>
      </c>
    </row>
    <row r="71" customFormat="false" ht="15" hidden="false" customHeight="false" outlineLevel="0" collapsed="false">
      <c r="A71" s="18" t="n">
        <v>188189600</v>
      </c>
      <c r="B71" s="10" t="n">
        <v>174</v>
      </c>
      <c r="C71" s="18" t="s">
        <v>43</v>
      </c>
      <c r="D71" s="9" t="s">
        <v>423</v>
      </c>
      <c r="E71" s="9" t="s">
        <v>424</v>
      </c>
      <c r="F71" s="9" t="s">
        <v>279</v>
      </c>
      <c r="G71" s="10" t="n">
        <v>2026</v>
      </c>
      <c r="H71" s="10" t="n">
        <v>10</v>
      </c>
      <c r="I71" s="19" t="n">
        <v>19800</v>
      </c>
      <c r="J71" s="19" t="n">
        <v>22000</v>
      </c>
      <c r="K71" s="10" t="n">
        <v>1100</v>
      </c>
      <c r="L71" s="10" t="n">
        <v>1272</v>
      </c>
      <c r="M71" s="10" t="n">
        <v>7</v>
      </c>
      <c r="N71" s="11" t="n">
        <v>10</v>
      </c>
      <c r="O71" s="18" t="s">
        <v>56</v>
      </c>
    </row>
    <row r="72" customFormat="false" ht="15" hidden="false" customHeight="false" outlineLevel="0" collapsed="false">
      <c r="A72" s="18" t="n">
        <v>102819435</v>
      </c>
      <c r="B72" s="10" t="n">
        <v>177</v>
      </c>
      <c r="C72" s="18" t="s">
        <v>43</v>
      </c>
      <c r="D72" s="9" t="s">
        <v>429</v>
      </c>
      <c r="E72" s="9" t="s">
        <v>430</v>
      </c>
      <c r="F72" s="9" t="s">
        <v>311</v>
      </c>
      <c r="G72" s="10" t="n">
        <v>2021</v>
      </c>
      <c r="H72" s="10" t="n">
        <v>10</v>
      </c>
      <c r="I72" s="19" t="n">
        <v>21600</v>
      </c>
      <c r="J72" s="19" t="n">
        <v>24000</v>
      </c>
      <c r="K72" s="10" t="n">
        <v>1200</v>
      </c>
      <c r="L72" s="10" t="n">
        <v>6786</v>
      </c>
      <c r="M72" s="10" t="n">
        <v>60</v>
      </c>
      <c r="N72" s="11" t="n">
        <v>9.4</v>
      </c>
      <c r="O72" s="18" t="s">
        <v>46</v>
      </c>
    </row>
    <row r="73" customFormat="false" ht="15" hidden="false" customHeight="false" outlineLevel="0" collapsed="false">
      <c r="A73" s="18" t="n">
        <v>190852162</v>
      </c>
      <c r="B73" s="10" t="n">
        <v>178</v>
      </c>
      <c r="C73" s="18" t="s">
        <v>43</v>
      </c>
      <c r="D73" s="9" t="s">
        <v>431</v>
      </c>
      <c r="E73" s="9" t="s">
        <v>432</v>
      </c>
      <c r="F73" s="9" t="s">
        <v>259</v>
      </c>
      <c r="G73" s="10" t="n">
        <v>2026</v>
      </c>
      <c r="H73" s="10" t="n">
        <v>10</v>
      </c>
      <c r="I73" s="19" t="n">
        <v>21600</v>
      </c>
      <c r="J73" s="19" t="n">
        <v>24000</v>
      </c>
      <c r="K73" s="10" t="n">
        <v>1200</v>
      </c>
      <c r="L73" s="10" t="n">
        <v>240</v>
      </c>
      <c r="M73" s="10" t="n">
        <v>1</v>
      </c>
      <c r="N73" s="11" t="n">
        <v>10</v>
      </c>
      <c r="O73" s="18" t="s">
        <v>56</v>
      </c>
    </row>
    <row r="74" customFormat="false" ht="15" hidden="false" customHeight="false" outlineLevel="0" collapsed="false">
      <c r="A74" s="18" t="n">
        <v>189007418</v>
      </c>
      <c r="B74" s="10" t="n">
        <v>179</v>
      </c>
      <c r="C74" s="18" t="s">
        <v>43</v>
      </c>
      <c r="D74" s="15" t="s">
        <v>433</v>
      </c>
      <c r="E74" s="9" t="s">
        <v>434</v>
      </c>
      <c r="F74" s="9" t="s">
        <v>435</v>
      </c>
      <c r="G74" s="10" t="n">
        <v>2026</v>
      </c>
      <c r="H74" s="10" t="n">
        <v>10</v>
      </c>
      <c r="I74" s="19" t="n">
        <v>10800</v>
      </c>
      <c r="J74" s="19" t="n">
        <v>12000</v>
      </c>
      <c r="K74" s="10" t="n">
        <v>600</v>
      </c>
      <c r="L74" s="10" t="n">
        <v>1122</v>
      </c>
      <c r="M74" s="10" t="n">
        <v>2</v>
      </c>
      <c r="N74" s="11" t="n">
        <v>8</v>
      </c>
      <c r="O74" s="18" t="s">
        <v>56</v>
      </c>
    </row>
    <row r="75" customFormat="false" ht="15" hidden="false" customHeight="false" outlineLevel="0" collapsed="false">
      <c r="A75" s="18" t="n">
        <v>188823173</v>
      </c>
      <c r="B75" s="10" t="n">
        <v>180</v>
      </c>
      <c r="C75" s="18" t="s">
        <v>43</v>
      </c>
      <c r="D75" s="9" t="s">
        <v>436</v>
      </c>
      <c r="E75" s="9" t="s">
        <v>437</v>
      </c>
      <c r="F75" s="9" t="s">
        <v>64</v>
      </c>
      <c r="G75" s="10" t="n">
        <v>2026</v>
      </c>
      <c r="H75" s="10" t="n">
        <v>10</v>
      </c>
      <c r="I75" s="19" t="n">
        <v>20970</v>
      </c>
      <c r="J75" s="19" t="n">
        <v>23300</v>
      </c>
      <c r="K75" s="10" t="n">
        <v>230</v>
      </c>
      <c r="L75" s="10" t="n">
        <v>1755</v>
      </c>
      <c r="M75" s="10" t="n">
        <v>29</v>
      </c>
      <c r="N75" s="11" t="n">
        <v>10</v>
      </c>
      <c r="O75" s="18" t="s">
        <v>56</v>
      </c>
    </row>
    <row r="76" customFormat="false" ht="15" hidden="false" customHeight="false" outlineLevel="0" collapsed="false">
      <c r="A76" s="18" t="n">
        <v>188014469</v>
      </c>
      <c r="B76" s="10" t="n">
        <v>181</v>
      </c>
      <c r="C76" s="18" t="s">
        <v>43</v>
      </c>
      <c r="D76" s="9" t="s">
        <v>438</v>
      </c>
      <c r="E76" s="9" t="s">
        <v>439</v>
      </c>
      <c r="F76" s="9" t="s">
        <v>440</v>
      </c>
      <c r="G76" s="10" t="n">
        <v>2026</v>
      </c>
      <c r="H76" s="10" t="n">
        <v>0</v>
      </c>
      <c r="I76" s="19" t="n">
        <v>34000</v>
      </c>
      <c r="J76" s="19" t="n">
        <v>34000</v>
      </c>
      <c r="K76" s="10" t="n">
        <v>0</v>
      </c>
      <c r="L76" s="10" t="n">
        <v>4464</v>
      </c>
      <c r="M76" s="10" t="n">
        <v>38</v>
      </c>
      <c r="N76" s="11" t="n">
        <v>10</v>
      </c>
      <c r="O76" s="18" t="s">
        <v>46</v>
      </c>
    </row>
    <row r="77" customFormat="false" ht="15" hidden="false" customHeight="false" outlineLevel="0" collapsed="false">
      <c r="A77" s="18" t="n">
        <v>186936350</v>
      </c>
      <c r="B77" s="10" t="n">
        <v>183</v>
      </c>
      <c r="C77" s="18" t="s">
        <v>43</v>
      </c>
      <c r="D77" s="9" t="s">
        <v>443</v>
      </c>
      <c r="E77" s="9" t="s">
        <v>444</v>
      </c>
      <c r="F77" s="9" t="s">
        <v>64</v>
      </c>
      <c r="G77" s="10" t="n">
        <v>2026</v>
      </c>
      <c r="H77" s="10" t="n">
        <v>10</v>
      </c>
      <c r="I77" s="19" t="n">
        <v>20970</v>
      </c>
      <c r="J77" s="19" t="n">
        <v>23300</v>
      </c>
      <c r="K77" s="10" t="n">
        <v>230</v>
      </c>
      <c r="L77" s="10" t="n">
        <v>1800</v>
      </c>
      <c r="M77" s="10" t="n">
        <v>6</v>
      </c>
      <c r="N77" s="11" t="n">
        <v>10</v>
      </c>
      <c r="O77" s="18" t="s">
        <v>56</v>
      </c>
    </row>
    <row r="78" customFormat="false" ht="15" hidden="false" customHeight="false" outlineLevel="0" collapsed="false">
      <c r="A78" s="18" t="n">
        <v>184310483</v>
      </c>
      <c r="B78" s="10" t="n">
        <v>185</v>
      </c>
      <c r="C78" s="18" t="s">
        <v>43</v>
      </c>
      <c r="D78" s="9" t="s">
        <v>447</v>
      </c>
      <c r="E78" s="9" t="s">
        <v>448</v>
      </c>
      <c r="F78" s="9" t="s">
        <v>64</v>
      </c>
      <c r="G78" s="10" t="n">
        <v>2026</v>
      </c>
      <c r="H78" s="10" t="n">
        <v>10</v>
      </c>
      <c r="I78" s="19" t="n">
        <v>22950</v>
      </c>
      <c r="J78" s="19" t="n">
        <v>25500</v>
      </c>
      <c r="K78" s="10" t="n">
        <v>1270</v>
      </c>
      <c r="L78" s="10" t="n">
        <v>2049</v>
      </c>
      <c r="M78" s="10" t="n">
        <v>13</v>
      </c>
      <c r="N78" s="11" t="n">
        <v>10</v>
      </c>
      <c r="O78" s="18" t="s">
        <v>56</v>
      </c>
    </row>
    <row r="79" customFormat="false" ht="15" hidden="false" customHeight="false" outlineLevel="0" collapsed="false">
      <c r="A79" s="18" t="n">
        <v>184283938</v>
      </c>
      <c r="B79" s="10" t="n">
        <v>186</v>
      </c>
      <c r="C79" s="18" t="s">
        <v>43</v>
      </c>
      <c r="D79" s="9" t="s">
        <v>449</v>
      </c>
      <c r="E79" s="9" t="s">
        <v>450</v>
      </c>
      <c r="F79" s="9" t="s">
        <v>100</v>
      </c>
      <c r="G79" s="10" t="n">
        <v>2026</v>
      </c>
      <c r="H79" s="10" t="n">
        <v>10</v>
      </c>
      <c r="I79" s="19" t="n">
        <v>18000</v>
      </c>
      <c r="J79" s="19" t="n">
        <v>20000</v>
      </c>
      <c r="K79" s="10" t="n">
        <v>1000</v>
      </c>
      <c r="L79" s="10" t="n">
        <v>840</v>
      </c>
      <c r="M79" s="10" t="n">
        <v>0</v>
      </c>
      <c r="N79" s="11" t="n">
        <v>0</v>
      </c>
      <c r="O79" s="18" t="s">
        <v>56</v>
      </c>
    </row>
    <row r="80" customFormat="false" ht="15" hidden="false" customHeight="false" outlineLevel="0" collapsed="false">
      <c r="A80" s="18" t="n">
        <v>172532517</v>
      </c>
      <c r="B80" s="10" t="n">
        <v>189</v>
      </c>
      <c r="C80" s="18" t="s">
        <v>43</v>
      </c>
      <c r="D80" s="9" t="s">
        <v>455</v>
      </c>
      <c r="E80" s="9" t="s">
        <v>456</v>
      </c>
      <c r="F80" s="9" t="s">
        <v>259</v>
      </c>
      <c r="G80" s="10" t="n">
        <v>2026</v>
      </c>
      <c r="H80" s="10" t="n">
        <v>10</v>
      </c>
      <c r="I80" s="19" t="n">
        <v>22500</v>
      </c>
      <c r="J80" s="19" t="n">
        <v>25000</v>
      </c>
      <c r="K80" s="10" t="n">
        <v>1250</v>
      </c>
      <c r="L80" s="10" t="n">
        <v>1722</v>
      </c>
      <c r="M80" s="10" t="n">
        <v>34</v>
      </c>
      <c r="N80" s="11" t="n">
        <v>9.9</v>
      </c>
      <c r="O80" s="18" t="s">
        <v>56</v>
      </c>
    </row>
    <row r="81" customFormat="false" ht="15" hidden="false" customHeight="false" outlineLevel="0" collapsed="false">
      <c r="A81" s="18" t="n">
        <v>172059324</v>
      </c>
      <c r="B81" s="10" t="n">
        <v>190</v>
      </c>
      <c r="C81" s="18" t="s">
        <v>43</v>
      </c>
      <c r="D81" s="15" t="s">
        <v>457</v>
      </c>
      <c r="E81" s="9" t="s">
        <v>458</v>
      </c>
      <c r="F81" s="9" t="s">
        <v>459</v>
      </c>
      <c r="G81" s="10" t="n">
        <v>2026</v>
      </c>
      <c r="H81" s="10" t="n">
        <v>10</v>
      </c>
      <c r="I81" s="19" t="n">
        <v>20700</v>
      </c>
      <c r="J81" s="19" t="n">
        <v>23000</v>
      </c>
      <c r="K81" s="10" t="n">
        <v>1150</v>
      </c>
      <c r="L81" s="10" t="n">
        <v>1512</v>
      </c>
      <c r="M81" s="10" t="n">
        <v>15</v>
      </c>
      <c r="N81" s="11" t="n">
        <v>10</v>
      </c>
      <c r="O81" s="18" t="s">
        <v>56</v>
      </c>
    </row>
    <row r="82" customFormat="false" ht="15" hidden="false" customHeight="false" outlineLevel="0" collapsed="false">
      <c r="A82" s="18" t="n">
        <v>163495217</v>
      </c>
      <c r="B82" s="10" t="n">
        <v>195</v>
      </c>
      <c r="C82" s="18" t="s">
        <v>43</v>
      </c>
      <c r="D82" s="9" t="s">
        <v>467</v>
      </c>
      <c r="E82" s="9" t="s">
        <v>468</v>
      </c>
      <c r="F82" s="9" t="s">
        <v>469</v>
      </c>
      <c r="G82" s="10" t="n">
        <v>2026</v>
      </c>
      <c r="H82" s="10" t="n">
        <v>10</v>
      </c>
      <c r="I82" s="19" t="n">
        <v>19800</v>
      </c>
      <c r="J82" s="19" t="n">
        <v>22000</v>
      </c>
      <c r="K82" s="10" t="n">
        <v>1100</v>
      </c>
      <c r="L82" s="10" t="n">
        <v>7197</v>
      </c>
      <c r="M82" s="10" t="n">
        <v>33</v>
      </c>
      <c r="N82" s="11" t="n">
        <v>10</v>
      </c>
      <c r="O82" s="18" t="s">
        <v>56</v>
      </c>
    </row>
    <row r="83" customFormat="false" ht="15" hidden="false" customHeight="false" outlineLevel="0" collapsed="false">
      <c r="A83" s="18" t="n">
        <v>152922455</v>
      </c>
      <c r="B83" s="10" t="n">
        <v>196</v>
      </c>
      <c r="C83" s="18" t="s">
        <v>43</v>
      </c>
      <c r="D83" s="9" t="s">
        <v>470</v>
      </c>
      <c r="E83" s="9" t="s">
        <v>471</v>
      </c>
      <c r="F83" s="9" t="s">
        <v>64</v>
      </c>
      <c r="G83" s="10" t="n">
        <v>2025</v>
      </c>
      <c r="H83" s="10" t="n">
        <v>10</v>
      </c>
      <c r="I83" s="19" t="n">
        <v>19980</v>
      </c>
      <c r="J83" s="19" t="n">
        <v>22200</v>
      </c>
      <c r="K83" s="10" t="n">
        <v>1110</v>
      </c>
      <c r="L83" s="10" t="n">
        <v>3873</v>
      </c>
      <c r="M83" s="10" t="n">
        <v>7</v>
      </c>
      <c r="N83" s="11" t="n">
        <v>9.4</v>
      </c>
      <c r="O83" s="18" t="s">
        <v>56</v>
      </c>
    </row>
    <row r="84" customFormat="false" ht="15" hidden="false" customHeight="false" outlineLevel="0" collapsed="false">
      <c r="A84" s="18" t="n">
        <v>152119137</v>
      </c>
      <c r="B84" s="10" t="n">
        <v>197</v>
      </c>
      <c r="C84" s="18" t="s">
        <v>43</v>
      </c>
      <c r="D84" s="15" t="s">
        <v>472</v>
      </c>
      <c r="E84" s="9" t="s">
        <v>473</v>
      </c>
      <c r="F84" s="9" t="s">
        <v>145</v>
      </c>
      <c r="G84" s="10" t="n">
        <v>2025</v>
      </c>
      <c r="H84" s="10" t="n">
        <v>0</v>
      </c>
      <c r="I84" s="19" t="n">
        <v>20000</v>
      </c>
      <c r="J84" s="19" t="n">
        <v>20000</v>
      </c>
      <c r="K84" s="10" t="n">
        <v>0</v>
      </c>
      <c r="L84" s="10" t="n">
        <v>4464</v>
      </c>
      <c r="M84" s="10" t="n">
        <v>17</v>
      </c>
      <c r="N84" s="11" t="n">
        <v>8.6</v>
      </c>
      <c r="O84" s="18" t="s">
        <v>46</v>
      </c>
    </row>
    <row r="85" customFormat="false" ht="15" hidden="false" customHeight="false" outlineLevel="0" collapsed="false">
      <c r="A85" s="18" t="n">
        <v>149195623</v>
      </c>
      <c r="B85" s="10" t="n">
        <v>200</v>
      </c>
      <c r="C85" s="18" t="s">
        <v>43</v>
      </c>
      <c r="D85" s="15" t="s">
        <v>478</v>
      </c>
      <c r="E85" s="9" t="s">
        <v>479</v>
      </c>
      <c r="F85" s="9" t="s">
        <v>360</v>
      </c>
      <c r="G85" s="10" t="n">
        <v>2025</v>
      </c>
      <c r="H85" s="10" t="n">
        <v>10</v>
      </c>
      <c r="I85" s="19" t="n">
        <v>26100</v>
      </c>
      <c r="J85" s="19" t="n">
        <v>29000</v>
      </c>
      <c r="K85" s="10" t="n">
        <v>1160</v>
      </c>
      <c r="L85" s="10" t="n">
        <v>2064</v>
      </c>
      <c r="M85" s="10" t="n">
        <v>1</v>
      </c>
      <c r="N85" s="11" t="n">
        <v>10</v>
      </c>
      <c r="O85" s="18" t="s">
        <v>56</v>
      </c>
    </row>
    <row r="86" customFormat="false" ht="15" hidden="false" customHeight="false" outlineLevel="0" collapsed="false">
      <c r="A86" s="18" t="n">
        <v>145572152</v>
      </c>
      <c r="B86" s="10" t="n">
        <v>201</v>
      </c>
      <c r="C86" s="18" t="s">
        <v>43</v>
      </c>
      <c r="D86" s="9" t="s">
        <v>480</v>
      </c>
      <c r="E86" s="9" t="s">
        <v>481</v>
      </c>
      <c r="F86" s="9" t="s">
        <v>195</v>
      </c>
      <c r="G86" s="10" t="n">
        <v>2025</v>
      </c>
      <c r="H86" s="10" t="n">
        <v>10</v>
      </c>
      <c r="I86" s="19" t="n">
        <v>17100</v>
      </c>
      <c r="J86" s="19" t="n">
        <v>19000</v>
      </c>
      <c r="K86" s="10" t="n">
        <v>950</v>
      </c>
      <c r="L86" s="10" t="n">
        <v>2688</v>
      </c>
      <c r="M86" s="10" t="n">
        <v>10</v>
      </c>
      <c r="N86" s="11" t="n">
        <v>9.6</v>
      </c>
      <c r="O86" s="18" t="s">
        <v>56</v>
      </c>
    </row>
    <row r="87" customFormat="false" ht="15" hidden="false" customHeight="false" outlineLevel="0" collapsed="false">
      <c r="A87" s="18" t="n">
        <v>143786416</v>
      </c>
      <c r="B87" s="10" t="n">
        <v>203</v>
      </c>
      <c r="C87" s="18" t="s">
        <v>43</v>
      </c>
      <c r="D87" s="9" t="s">
        <v>484</v>
      </c>
      <c r="E87" s="9" t="s">
        <v>485</v>
      </c>
      <c r="F87" s="9" t="s">
        <v>64</v>
      </c>
      <c r="G87" s="10" t="n">
        <v>2025</v>
      </c>
      <c r="H87" s="10" t="n">
        <v>10</v>
      </c>
      <c r="I87" s="19" t="n">
        <v>15120</v>
      </c>
      <c r="J87" s="19" t="n">
        <v>16800</v>
      </c>
      <c r="K87" s="10" t="n">
        <v>840</v>
      </c>
      <c r="L87" s="10" t="n">
        <v>12696</v>
      </c>
      <c r="M87" s="10" t="n">
        <v>47</v>
      </c>
      <c r="N87" s="11" t="n">
        <v>10</v>
      </c>
      <c r="O87" s="18" t="s">
        <v>56</v>
      </c>
    </row>
    <row r="88" customFormat="false" ht="15" hidden="false" customHeight="false" outlineLevel="0" collapsed="false">
      <c r="A88" s="18" t="n">
        <v>141196002</v>
      </c>
      <c r="B88" s="10" t="n">
        <v>205</v>
      </c>
      <c r="C88" s="18" t="s">
        <v>43</v>
      </c>
      <c r="D88" s="9" t="s">
        <v>488</v>
      </c>
      <c r="E88" s="9" t="s">
        <v>489</v>
      </c>
      <c r="F88" s="9" t="s">
        <v>109</v>
      </c>
      <c r="G88" s="10" t="n">
        <v>2025</v>
      </c>
      <c r="H88" s="10" t="n">
        <v>10</v>
      </c>
      <c r="I88" s="19" t="n">
        <v>23400</v>
      </c>
      <c r="J88" s="19" t="n">
        <v>26000</v>
      </c>
      <c r="K88" s="10" t="n">
        <v>1300</v>
      </c>
      <c r="L88" s="10" t="n">
        <v>1614</v>
      </c>
      <c r="M88" s="10" t="n">
        <v>1</v>
      </c>
      <c r="N88" s="11" t="n">
        <v>10</v>
      </c>
      <c r="O88" s="18" t="s">
        <v>56</v>
      </c>
    </row>
    <row r="89" customFormat="false" ht="15" hidden="false" customHeight="false" outlineLevel="0" collapsed="false">
      <c r="A89" s="18" t="n">
        <v>126691841</v>
      </c>
      <c r="B89" s="10" t="n">
        <v>206</v>
      </c>
      <c r="C89" s="18" t="s">
        <v>43</v>
      </c>
      <c r="D89" s="9" t="s">
        <v>490</v>
      </c>
      <c r="E89" s="9" t="s">
        <v>491</v>
      </c>
      <c r="F89" s="9" t="s">
        <v>422</v>
      </c>
      <c r="G89" s="10" t="n">
        <v>2024</v>
      </c>
      <c r="H89" s="10" t="n">
        <v>10</v>
      </c>
      <c r="I89" s="19" t="n">
        <v>23400</v>
      </c>
      <c r="J89" s="19" t="n">
        <v>26000</v>
      </c>
      <c r="K89" s="10" t="n">
        <v>1300</v>
      </c>
      <c r="L89" s="10" t="n">
        <v>1476</v>
      </c>
      <c r="M89" s="10" t="n">
        <v>9</v>
      </c>
      <c r="N89" s="11" t="n">
        <v>10</v>
      </c>
      <c r="O89" s="18" t="s">
        <v>56</v>
      </c>
    </row>
    <row r="90" customFormat="false" ht="15" hidden="false" customHeight="false" outlineLevel="0" collapsed="false">
      <c r="A90" s="18" t="n">
        <v>124110681</v>
      </c>
      <c r="B90" s="10" t="n">
        <v>209</v>
      </c>
      <c r="C90" s="18" t="s">
        <v>43</v>
      </c>
      <c r="D90" s="15" t="s">
        <v>496</v>
      </c>
      <c r="E90" s="9" t="s">
        <v>497</v>
      </c>
      <c r="F90" s="9" t="s">
        <v>311</v>
      </c>
      <c r="G90" s="10" t="n">
        <v>2023</v>
      </c>
      <c r="H90" s="10" t="n">
        <v>10</v>
      </c>
      <c r="I90" s="19" t="n">
        <v>31500</v>
      </c>
      <c r="J90" s="19" t="n">
        <v>35000</v>
      </c>
      <c r="K90" s="10" t="n">
        <v>350</v>
      </c>
      <c r="L90" s="10" t="n">
        <v>3096</v>
      </c>
      <c r="M90" s="10" t="n">
        <v>9</v>
      </c>
      <c r="N90" s="11" t="n">
        <v>8.7</v>
      </c>
      <c r="O90" s="18" t="s">
        <v>56</v>
      </c>
    </row>
    <row r="91" customFormat="false" ht="15" hidden="false" customHeight="false" outlineLevel="0" collapsed="false">
      <c r="A91" s="18" t="n">
        <v>113485068</v>
      </c>
      <c r="B91" s="10" t="n">
        <v>216</v>
      </c>
      <c r="C91" s="18" t="s">
        <v>43</v>
      </c>
      <c r="D91" s="9" t="s">
        <v>509</v>
      </c>
      <c r="E91" s="9" t="s">
        <v>510</v>
      </c>
      <c r="F91" s="9" t="s">
        <v>511</v>
      </c>
      <c r="G91" s="10" t="n">
        <v>2024</v>
      </c>
      <c r="H91" s="10" t="n">
        <v>10</v>
      </c>
      <c r="I91" s="19" t="n">
        <v>38700</v>
      </c>
      <c r="J91" s="19" t="n">
        <v>43000</v>
      </c>
      <c r="K91" s="10" t="n">
        <v>2150</v>
      </c>
      <c r="L91" s="10" t="n">
        <v>4491</v>
      </c>
      <c r="M91" s="10" t="n">
        <v>7</v>
      </c>
      <c r="N91" s="11" t="n">
        <v>9.4</v>
      </c>
      <c r="O91" s="18" t="s">
        <v>46</v>
      </c>
    </row>
    <row r="92" customFormat="false" ht="15" hidden="false" customHeight="false" outlineLevel="0" collapsed="false">
      <c r="A92" s="18" t="n">
        <v>104984379</v>
      </c>
      <c r="B92" s="10" t="n">
        <v>217</v>
      </c>
      <c r="C92" s="18" t="s">
        <v>43</v>
      </c>
      <c r="D92" s="9" t="s">
        <v>512</v>
      </c>
      <c r="E92" s="9" t="s">
        <v>513</v>
      </c>
      <c r="F92" s="9" t="s">
        <v>514</v>
      </c>
      <c r="G92" s="10" t="n">
        <v>2021</v>
      </c>
      <c r="H92" s="10" t="n">
        <v>5</v>
      </c>
      <c r="I92" s="19" t="n">
        <v>42750</v>
      </c>
      <c r="J92" s="19" t="n">
        <v>45000</v>
      </c>
      <c r="K92" s="10" t="n">
        <v>1350</v>
      </c>
      <c r="L92" s="10" t="n">
        <v>1308</v>
      </c>
      <c r="M92" s="10" t="n">
        <v>0</v>
      </c>
      <c r="N92" s="11" t="n">
        <v>0</v>
      </c>
      <c r="O92" s="18" t="s">
        <v>56</v>
      </c>
    </row>
    <row r="93" customFormat="false" ht="15" hidden="false" customHeight="false" outlineLevel="0" collapsed="false">
      <c r="A93" s="18" t="n">
        <v>95379724</v>
      </c>
      <c r="B93" s="10" t="n">
        <v>218</v>
      </c>
      <c r="C93" s="18" t="s">
        <v>43</v>
      </c>
      <c r="D93" s="9" t="s">
        <v>515</v>
      </c>
      <c r="E93" s="9" t="s">
        <v>516</v>
      </c>
      <c r="F93" s="9" t="s">
        <v>517</v>
      </c>
      <c r="G93" s="10" t="n">
        <v>2020</v>
      </c>
      <c r="H93" s="10" t="n">
        <v>10</v>
      </c>
      <c r="I93" s="19" t="n">
        <v>14220</v>
      </c>
      <c r="J93" s="19" t="n">
        <v>15800</v>
      </c>
      <c r="K93" s="10" t="n">
        <v>790</v>
      </c>
      <c r="L93" s="10" t="n">
        <v>1146</v>
      </c>
      <c r="M93" s="10" t="n">
        <v>27</v>
      </c>
      <c r="N93" s="11" t="n">
        <v>10</v>
      </c>
      <c r="O93" s="18" t="s">
        <v>56</v>
      </c>
    </row>
    <row r="94" customFormat="false" ht="15" hidden="false" customHeight="false" outlineLevel="0" collapsed="false">
      <c r="A94" s="18" t="n">
        <v>91165789</v>
      </c>
      <c r="B94" s="10" t="n">
        <v>220</v>
      </c>
      <c r="C94" s="18" t="s">
        <v>43</v>
      </c>
      <c r="D94" s="9" t="s">
        <v>520</v>
      </c>
      <c r="E94" s="9" t="s">
        <v>521</v>
      </c>
      <c r="F94" s="9" t="s">
        <v>522</v>
      </c>
      <c r="G94" s="10" t="n">
        <v>2020</v>
      </c>
      <c r="H94" s="10" t="n">
        <v>10</v>
      </c>
      <c r="I94" s="19" t="n">
        <v>15120</v>
      </c>
      <c r="J94" s="19" t="n">
        <v>16800</v>
      </c>
      <c r="K94" s="10" t="n">
        <v>840</v>
      </c>
      <c r="L94" s="10" t="n">
        <v>4959</v>
      </c>
      <c r="M94" s="10" t="n">
        <v>170</v>
      </c>
      <c r="N94" s="11" t="n">
        <v>8.8</v>
      </c>
      <c r="O94" s="18" t="s">
        <v>46</v>
      </c>
    </row>
    <row r="95" customFormat="false" ht="15" hidden="false" customHeight="false" outlineLevel="0" collapsed="false">
      <c r="A95" s="18" t="n">
        <v>67350256</v>
      </c>
      <c r="B95" s="10" t="n">
        <v>221</v>
      </c>
      <c r="C95" s="18" t="s">
        <v>43</v>
      </c>
      <c r="D95" s="9" t="s">
        <v>523</v>
      </c>
      <c r="E95" s="9" t="s">
        <v>524</v>
      </c>
      <c r="F95" s="9" t="s">
        <v>311</v>
      </c>
      <c r="G95" s="10" t="n">
        <v>2018</v>
      </c>
      <c r="H95" s="10" t="n">
        <v>10</v>
      </c>
      <c r="I95" s="19" t="n">
        <v>11700</v>
      </c>
      <c r="J95" s="19" t="n">
        <v>13000</v>
      </c>
      <c r="K95" s="10" t="n">
        <v>650</v>
      </c>
      <c r="L95" s="10" t="n">
        <v>2631</v>
      </c>
      <c r="M95" s="10" t="n">
        <v>61</v>
      </c>
      <c r="N95" s="11" t="n">
        <v>9.3</v>
      </c>
      <c r="O95" s="18" t="s">
        <v>56</v>
      </c>
    </row>
    <row r="96" customFormat="false" ht="15" hidden="false" customHeight="false" outlineLevel="0" collapsed="false">
      <c r="A96" s="18" t="n">
        <v>11681152</v>
      </c>
      <c r="B96" s="10" t="n">
        <v>222</v>
      </c>
      <c r="C96" s="18" t="s">
        <v>43</v>
      </c>
      <c r="D96" s="15" t="s">
        <v>525</v>
      </c>
      <c r="E96" s="9" t="s">
        <v>526</v>
      </c>
      <c r="F96" s="9" t="s">
        <v>311</v>
      </c>
      <c r="G96" s="10" t="n">
        <v>2013</v>
      </c>
      <c r="H96" s="10" t="n">
        <v>10</v>
      </c>
      <c r="I96" s="19" t="n">
        <v>29700</v>
      </c>
      <c r="J96" s="19" t="n">
        <v>33000</v>
      </c>
      <c r="K96" s="10" t="n">
        <v>1650</v>
      </c>
      <c r="L96" s="10" t="n">
        <v>4926</v>
      </c>
      <c r="M96" s="10" t="n">
        <v>101</v>
      </c>
      <c r="N96" s="11" t="n">
        <v>9.5</v>
      </c>
      <c r="O96" s="18" t="s">
        <v>46</v>
      </c>
    </row>
    <row r="97" customFormat="false" ht="15" hidden="false" customHeight="false" outlineLevel="0" collapsed="false">
      <c r="A97" s="18" t="n">
        <v>8921236</v>
      </c>
      <c r="B97" s="10" t="n">
        <v>223</v>
      </c>
      <c r="C97" s="18" t="s">
        <v>43</v>
      </c>
      <c r="D97" s="9" t="s">
        <v>527</v>
      </c>
      <c r="E97" s="9" t="s">
        <v>528</v>
      </c>
      <c r="F97" s="9" t="s">
        <v>422</v>
      </c>
      <c r="G97" s="10" t="n">
        <v>2013</v>
      </c>
      <c r="H97" s="10" t="n">
        <v>10</v>
      </c>
      <c r="I97" s="19" t="n">
        <v>16920</v>
      </c>
      <c r="J97" s="19" t="n">
        <v>18800</v>
      </c>
      <c r="K97" s="10" t="n">
        <v>940</v>
      </c>
      <c r="L97" s="10" t="n">
        <v>4404</v>
      </c>
      <c r="M97" s="10" t="n">
        <v>48</v>
      </c>
      <c r="N97" s="11" t="n">
        <v>9.1</v>
      </c>
      <c r="O97" s="18" t="s">
        <v>46</v>
      </c>
    </row>
    <row r="98" customFormat="false" ht="15" hidden="false" customHeight="false" outlineLevel="0" collapsed="false">
      <c r="A98" s="18" t="n">
        <v>176990624</v>
      </c>
      <c r="B98" s="10" t="n">
        <v>227</v>
      </c>
      <c r="C98" s="18" t="s">
        <v>43</v>
      </c>
      <c r="D98" s="9" t="s">
        <v>535</v>
      </c>
      <c r="E98" s="9" t="s">
        <v>536</v>
      </c>
      <c r="F98" s="9" t="s">
        <v>93</v>
      </c>
      <c r="G98" s="10" t="n">
        <v>2026</v>
      </c>
      <c r="H98" s="10" t="n">
        <v>10</v>
      </c>
      <c r="I98" s="19" t="n">
        <v>24300</v>
      </c>
      <c r="J98" s="19" t="n">
        <v>27000</v>
      </c>
      <c r="K98" s="10" t="n">
        <v>1350</v>
      </c>
      <c r="L98" s="10" t="n">
        <v>1884</v>
      </c>
      <c r="M98" s="10" t="n">
        <v>5</v>
      </c>
      <c r="N98" s="11" t="n">
        <v>10</v>
      </c>
      <c r="O98" s="18" t="s">
        <v>56</v>
      </c>
    </row>
    <row r="99" customFormat="false" ht="15" hidden="false" customHeight="false" outlineLevel="0" collapsed="false">
      <c r="A99" s="18" t="n">
        <v>129445293</v>
      </c>
      <c r="B99" s="10" t="n">
        <v>230</v>
      </c>
      <c r="C99" s="18" t="s">
        <v>43</v>
      </c>
      <c r="D99" s="9" t="s">
        <v>541</v>
      </c>
      <c r="E99" s="9" t="s">
        <v>221</v>
      </c>
      <c r="F99" s="9" t="s">
        <v>100</v>
      </c>
      <c r="G99" s="10" t="n">
        <v>2024</v>
      </c>
      <c r="H99" s="10" t="n">
        <v>10</v>
      </c>
      <c r="I99" s="19" t="n">
        <v>19800</v>
      </c>
      <c r="J99" s="19" t="n">
        <v>22000</v>
      </c>
      <c r="K99" s="10" t="n">
        <v>1100</v>
      </c>
      <c r="L99" s="10" t="n">
        <v>852</v>
      </c>
      <c r="M99" s="10" t="n">
        <v>4</v>
      </c>
      <c r="N99" s="11" t="n">
        <v>9</v>
      </c>
      <c r="O99" s="18" t="s">
        <v>56</v>
      </c>
    </row>
    <row r="100" customFormat="false" ht="15" hidden="false" customHeight="false" outlineLevel="0" collapsed="false">
      <c r="A100" s="18" t="n">
        <v>190823476</v>
      </c>
      <c r="B100" s="10" t="n">
        <v>231</v>
      </c>
      <c r="C100" s="18" t="s">
        <v>43</v>
      </c>
      <c r="D100" s="9" t="s">
        <v>542</v>
      </c>
      <c r="E100" s="9" t="s">
        <v>543</v>
      </c>
      <c r="F100" s="9" t="s">
        <v>544</v>
      </c>
      <c r="G100" s="10" t="n">
        <v>2026</v>
      </c>
      <c r="H100" s="10" t="n">
        <v>10</v>
      </c>
      <c r="I100" s="19" t="n">
        <v>17100</v>
      </c>
      <c r="J100" s="19" t="n">
        <v>19000</v>
      </c>
      <c r="K100" s="10" t="n">
        <v>950</v>
      </c>
      <c r="L100" s="10" t="n">
        <v>180</v>
      </c>
      <c r="M100" s="10" t="n">
        <v>0</v>
      </c>
      <c r="N100" s="11" t="n">
        <v>0</v>
      </c>
      <c r="O100" s="18" t="s">
        <v>56</v>
      </c>
    </row>
    <row r="101" customFormat="false" ht="15" hidden="false" customHeight="false" outlineLevel="0" collapsed="false">
      <c r="A101" s="18" t="n">
        <v>190440946</v>
      </c>
      <c r="B101" s="10" t="n">
        <v>232</v>
      </c>
      <c r="C101" s="18" t="s">
        <v>43</v>
      </c>
      <c r="D101" s="9" t="s">
        <v>545</v>
      </c>
      <c r="E101" s="9" t="s">
        <v>546</v>
      </c>
      <c r="F101" s="15" t="s">
        <v>547</v>
      </c>
      <c r="G101" s="10" t="n">
        <v>2026</v>
      </c>
      <c r="H101" s="10" t="n">
        <v>10</v>
      </c>
      <c r="I101" s="19" t="n">
        <v>21600</v>
      </c>
      <c r="J101" s="19" t="n">
        <v>24000</v>
      </c>
      <c r="K101" s="10" t="n">
        <v>1200</v>
      </c>
      <c r="L101" s="10" t="n">
        <v>180</v>
      </c>
      <c r="M101" s="10" t="n">
        <v>0</v>
      </c>
      <c r="N101" s="11" t="n">
        <v>0</v>
      </c>
      <c r="O101" s="18" t="s">
        <v>56</v>
      </c>
    </row>
    <row r="102" customFormat="false" ht="15" hidden="false" customHeight="false" outlineLevel="0" collapsed="false">
      <c r="A102" s="18" t="n">
        <v>189508675</v>
      </c>
      <c r="B102" s="10" t="n">
        <v>234</v>
      </c>
      <c r="C102" s="18" t="s">
        <v>43</v>
      </c>
      <c r="D102" s="9" t="s">
        <v>550</v>
      </c>
      <c r="E102" s="9" t="s">
        <v>551</v>
      </c>
      <c r="F102" s="9" t="s">
        <v>552</v>
      </c>
      <c r="G102" s="10" t="n">
        <v>2026</v>
      </c>
      <c r="H102" s="10" t="n">
        <v>10</v>
      </c>
      <c r="I102" s="19" t="n">
        <v>20700</v>
      </c>
      <c r="J102" s="19" t="n">
        <v>23000</v>
      </c>
      <c r="K102" s="10" t="n">
        <v>1150</v>
      </c>
      <c r="L102" s="10" t="n">
        <v>492</v>
      </c>
      <c r="M102" s="10" t="n">
        <v>1</v>
      </c>
      <c r="N102" s="11" t="n">
        <v>10</v>
      </c>
      <c r="O102" s="18" t="s">
        <v>56</v>
      </c>
    </row>
    <row r="103" customFormat="false" ht="15" hidden="false" customHeight="false" outlineLevel="0" collapsed="false">
      <c r="A103" s="18" t="n">
        <v>187166773</v>
      </c>
      <c r="B103" s="10" t="n">
        <v>236</v>
      </c>
      <c r="C103" s="18" t="s">
        <v>43</v>
      </c>
      <c r="D103" s="9" t="s">
        <v>555</v>
      </c>
      <c r="E103" s="9" t="s">
        <v>556</v>
      </c>
      <c r="F103" s="9" t="s">
        <v>311</v>
      </c>
      <c r="G103" s="10" t="n">
        <v>2026</v>
      </c>
      <c r="H103" s="10" t="n">
        <v>10</v>
      </c>
      <c r="I103" s="19" t="n">
        <v>19800</v>
      </c>
      <c r="J103" s="19" t="n">
        <v>22000</v>
      </c>
      <c r="K103" s="10" t="n">
        <v>1100</v>
      </c>
      <c r="L103" s="10" t="n">
        <v>582</v>
      </c>
      <c r="M103" s="10" t="n">
        <v>26</v>
      </c>
      <c r="N103" s="11" t="n">
        <v>9.8</v>
      </c>
      <c r="O103" s="18" t="s">
        <v>56</v>
      </c>
    </row>
    <row r="104" customFormat="false" ht="15" hidden="false" customHeight="false" outlineLevel="0" collapsed="false">
      <c r="A104" s="18" t="n">
        <v>187050404</v>
      </c>
      <c r="B104" s="10" t="n">
        <v>237</v>
      </c>
      <c r="C104" s="18" t="s">
        <v>43</v>
      </c>
      <c r="D104" s="9" t="s">
        <v>557</v>
      </c>
      <c r="E104" s="9" t="s">
        <v>558</v>
      </c>
      <c r="F104" s="9" t="s">
        <v>145</v>
      </c>
      <c r="G104" s="10" t="n">
        <v>2026</v>
      </c>
      <c r="H104" s="10" t="n">
        <v>0</v>
      </c>
      <c r="I104" s="19" t="n">
        <v>20000</v>
      </c>
      <c r="J104" s="19" t="n">
        <v>20000</v>
      </c>
      <c r="K104" s="10" t="n">
        <v>0</v>
      </c>
      <c r="L104" s="10" t="n">
        <v>1704</v>
      </c>
      <c r="M104" s="10" t="n">
        <v>19</v>
      </c>
      <c r="N104" s="11" t="n">
        <v>10</v>
      </c>
      <c r="O104" s="18" t="s">
        <v>56</v>
      </c>
    </row>
    <row r="105" customFormat="false" ht="15" hidden="false" customHeight="false" outlineLevel="0" collapsed="false">
      <c r="A105" s="18" t="n">
        <v>186675967</v>
      </c>
      <c r="B105" s="10" t="n">
        <v>238</v>
      </c>
      <c r="C105" s="18" t="s">
        <v>43</v>
      </c>
      <c r="D105" s="9" t="s">
        <v>559</v>
      </c>
      <c r="E105" s="9" t="s">
        <v>560</v>
      </c>
      <c r="F105" s="15" t="s">
        <v>561</v>
      </c>
      <c r="G105" s="10" t="n">
        <v>2026</v>
      </c>
      <c r="H105" s="10" t="n">
        <v>0</v>
      </c>
      <c r="I105" s="19" t="n">
        <v>18300</v>
      </c>
      <c r="J105" s="19" t="n">
        <v>18300</v>
      </c>
      <c r="K105" s="10" t="n">
        <v>0</v>
      </c>
      <c r="L105" s="10" t="n">
        <v>462</v>
      </c>
      <c r="M105" s="10" t="n">
        <v>0</v>
      </c>
      <c r="N105" s="11" t="n">
        <v>0</v>
      </c>
      <c r="O105" s="18" t="s">
        <v>56</v>
      </c>
    </row>
    <row r="106" customFormat="false" ht="15" hidden="false" customHeight="false" outlineLevel="0" collapsed="false">
      <c r="A106" s="18" t="n">
        <v>186140134</v>
      </c>
      <c r="B106" s="10" t="n">
        <v>239</v>
      </c>
      <c r="C106" s="18" t="s">
        <v>43</v>
      </c>
      <c r="D106" s="9" t="s">
        <v>562</v>
      </c>
      <c r="E106" s="9" t="s">
        <v>563</v>
      </c>
      <c r="F106" s="9" t="s">
        <v>564</v>
      </c>
      <c r="G106" s="10" t="n">
        <v>2026</v>
      </c>
      <c r="H106" s="10" t="n">
        <v>10</v>
      </c>
      <c r="I106" s="19" t="n">
        <v>16920</v>
      </c>
      <c r="J106" s="19" t="n">
        <v>18800</v>
      </c>
      <c r="K106" s="10" t="n">
        <v>940</v>
      </c>
      <c r="L106" s="10" t="n">
        <v>462</v>
      </c>
      <c r="M106" s="10" t="n">
        <v>0</v>
      </c>
      <c r="N106" s="11" t="n">
        <v>0</v>
      </c>
      <c r="O106" s="18" t="s">
        <v>56</v>
      </c>
    </row>
    <row r="107" customFormat="false" ht="15" hidden="false" customHeight="false" outlineLevel="0" collapsed="false">
      <c r="A107" s="18" t="n">
        <v>185721925</v>
      </c>
      <c r="B107" s="10" t="n">
        <v>240</v>
      </c>
      <c r="C107" s="18" t="s">
        <v>43</v>
      </c>
      <c r="D107" s="9" t="s">
        <v>565</v>
      </c>
      <c r="E107" s="9" t="s">
        <v>566</v>
      </c>
      <c r="F107" s="9" t="s">
        <v>109</v>
      </c>
      <c r="G107" s="10" t="n">
        <v>2026</v>
      </c>
      <c r="H107" s="10" t="n">
        <v>10</v>
      </c>
      <c r="I107" s="19" t="n">
        <v>19800</v>
      </c>
      <c r="J107" s="19" t="n">
        <v>22000</v>
      </c>
      <c r="K107" s="10" t="n">
        <v>1100</v>
      </c>
      <c r="L107" s="10" t="n">
        <v>996</v>
      </c>
      <c r="M107" s="10" t="n">
        <v>0</v>
      </c>
      <c r="N107" s="11" t="n">
        <v>0</v>
      </c>
      <c r="O107" s="18" t="s">
        <v>56</v>
      </c>
    </row>
    <row r="108" customFormat="false" ht="15" hidden="false" customHeight="false" outlineLevel="0" collapsed="false">
      <c r="A108" s="18" t="n">
        <v>184642019</v>
      </c>
      <c r="B108" s="10" t="n">
        <v>241</v>
      </c>
      <c r="C108" s="18" t="s">
        <v>43</v>
      </c>
      <c r="D108" s="9" t="s">
        <v>567</v>
      </c>
      <c r="E108" s="9" t="s">
        <v>568</v>
      </c>
      <c r="F108" s="9" t="s">
        <v>64</v>
      </c>
      <c r="G108" s="10" t="n">
        <v>2026</v>
      </c>
      <c r="H108" s="10" t="n">
        <v>10</v>
      </c>
      <c r="I108" s="19" t="n">
        <v>15120</v>
      </c>
      <c r="J108" s="19" t="n">
        <v>16800</v>
      </c>
      <c r="K108" s="10" t="n">
        <v>840</v>
      </c>
      <c r="L108" s="10" t="n">
        <v>1146</v>
      </c>
      <c r="M108" s="10" t="n">
        <v>15</v>
      </c>
      <c r="N108" s="11" t="n">
        <v>10</v>
      </c>
      <c r="O108" s="18" t="s">
        <v>56</v>
      </c>
    </row>
    <row r="109" customFormat="false" ht="15" hidden="false" customHeight="false" outlineLevel="0" collapsed="false">
      <c r="A109" s="18" t="n">
        <v>183708092</v>
      </c>
      <c r="B109" s="10" t="n">
        <v>243</v>
      </c>
      <c r="C109" s="18" t="s">
        <v>43</v>
      </c>
      <c r="D109" s="9" t="s">
        <v>571</v>
      </c>
      <c r="E109" s="9" t="s">
        <v>572</v>
      </c>
      <c r="F109" s="9" t="s">
        <v>573</v>
      </c>
      <c r="G109" s="10" t="n">
        <v>2026</v>
      </c>
      <c r="H109" s="10" t="n">
        <v>10</v>
      </c>
      <c r="I109" s="19" t="n">
        <v>15300</v>
      </c>
      <c r="J109" s="19" t="n">
        <v>17000</v>
      </c>
      <c r="K109" s="10" t="n">
        <v>850</v>
      </c>
      <c r="L109" s="10" t="n">
        <v>1254</v>
      </c>
      <c r="M109" s="10" t="n">
        <v>5</v>
      </c>
      <c r="N109" s="11" t="n">
        <v>10</v>
      </c>
      <c r="O109" s="18" t="s">
        <v>56</v>
      </c>
    </row>
    <row r="110" customFormat="false" ht="15" hidden="false" customHeight="false" outlineLevel="0" collapsed="false">
      <c r="A110" s="18" t="n">
        <v>182507308</v>
      </c>
      <c r="B110" s="10" t="n">
        <v>245</v>
      </c>
      <c r="C110" s="18" t="s">
        <v>43</v>
      </c>
      <c r="D110" s="15" t="s">
        <v>576</v>
      </c>
      <c r="E110" s="9" t="s">
        <v>290</v>
      </c>
      <c r="F110" s="9" t="s">
        <v>511</v>
      </c>
      <c r="G110" s="10" t="n">
        <v>2026</v>
      </c>
      <c r="H110" s="10" t="n">
        <v>10</v>
      </c>
      <c r="I110" s="19" t="n">
        <v>22500</v>
      </c>
      <c r="J110" s="19" t="n">
        <v>25000</v>
      </c>
      <c r="K110" s="10" t="n">
        <v>1250</v>
      </c>
      <c r="L110" s="10" t="n">
        <v>1023</v>
      </c>
      <c r="M110" s="10" t="n">
        <v>27</v>
      </c>
      <c r="N110" s="11" t="n">
        <v>9.9</v>
      </c>
      <c r="O110" s="18" t="s">
        <v>56</v>
      </c>
    </row>
    <row r="111" customFormat="false" ht="15" hidden="false" customHeight="false" outlineLevel="0" collapsed="false">
      <c r="A111" s="18" t="n">
        <v>180484161</v>
      </c>
      <c r="B111" s="10" t="n">
        <v>247</v>
      </c>
      <c r="C111" s="18" t="s">
        <v>43</v>
      </c>
      <c r="D111" s="9" t="s">
        <v>579</v>
      </c>
      <c r="E111" s="9" t="s">
        <v>580</v>
      </c>
      <c r="F111" s="9" t="s">
        <v>231</v>
      </c>
      <c r="G111" s="10" t="n">
        <v>2026</v>
      </c>
      <c r="H111" s="10" t="n">
        <v>10</v>
      </c>
      <c r="I111" s="19" t="n">
        <v>24300</v>
      </c>
      <c r="J111" s="19" t="n">
        <v>27000</v>
      </c>
      <c r="K111" s="10" t="n">
        <v>1350</v>
      </c>
      <c r="L111" s="10" t="n">
        <v>1026</v>
      </c>
      <c r="M111" s="10" t="n">
        <v>2</v>
      </c>
      <c r="N111" s="11" t="n">
        <v>10</v>
      </c>
      <c r="O111" s="18" t="s">
        <v>56</v>
      </c>
    </row>
    <row r="112" customFormat="false" ht="15" hidden="false" customHeight="false" outlineLevel="0" collapsed="false">
      <c r="A112" s="18" t="n">
        <v>180335619</v>
      </c>
      <c r="B112" s="10" t="n">
        <v>249</v>
      </c>
      <c r="C112" s="18" t="s">
        <v>43</v>
      </c>
      <c r="D112" s="9" t="s">
        <v>583</v>
      </c>
      <c r="E112" s="9" t="s">
        <v>584</v>
      </c>
      <c r="F112" s="9" t="s">
        <v>195</v>
      </c>
      <c r="G112" s="10" t="n">
        <v>2026</v>
      </c>
      <c r="H112" s="10" t="n">
        <v>10</v>
      </c>
      <c r="I112" s="19" t="n">
        <v>18000</v>
      </c>
      <c r="J112" s="19" t="n">
        <v>20000</v>
      </c>
      <c r="K112" s="10" t="n">
        <v>1000</v>
      </c>
      <c r="L112" s="10" t="n">
        <v>2478</v>
      </c>
      <c r="M112" s="10" t="n">
        <v>9</v>
      </c>
      <c r="N112" s="11" t="n">
        <v>10</v>
      </c>
      <c r="O112" s="18" t="s">
        <v>56</v>
      </c>
    </row>
    <row r="113" customFormat="false" ht="15" hidden="false" customHeight="false" outlineLevel="0" collapsed="false">
      <c r="A113" s="18" t="n">
        <v>178728857</v>
      </c>
      <c r="B113" s="10" t="n">
        <v>251</v>
      </c>
      <c r="C113" s="18" t="s">
        <v>43</v>
      </c>
      <c r="D113" s="9" t="s">
        <v>587</v>
      </c>
      <c r="E113" s="9" t="s">
        <v>588</v>
      </c>
      <c r="F113" s="9" t="s">
        <v>589</v>
      </c>
      <c r="G113" s="10" t="n">
        <v>2026</v>
      </c>
      <c r="H113" s="10" t="n">
        <v>10</v>
      </c>
      <c r="I113" s="19" t="n">
        <v>25200</v>
      </c>
      <c r="J113" s="19" t="n">
        <v>28000</v>
      </c>
      <c r="K113" s="10" t="n">
        <v>0</v>
      </c>
      <c r="L113" s="10" t="n">
        <v>678</v>
      </c>
      <c r="M113" s="10" t="n">
        <v>1</v>
      </c>
      <c r="N113" s="11" t="n">
        <v>10</v>
      </c>
      <c r="O113" s="18" t="s">
        <v>56</v>
      </c>
    </row>
    <row r="114" customFormat="false" ht="15" hidden="false" customHeight="false" outlineLevel="0" collapsed="false">
      <c r="A114" s="18" t="n">
        <v>177114666</v>
      </c>
      <c r="B114" s="10" t="n">
        <v>253</v>
      </c>
      <c r="C114" s="18" t="s">
        <v>43</v>
      </c>
      <c r="D114" s="9" t="s">
        <v>592</v>
      </c>
      <c r="E114" s="9" t="s">
        <v>593</v>
      </c>
      <c r="F114" s="9" t="s">
        <v>109</v>
      </c>
      <c r="G114" s="10" t="n">
        <v>2026</v>
      </c>
      <c r="H114" s="10" t="n">
        <v>10</v>
      </c>
      <c r="I114" s="19" t="n">
        <v>28800</v>
      </c>
      <c r="J114" s="19" t="n">
        <v>32000</v>
      </c>
      <c r="K114" s="10" t="n">
        <v>1600</v>
      </c>
      <c r="L114" s="10" t="n">
        <v>2415</v>
      </c>
      <c r="M114" s="10" t="n">
        <v>14</v>
      </c>
      <c r="N114" s="11" t="n">
        <v>10</v>
      </c>
      <c r="O114" s="18" t="s">
        <v>56</v>
      </c>
    </row>
    <row r="115" customFormat="false" ht="15" hidden="false" customHeight="false" outlineLevel="0" collapsed="false">
      <c r="A115" s="18" t="n">
        <v>175523653</v>
      </c>
      <c r="B115" s="10" t="n">
        <v>254</v>
      </c>
      <c r="C115" s="18" t="s">
        <v>43</v>
      </c>
      <c r="D115" s="15" t="s">
        <v>594</v>
      </c>
      <c r="E115" s="9" t="s">
        <v>595</v>
      </c>
      <c r="F115" s="9" t="s">
        <v>596</v>
      </c>
      <c r="G115" s="10" t="n">
        <v>2026</v>
      </c>
      <c r="H115" s="10" t="n">
        <v>10</v>
      </c>
      <c r="I115" s="19" t="n">
        <v>16200</v>
      </c>
      <c r="J115" s="19" t="n">
        <v>18000</v>
      </c>
      <c r="K115" s="10" t="n">
        <v>900</v>
      </c>
      <c r="L115" s="10" t="n">
        <v>1104</v>
      </c>
      <c r="M115" s="10" t="n">
        <v>16</v>
      </c>
      <c r="N115" s="11" t="n">
        <v>10</v>
      </c>
      <c r="O115" s="18" t="s">
        <v>56</v>
      </c>
    </row>
    <row r="116" customFormat="false" ht="15" hidden="false" customHeight="false" outlineLevel="0" collapsed="false">
      <c r="A116" s="18" t="n">
        <v>175133788</v>
      </c>
      <c r="B116" s="10" t="n">
        <v>255</v>
      </c>
      <c r="C116" s="18" t="s">
        <v>43</v>
      </c>
      <c r="D116" s="15" t="s">
        <v>597</v>
      </c>
      <c r="E116" s="9" t="s">
        <v>598</v>
      </c>
      <c r="F116" s="9" t="s">
        <v>88</v>
      </c>
      <c r="G116" s="10" t="n">
        <v>2026</v>
      </c>
      <c r="H116" s="10" t="n">
        <v>10</v>
      </c>
      <c r="I116" s="19" t="n">
        <v>25200</v>
      </c>
      <c r="J116" s="19" t="n">
        <v>28000</v>
      </c>
      <c r="K116" s="10" t="n">
        <v>1400</v>
      </c>
      <c r="L116" s="10" t="n">
        <v>3762</v>
      </c>
      <c r="M116" s="10" t="n">
        <v>18</v>
      </c>
      <c r="N116" s="11" t="n">
        <v>9.9</v>
      </c>
      <c r="O116" s="18" t="s">
        <v>56</v>
      </c>
    </row>
    <row r="117" customFormat="false" ht="15" hidden="false" customHeight="false" outlineLevel="0" collapsed="false">
      <c r="A117" s="18" t="n">
        <v>174184626</v>
      </c>
      <c r="B117" s="10" t="n">
        <v>256</v>
      </c>
      <c r="C117" s="18" t="s">
        <v>43</v>
      </c>
      <c r="D117" s="9" t="s">
        <v>599</v>
      </c>
      <c r="E117" s="9" t="s">
        <v>235</v>
      </c>
      <c r="F117" s="9" t="s">
        <v>544</v>
      </c>
      <c r="G117" s="10" t="n">
        <v>2026</v>
      </c>
      <c r="H117" s="10" t="n">
        <v>10</v>
      </c>
      <c r="I117" s="19" t="n">
        <v>43200</v>
      </c>
      <c r="J117" s="19" t="n">
        <v>48000</v>
      </c>
      <c r="K117" s="10" t="n">
        <v>2400</v>
      </c>
      <c r="L117" s="10" t="n">
        <v>924</v>
      </c>
      <c r="M117" s="10" t="n">
        <v>10</v>
      </c>
      <c r="N117" s="11" t="n">
        <v>9.8</v>
      </c>
      <c r="O117" s="18" t="s">
        <v>56</v>
      </c>
    </row>
    <row r="118" customFormat="false" ht="15" hidden="false" customHeight="false" outlineLevel="0" collapsed="false">
      <c r="A118" s="18" t="n">
        <v>173682607</v>
      </c>
      <c r="B118" s="10" t="n">
        <v>257</v>
      </c>
      <c r="C118" s="18" t="s">
        <v>43</v>
      </c>
      <c r="D118" s="9" t="s">
        <v>600</v>
      </c>
      <c r="E118" s="9" t="s">
        <v>601</v>
      </c>
      <c r="F118" s="9" t="s">
        <v>184</v>
      </c>
      <c r="G118" s="10" t="n">
        <v>2026</v>
      </c>
      <c r="H118" s="10" t="n">
        <v>0</v>
      </c>
      <c r="I118" s="19" t="n">
        <v>30000</v>
      </c>
      <c r="J118" s="19" t="n">
        <v>30000</v>
      </c>
      <c r="K118" s="10" t="n">
        <v>0</v>
      </c>
      <c r="L118" s="10" t="n">
        <v>468</v>
      </c>
      <c r="M118" s="10" t="n">
        <v>0</v>
      </c>
      <c r="N118" s="11" t="n">
        <v>0</v>
      </c>
      <c r="O118" s="18" t="s">
        <v>56</v>
      </c>
    </row>
    <row r="119" customFormat="false" ht="15" hidden="false" customHeight="false" outlineLevel="0" collapsed="false">
      <c r="A119" s="18" t="n">
        <v>171567191</v>
      </c>
      <c r="B119" s="10" t="n">
        <v>259</v>
      </c>
      <c r="C119" s="18" t="s">
        <v>43</v>
      </c>
      <c r="D119" s="15" t="s">
        <v>604</v>
      </c>
      <c r="E119" s="9" t="s">
        <v>359</v>
      </c>
      <c r="F119" s="9" t="s">
        <v>360</v>
      </c>
      <c r="G119" s="10" t="n">
        <v>2026</v>
      </c>
      <c r="H119" s="10" t="n">
        <v>5</v>
      </c>
      <c r="I119" s="19" t="n">
        <v>36100</v>
      </c>
      <c r="J119" s="19" t="n">
        <v>38000</v>
      </c>
      <c r="K119" s="10" t="n">
        <v>1140</v>
      </c>
      <c r="L119" s="10" t="n">
        <v>1236</v>
      </c>
      <c r="M119" s="10" t="n">
        <v>0</v>
      </c>
      <c r="N119" s="11" t="n">
        <v>0</v>
      </c>
      <c r="O119" s="18" t="s">
        <v>56</v>
      </c>
    </row>
    <row r="120" customFormat="false" ht="15" hidden="false" customHeight="false" outlineLevel="0" collapsed="false">
      <c r="A120" s="18" t="n">
        <v>168226328</v>
      </c>
      <c r="B120" s="10" t="n">
        <v>261</v>
      </c>
      <c r="C120" s="18" t="s">
        <v>43</v>
      </c>
      <c r="D120" s="15" t="s">
        <v>607</v>
      </c>
      <c r="E120" s="9" t="s">
        <v>608</v>
      </c>
      <c r="F120" s="9" t="s">
        <v>211</v>
      </c>
      <c r="G120" s="10" t="n">
        <v>2025</v>
      </c>
      <c r="H120" s="10" t="n">
        <v>10</v>
      </c>
      <c r="I120" s="19" t="n">
        <v>22500</v>
      </c>
      <c r="J120" s="19" t="n">
        <v>25000</v>
      </c>
      <c r="K120" s="10" t="n">
        <v>1250</v>
      </c>
      <c r="L120" s="10" t="n">
        <v>666</v>
      </c>
      <c r="M120" s="10" t="n">
        <v>4</v>
      </c>
      <c r="N120" s="11" t="n">
        <v>10</v>
      </c>
      <c r="O120" s="18" t="s">
        <v>56</v>
      </c>
    </row>
    <row r="121" customFormat="false" ht="15" hidden="false" customHeight="false" outlineLevel="0" collapsed="false">
      <c r="A121" s="18" t="n">
        <v>167452848</v>
      </c>
      <c r="B121" s="10" t="n">
        <v>264</v>
      </c>
      <c r="C121" s="18" t="s">
        <v>43</v>
      </c>
      <c r="D121" s="9" t="s">
        <v>613</v>
      </c>
      <c r="E121" s="9" t="s">
        <v>614</v>
      </c>
      <c r="F121" s="9" t="s">
        <v>615</v>
      </c>
      <c r="G121" s="10" t="n">
        <v>2025</v>
      </c>
      <c r="H121" s="10" t="n">
        <v>10</v>
      </c>
      <c r="I121" s="19" t="n">
        <v>20700</v>
      </c>
      <c r="J121" s="19" t="n">
        <v>23000</v>
      </c>
      <c r="K121" s="10" t="n">
        <v>1150</v>
      </c>
      <c r="L121" s="10" t="n">
        <v>3678</v>
      </c>
      <c r="M121" s="10" t="n">
        <v>41</v>
      </c>
      <c r="N121" s="11" t="n">
        <v>10</v>
      </c>
      <c r="O121" s="18" t="s">
        <v>56</v>
      </c>
    </row>
    <row r="122" customFormat="false" ht="15" hidden="false" customHeight="false" outlineLevel="0" collapsed="false">
      <c r="A122" s="18" t="n">
        <v>167253365</v>
      </c>
      <c r="B122" s="10" t="n">
        <v>266</v>
      </c>
      <c r="C122" s="18" t="s">
        <v>43</v>
      </c>
      <c r="D122" s="9" t="s">
        <v>618</v>
      </c>
      <c r="E122" s="9" t="s">
        <v>619</v>
      </c>
      <c r="F122" s="9" t="s">
        <v>211</v>
      </c>
      <c r="G122" s="10" t="n">
        <v>2025</v>
      </c>
      <c r="H122" s="10" t="n">
        <v>10</v>
      </c>
      <c r="I122" s="19" t="n">
        <v>37800</v>
      </c>
      <c r="J122" s="19" t="n">
        <v>42000</v>
      </c>
      <c r="K122" s="10" t="n">
        <v>2100</v>
      </c>
      <c r="L122" s="10" t="n">
        <v>3153</v>
      </c>
      <c r="M122" s="10" t="n">
        <v>3</v>
      </c>
      <c r="N122" s="11" t="n">
        <v>10</v>
      </c>
      <c r="O122" s="18" t="s">
        <v>56</v>
      </c>
    </row>
    <row r="123" customFormat="false" ht="15" hidden="false" customHeight="false" outlineLevel="0" collapsed="false">
      <c r="A123" s="18" t="n">
        <v>165325500</v>
      </c>
      <c r="B123" s="10" t="n">
        <v>267</v>
      </c>
      <c r="C123" s="18" t="s">
        <v>43</v>
      </c>
      <c r="D123" s="9" t="s">
        <v>620</v>
      </c>
      <c r="E123" s="9" t="s">
        <v>621</v>
      </c>
      <c r="F123" s="9" t="s">
        <v>184</v>
      </c>
      <c r="G123" s="10" t="n">
        <v>2025</v>
      </c>
      <c r="H123" s="10" t="n">
        <v>0</v>
      </c>
      <c r="I123" s="19" t="n">
        <v>19000</v>
      </c>
      <c r="J123" s="19" t="n">
        <v>19000</v>
      </c>
      <c r="K123" s="10" t="n">
        <v>0</v>
      </c>
      <c r="L123" s="10" t="n">
        <v>2388</v>
      </c>
      <c r="M123" s="10" t="n">
        <v>38</v>
      </c>
      <c r="N123" s="11" t="n">
        <v>9.8</v>
      </c>
      <c r="O123" s="18" t="s">
        <v>56</v>
      </c>
    </row>
    <row r="124" customFormat="false" ht="15" hidden="false" customHeight="false" outlineLevel="0" collapsed="false">
      <c r="A124" s="18" t="n">
        <v>165239801</v>
      </c>
      <c r="B124" s="10" t="n">
        <v>268</v>
      </c>
      <c r="C124" s="18" t="s">
        <v>43</v>
      </c>
      <c r="D124" s="9" t="s">
        <v>622</v>
      </c>
      <c r="E124" s="9" t="s">
        <v>536</v>
      </c>
      <c r="F124" s="9" t="s">
        <v>93</v>
      </c>
      <c r="G124" s="10" t="n">
        <v>2025</v>
      </c>
      <c r="H124" s="10" t="n">
        <v>10</v>
      </c>
      <c r="I124" s="19" t="n">
        <v>26100</v>
      </c>
      <c r="J124" s="19" t="n">
        <v>29000</v>
      </c>
      <c r="K124" s="10" t="n">
        <v>1450</v>
      </c>
      <c r="L124" s="10" t="n">
        <v>9036</v>
      </c>
      <c r="M124" s="10" t="n">
        <v>14</v>
      </c>
      <c r="N124" s="11" t="n">
        <v>9.7</v>
      </c>
      <c r="O124" s="18" t="s">
        <v>56</v>
      </c>
    </row>
    <row r="125" customFormat="false" ht="15" hidden="false" customHeight="false" outlineLevel="0" collapsed="false">
      <c r="A125" s="18" t="n">
        <v>159417254</v>
      </c>
      <c r="B125" s="10" t="n">
        <v>270</v>
      </c>
      <c r="C125" s="18" t="s">
        <v>43</v>
      </c>
      <c r="D125" s="9" t="s">
        <v>625</v>
      </c>
      <c r="E125" s="9" t="s">
        <v>626</v>
      </c>
      <c r="F125" s="9" t="s">
        <v>259</v>
      </c>
      <c r="G125" s="10" t="n">
        <v>2025</v>
      </c>
      <c r="H125" s="10" t="n">
        <v>10</v>
      </c>
      <c r="I125" s="19" t="n">
        <v>21600</v>
      </c>
      <c r="J125" s="19" t="n">
        <v>24000</v>
      </c>
      <c r="K125" s="10" t="n">
        <v>1200</v>
      </c>
      <c r="L125" s="10" t="n">
        <v>14346</v>
      </c>
      <c r="M125" s="10" t="n">
        <v>48</v>
      </c>
      <c r="N125" s="11" t="n">
        <v>9.8</v>
      </c>
      <c r="O125" s="18" t="s">
        <v>46</v>
      </c>
    </row>
    <row r="126" customFormat="false" ht="15" hidden="false" customHeight="false" outlineLevel="0" collapsed="false">
      <c r="A126" s="18" t="n">
        <v>159376881</v>
      </c>
      <c r="B126" s="10" t="n">
        <v>271</v>
      </c>
      <c r="C126" s="18" t="s">
        <v>43</v>
      </c>
      <c r="D126" s="9" t="s">
        <v>627</v>
      </c>
      <c r="E126" s="9" t="s">
        <v>628</v>
      </c>
      <c r="F126" s="9" t="s">
        <v>629</v>
      </c>
      <c r="G126" s="10" t="n">
        <v>2025</v>
      </c>
      <c r="H126" s="10" t="n">
        <v>10</v>
      </c>
      <c r="I126" s="19" t="n">
        <v>19800</v>
      </c>
      <c r="J126" s="19" t="n">
        <v>22000</v>
      </c>
      <c r="K126" s="10" t="n">
        <v>1100</v>
      </c>
      <c r="L126" s="10" t="n">
        <v>2691</v>
      </c>
      <c r="M126" s="10" t="n">
        <v>8</v>
      </c>
      <c r="N126" s="11" t="n">
        <v>9.8</v>
      </c>
      <c r="O126" s="18" t="s">
        <v>56</v>
      </c>
    </row>
    <row r="127" customFormat="false" ht="15" hidden="false" customHeight="false" outlineLevel="0" collapsed="false">
      <c r="A127" s="18" t="n">
        <v>155149859</v>
      </c>
      <c r="B127" s="10" t="n">
        <v>274</v>
      </c>
      <c r="C127" s="18" t="s">
        <v>43</v>
      </c>
      <c r="D127" s="15" t="s">
        <v>634</v>
      </c>
      <c r="E127" s="9" t="s">
        <v>635</v>
      </c>
      <c r="F127" s="9" t="s">
        <v>511</v>
      </c>
      <c r="G127" s="10" t="n">
        <v>2025</v>
      </c>
      <c r="H127" s="10" t="n">
        <v>10</v>
      </c>
      <c r="I127" s="19" t="n">
        <v>22500</v>
      </c>
      <c r="J127" s="19" t="n">
        <v>25000</v>
      </c>
      <c r="K127" s="10" t="n">
        <v>1250</v>
      </c>
      <c r="L127" s="10" t="n">
        <v>1548</v>
      </c>
      <c r="M127" s="10" t="n">
        <v>29</v>
      </c>
      <c r="N127" s="11" t="n">
        <v>9.9</v>
      </c>
      <c r="O127" s="18" t="s">
        <v>56</v>
      </c>
    </row>
    <row r="128" customFormat="false" ht="15" hidden="false" customHeight="false" outlineLevel="0" collapsed="false">
      <c r="A128" s="18" t="n">
        <v>154182485</v>
      </c>
      <c r="B128" s="10" t="n">
        <v>277</v>
      </c>
      <c r="C128" s="18" t="s">
        <v>43</v>
      </c>
      <c r="D128" s="9" t="s">
        <v>640</v>
      </c>
      <c r="E128" s="9" t="s">
        <v>641</v>
      </c>
      <c r="F128" s="9" t="s">
        <v>100</v>
      </c>
      <c r="G128" s="10" t="n">
        <v>2025</v>
      </c>
      <c r="H128" s="10" t="n">
        <v>10</v>
      </c>
      <c r="I128" s="19" t="n">
        <v>22500</v>
      </c>
      <c r="J128" s="19" t="n">
        <v>25000</v>
      </c>
      <c r="K128" s="10" t="n">
        <v>1250</v>
      </c>
      <c r="L128" s="10" t="n">
        <v>7050</v>
      </c>
      <c r="M128" s="10" t="n">
        <v>39</v>
      </c>
      <c r="N128" s="11" t="n">
        <v>9.9</v>
      </c>
      <c r="O128" s="18" t="s">
        <v>56</v>
      </c>
    </row>
    <row r="129" customFormat="false" ht="15" hidden="false" customHeight="false" outlineLevel="0" collapsed="false">
      <c r="A129" s="18" t="n">
        <v>149414736</v>
      </c>
      <c r="B129" s="10" t="n">
        <v>283</v>
      </c>
      <c r="C129" s="18" t="s">
        <v>43</v>
      </c>
      <c r="D129" s="15" t="s">
        <v>652</v>
      </c>
      <c r="E129" s="9" t="s">
        <v>653</v>
      </c>
      <c r="F129" s="9" t="s">
        <v>231</v>
      </c>
      <c r="G129" s="10" t="n">
        <v>2025</v>
      </c>
      <c r="H129" s="10" t="n">
        <v>10</v>
      </c>
      <c r="I129" s="19" t="n">
        <v>24300</v>
      </c>
      <c r="J129" s="19" t="n">
        <v>27000</v>
      </c>
      <c r="K129" s="10" t="n">
        <v>1350</v>
      </c>
      <c r="L129" s="10" t="n">
        <v>17082</v>
      </c>
      <c r="M129" s="10" t="n">
        <v>15</v>
      </c>
      <c r="N129" s="11" t="n">
        <v>9.7</v>
      </c>
      <c r="O129" s="18" t="s">
        <v>46</v>
      </c>
    </row>
    <row r="130" customFormat="false" ht="15" hidden="false" customHeight="false" outlineLevel="0" collapsed="false">
      <c r="A130" s="18" t="n">
        <v>145963641</v>
      </c>
      <c r="B130" s="10" t="n">
        <v>286</v>
      </c>
      <c r="C130" s="18" t="s">
        <v>43</v>
      </c>
      <c r="D130" s="9" t="s">
        <v>658</v>
      </c>
      <c r="E130" s="9" t="s">
        <v>659</v>
      </c>
      <c r="F130" s="9" t="s">
        <v>660</v>
      </c>
      <c r="G130" s="10" t="n">
        <v>2025</v>
      </c>
      <c r="H130" s="10" t="n">
        <v>10</v>
      </c>
      <c r="I130" s="19" t="n">
        <v>19800</v>
      </c>
      <c r="J130" s="19" t="n">
        <v>22000</v>
      </c>
      <c r="K130" s="10" t="n">
        <v>1100</v>
      </c>
      <c r="L130" s="10" t="n">
        <v>2184</v>
      </c>
      <c r="M130" s="10" t="n">
        <v>10</v>
      </c>
      <c r="N130" s="11" t="n">
        <v>10</v>
      </c>
      <c r="O130" s="18" t="s">
        <v>56</v>
      </c>
    </row>
    <row r="131" customFormat="false" ht="15" hidden="false" customHeight="false" outlineLevel="0" collapsed="false">
      <c r="A131" s="18" t="n">
        <v>143310229</v>
      </c>
      <c r="B131" s="10" t="n">
        <v>287</v>
      </c>
      <c r="C131" s="18" t="s">
        <v>43</v>
      </c>
      <c r="D131" s="9" t="s">
        <v>661</v>
      </c>
      <c r="E131" s="9" t="s">
        <v>662</v>
      </c>
      <c r="F131" s="9" t="s">
        <v>663</v>
      </c>
      <c r="G131" s="10" t="n">
        <v>2025</v>
      </c>
      <c r="H131" s="10" t="n">
        <v>10</v>
      </c>
      <c r="I131" s="19" t="n">
        <v>12600</v>
      </c>
      <c r="J131" s="19" t="n">
        <v>14000</v>
      </c>
      <c r="K131" s="10" t="n">
        <v>700</v>
      </c>
      <c r="L131" s="10" t="n">
        <v>792</v>
      </c>
      <c r="M131" s="10" t="n">
        <v>0</v>
      </c>
      <c r="N131" s="11" t="n">
        <v>0</v>
      </c>
      <c r="O131" s="18" t="s">
        <v>56</v>
      </c>
    </row>
    <row r="132" customFormat="false" ht="15" hidden="false" customHeight="false" outlineLevel="0" collapsed="false">
      <c r="A132" s="18" t="n">
        <v>142865133</v>
      </c>
      <c r="B132" s="10" t="n">
        <v>288</v>
      </c>
      <c r="C132" s="18" t="s">
        <v>43</v>
      </c>
      <c r="D132" s="9" t="s">
        <v>664</v>
      </c>
      <c r="E132" s="9" t="s">
        <v>403</v>
      </c>
      <c r="F132" s="9" t="s">
        <v>161</v>
      </c>
      <c r="G132" s="10" t="n">
        <v>2025</v>
      </c>
      <c r="H132" s="10" t="n">
        <v>10</v>
      </c>
      <c r="I132" s="19" t="n">
        <v>12600</v>
      </c>
      <c r="J132" s="19" t="n">
        <v>14000</v>
      </c>
      <c r="K132" s="10" t="n">
        <v>700</v>
      </c>
      <c r="L132" s="10" t="n">
        <v>1626</v>
      </c>
      <c r="M132" s="10" t="n">
        <v>0</v>
      </c>
      <c r="N132" s="11" t="n">
        <v>0</v>
      </c>
      <c r="O132" s="18" t="s">
        <v>56</v>
      </c>
    </row>
    <row r="133" customFormat="false" ht="15" hidden="false" customHeight="false" outlineLevel="0" collapsed="false">
      <c r="A133" s="18" t="n">
        <v>142771067</v>
      </c>
      <c r="B133" s="10" t="n">
        <v>289</v>
      </c>
      <c r="C133" s="18" t="s">
        <v>43</v>
      </c>
      <c r="D133" s="15" t="s">
        <v>665</v>
      </c>
      <c r="E133" s="9" t="s">
        <v>403</v>
      </c>
      <c r="F133" s="9" t="s">
        <v>161</v>
      </c>
      <c r="G133" s="10" t="n">
        <v>2025</v>
      </c>
      <c r="H133" s="10" t="n">
        <v>10</v>
      </c>
      <c r="I133" s="19" t="n">
        <v>12600</v>
      </c>
      <c r="J133" s="19" t="n">
        <v>14000</v>
      </c>
      <c r="K133" s="10" t="n">
        <v>700</v>
      </c>
      <c r="L133" s="10" t="n">
        <v>1044</v>
      </c>
      <c r="M133" s="10" t="n">
        <v>0</v>
      </c>
      <c r="N133" s="11" t="n">
        <v>0</v>
      </c>
      <c r="O133" s="18" t="s">
        <v>56</v>
      </c>
    </row>
    <row r="134" customFormat="false" ht="15" hidden="false" customHeight="false" outlineLevel="0" collapsed="false">
      <c r="A134" s="18" t="n">
        <v>141746357</v>
      </c>
      <c r="B134" s="10" t="n">
        <v>291</v>
      </c>
      <c r="C134" s="18" t="s">
        <v>43</v>
      </c>
      <c r="D134" s="9" t="s">
        <v>668</v>
      </c>
      <c r="E134" s="9" t="s">
        <v>669</v>
      </c>
      <c r="F134" s="9" t="s">
        <v>670</v>
      </c>
      <c r="G134" s="10" t="n">
        <v>2025</v>
      </c>
      <c r="H134" s="10" t="n">
        <v>10</v>
      </c>
      <c r="I134" s="19" t="n">
        <v>19800</v>
      </c>
      <c r="J134" s="19" t="n">
        <v>22000</v>
      </c>
      <c r="K134" s="10" t="n">
        <v>1100</v>
      </c>
      <c r="L134" s="10" t="n">
        <v>5091</v>
      </c>
      <c r="M134" s="10" t="n">
        <v>12</v>
      </c>
      <c r="N134" s="11" t="n">
        <v>9.8</v>
      </c>
      <c r="O134" s="18" t="s">
        <v>56</v>
      </c>
    </row>
    <row r="135" customFormat="false" ht="15" hidden="false" customHeight="false" outlineLevel="0" collapsed="false">
      <c r="A135" s="18" t="n">
        <v>139777149</v>
      </c>
      <c r="B135" s="10" t="n">
        <v>294</v>
      </c>
      <c r="C135" s="18" t="s">
        <v>43</v>
      </c>
      <c r="D135" s="9" t="s">
        <v>674</v>
      </c>
      <c r="E135" s="9" t="s">
        <v>675</v>
      </c>
      <c r="F135" s="9" t="s">
        <v>64</v>
      </c>
      <c r="G135" s="10" t="n">
        <v>2024</v>
      </c>
      <c r="H135" s="10" t="n">
        <v>10</v>
      </c>
      <c r="I135" s="19" t="n">
        <v>16920</v>
      </c>
      <c r="J135" s="19" t="n">
        <v>18800</v>
      </c>
      <c r="K135" s="10" t="n">
        <v>940</v>
      </c>
      <c r="L135" s="10" t="n">
        <v>2754</v>
      </c>
      <c r="M135" s="10" t="n">
        <v>4</v>
      </c>
      <c r="N135" s="11" t="n">
        <v>10</v>
      </c>
      <c r="O135" s="18" t="s">
        <v>56</v>
      </c>
    </row>
    <row r="136" customFormat="false" ht="15" hidden="false" customHeight="false" outlineLevel="0" collapsed="false">
      <c r="A136" s="18" t="n">
        <v>130279113</v>
      </c>
      <c r="B136" s="10" t="n">
        <v>296</v>
      </c>
      <c r="C136" s="18" t="s">
        <v>43</v>
      </c>
      <c r="D136" s="9" t="s">
        <v>678</v>
      </c>
      <c r="E136" s="9" t="s">
        <v>679</v>
      </c>
      <c r="F136" s="15" t="s">
        <v>680</v>
      </c>
      <c r="G136" s="10" t="n">
        <v>2024</v>
      </c>
      <c r="H136" s="10" t="n">
        <v>10</v>
      </c>
      <c r="I136" s="19" t="n">
        <v>38520</v>
      </c>
      <c r="J136" s="19" t="n">
        <v>42800</v>
      </c>
      <c r="K136" s="10" t="n">
        <v>2140</v>
      </c>
      <c r="L136" s="10" t="n">
        <v>1644</v>
      </c>
      <c r="M136" s="10" t="n">
        <v>12</v>
      </c>
      <c r="N136" s="11" t="n">
        <v>9.8</v>
      </c>
      <c r="O136" s="18" t="s">
        <v>56</v>
      </c>
    </row>
    <row r="137" customFormat="false" ht="15" hidden="false" customHeight="false" outlineLevel="0" collapsed="false">
      <c r="A137" s="18" t="n">
        <v>130198048</v>
      </c>
      <c r="B137" s="10" t="n">
        <v>297</v>
      </c>
      <c r="C137" s="18" t="s">
        <v>43</v>
      </c>
      <c r="D137" s="15" t="s">
        <v>681</v>
      </c>
      <c r="E137" s="9" t="s">
        <v>403</v>
      </c>
      <c r="F137" s="9" t="s">
        <v>161</v>
      </c>
      <c r="G137" s="10" t="n">
        <v>2024</v>
      </c>
      <c r="H137" s="10" t="n">
        <v>10</v>
      </c>
      <c r="I137" s="19" t="n">
        <v>10800</v>
      </c>
      <c r="J137" s="19" t="n">
        <v>12000</v>
      </c>
      <c r="K137" s="10" t="n">
        <v>600</v>
      </c>
      <c r="L137" s="10" t="n">
        <v>1308</v>
      </c>
      <c r="M137" s="10" t="n">
        <v>0</v>
      </c>
      <c r="N137" s="11" t="n">
        <v>0</v>
      </c>
      <c r="O137" s="18" t="s">
        <v>56</v>
      </c>
    </row>
    <row r="138" customFormat="false" ht="15" hidden="false" customHeight="false" outlineLevel="0" collapsed="false">
      <c r="A138" s="18" t="n">
        <v>126114513</v>
      </c>
      <c r="B138" s="10" t="n">
        <v>301</v>
      </c>
      <c r="C138" s="18" t="s">
        <v>43</v>
      </c>
      <c r="D138" s="15" t="s">
        <v>686</v>
      </c>
      <c r="E138" s="9" t="s">
        <v>687</v>
      </c>
      <c r="F138" s="9" t="s">
        <v>311</v>
      </c>
      <c r="G138" s="10" t="n">
        <v>2024</v>
      </c>
      <c r="H138" s="10" t="n">
        <v>10</v>
      </c>
      <c r="I138" s="19" t="n">
        <v>38700</v>
      </c>
      <c r="J138" s="19" t="n">
        <v>43000</v>
      </c>
      <c r="K138" s="10" t="n">
        <v>2150</v>
      </c>
      <c r="L138" s="10" t="n">
        <v>1554</v>
      </c>
      <c r="M138" s="10" t="n">
        <v>13</v>
      </c>
      <c r="N138" s="11" t="n">
        <v>9.2</v>
      </c>
      <c r="O138" s="18" t="s">
        <v>56</v>
      </c>
    </row>
    <row r="139" customFormat="false" ht="15" hidden="false" customHeight="false" outlineLevel="0" collapsed="false">
      <c r="A139" s="18" t="n">
        <v>125886358</v>
      </c>
      <c r="B139" s="10" t="n">
        <v>302</v>
      </c>
      <c r="C139" s="18" t="s">
        <v>43</v>
      </c>
      <c r="D139" s="15" t="s">
        <v>688</v>
      </c>
      <c r="E139" s="9" t="s">
        <v>689</v>
      </c>
      <c r="F139" s="9" t="s">
        <v>88</v>
      </c>
      <c r="G139" s="10" t="n">
        <v>2024</v>
      </c>
      <c r="H139" s="10" t="n">
        <v>10</v>
      </c>
      <c r="I139" s="19" t="n">
        <v>16200</v>
      </c>
      <c r="J139" s="19" t="n">
        <v>18000</v>
      </c>
      <c r="K139" s="10" t="n">
        <v>900</v>
      </c>
      <c r="L139" s="10" t="n">
        <v>2394</v>
      </c>
      <c r="M139" s="10" t="n">
        <v>11</v>
      </c>
      <c r="N139" s="11" t="n">
        <v>10</v>
      </c>
      <c r="O139" s="18" t="s">
        <v>46</v>
      </c>
    </row>
    <row r="140" customFormat="false" ht="15" hidden="false" customHeight="false" outlineLevel="0" collapsed="false">
      <c r="A140" s="18" t="n">
        <v>125821659</v>
      </c>
      <c r="B140" s="10" t="n">
        <v>303</v>
      </c>
      <c r="C140" s="18" t="s">
        <v>43</v>
      </c>
      <c r="D140" s="9" t="s">
        <v>690</v>
      </c>
      <c r="E140" s="9" t="s">
        <v>691</v>
      </c>
      <c r="F140" s="9" t="s">
        <v>692</v>
      </c>
      <c r="G140" s="10" t="n">
        <v>2024</v>
      </c>
      <c r="H140" s="10" t="n">
        <v>10</v>
      </c>
      <c r="I140" s="19" t="n">
        <v>20700</v>
      </c>
      <c r="J140" s="19" t="n">
        <v>23000</v>
      </c>
      <c r="K140" s="10" t="n">
        <v>1150</v>
      </c>
      <c r="L140" s="10" t="n">
        <v>2349</v>
      </c>
      <c r="M140" s="10" t="n">
        <v>6</v>
      </c>
      <c r="N140" s="11" t="n">
        <v>10</v>
      </c>
      <c r="O140" s="18" t="s">
        <v>56</v>
      </c>
    </row>
    <row r="141" customFormat="false" ht="15" hidden="false" customHeight="false" outlineLevel="0" collapsed="false">
      <c r="A141" s="18" t="n">
        <v>124832401</v>
      </c>
      <c r="B141" s="10" t="n">
        <v>306</v>
      </c>
      <c r="C141" s="18" t="s">
        <v>43</v>
      </c>
      <c r="D141" s="9" t="s">
        <v>697</v>
      </c>
      <c r="E141" s="9" t="s">
        <v>698</v>
      </c>
      <c r="F141" s="9" t="s">
        <v>514</v>
      </c>
      <c r="G141" s="10" t="n">
        <v>2024</v>
      </c>
      <c r="H141" s="10" t="n">
        <v>0</v>
      </c>
      <c r="I141" s="19" t="n">
        <v>32000</v>
      </c>
      <c r="J141" s="19" t="n">
        <v>32000</v>
      </c>
      <c r="K141" s="10" t="n">
        <v>960</v>
      </c>
      <c r="L141" s="10" t="n">
        <v>2970</v>
      </c>
      <c r="M141" s="10" t="n">
        <v>4</v>
      </c>
      <c r="N141" s="11" t="n">
        <v>10</v>
      </c>
      <c r="O141" s="18" t="s">
        <v>56</v>
      </c>
    </row>
    <row r="142" customFormat="false" ht="15" hidden="false" customHeight="false" outlineLevel="0" collapsed="false">
      <c r="A142" s="18" t="n">
        <v>124138645</v>
      </c>
      <c r="B142" s="10" t="n">
        <v>309</v>
      </c>
      <c r="C142" s="18" t="s">
        <v>43</v>
      </c>
      <c r="D142" s="9" t="s">
        <v>702</v>
      </c>
      <c r="E142" s="9" t="s">
        <v>703</v>
      </c>
      <c r="F142" s="9" t="s">
        <v>311</v>
      </c>
      <c r="G142" s="10" t="n">
        <v>2024</v>
      </c>
      <c r="H142" s="10" t="n">
        <v>10</v>
      </c>
      <c r="I142" s="19" t="n">
        <v>32400</v>
      </c>
      <c r="J142" s="19" t="n">
        <v>36000</v>
      </c>
      <c r="K142" s="10" t="n">
        <v>1800</v>
      </c>
      <c r="L142" s="10" t="n">
        <v>3714</v>
      </c>
      <c r="M142" s="10" t="n">
        <v>23</v>
      </c>
      <c r="N142" s="11" t="n">
        <v>9.7</v>
      </c>
      <c r="O142" s="18" t="s">
        <v>46</v>
      </c>
    </row>
    <row r="143" customFormat="false" ht="15" hidden="false" customHeight="false" outlineLevel="0" collapsed="false">
      <c r="A143" s="18" t="n">
        <v>122863801</v>
      </c>
      <c r="B143" s="10" t="n">
        <v>310</v>
      </c>
      <c r="C143" s="18" t="s">
        <v>43</v>
      </c>
      <c r="D143" s="9" t="s">
        <v>704</v>
      </c>
      <c r="E143" s="9" t="s">
        <v>705</v>
      </c>
      <c r="F143" s="9" t="s">
        <v>552</v>
      </c>
      <c r="G143" s="10" t="n">
        <v>2023</v>
      </c>
      <c r="H143" s="10" t="n">
        <v>10</v>
      </c>
      <c r="I143" s="19" t="n">
        <v>26550</v>
      </c>
      <c r="J143" s="19" t="n">
        <v>29500</v>
      </c>
      <c r="K143" s="10" t="n">
        <v>1470</v>
      </c>
      <c r="L143" s="10" t="n">
        <v>2919</v>
      </c>
      <c r="M143" s="10" t="n">
        <v>1990</v>
      </c>
      <c r="N143" s="11" t="n">
        <v>9.8</v>
      </c>
      <c r="O143" s="18" t="s">
        <v>46</v>
      </c>
    </row>
    <row r="144" customFormat="false" ht="15" hidden="false" customHeight="false" outlineLevel="0" collapsed="false">
      <c r="A144" s="18" t="n">
        <v>120483591</v>
      </c>
      <c r="B144" s="10" t="n">
        <v>311</v>
      </c>
      <c r="C144" s="18" t="s">
        <v>43</v>
      </c>
      <c r="D144" s="9" t="s">
        <v>706</v>
      </c>
      <c r="E144" s="9" t="s">
        <v>707</v>
      </c>
      <c r="F144" s="9" t="s">
        <v>238</v>
      </c>
      <c r="G144" s="10" t="n">
        <v>2023</v>
      </c>
      <c r="H144" s="10" t="n">
        <v>10</v>
      </c>
      <c r="I144" s="19" t="n">
        <v>16920</v>
      </c>
      <c r="J144" s="19" t="n">
        <v>18800</v>
      </c>
      <c r="K144" s="10" t="n">
        <v>940</v>
      </c>
      <c r="L144" s="10" t="n">
        <v>1125</v>
      </c>
      <c r="M144" s="10" t="n">
        <v>7</v>
      </c>
      <c r="N144" s="11" t="n">
        <v>9</v>
      </c>
      <c r="O144" s="18" t="s">
        <v>56</v>
      </c>
    </row>
    <row r="145" customFormat="false" ht="15" hidden="false" customHeight="false" outlineLevel="0" collapsed="false">
      <c r="A145" s="18" t="n">
        <v>116755317</v>
      </c>
      <c r="B145" s="10" t="n">
        <v>316</v>
      </c>
      <c r="C145" s="18" t="s">
        <v>43</v>
      </c>
      <c r="D145" s="9" t="s">
        <v>716</v>
      </c>
      <c r="E145" s="9" t="s">
        <v>717</v>
      </c>
      <c r="F145" s="9" t="s">
        <v>514</v>
      </c>
      <c r="G145" s="10" t="n">
        <v>2023</v>
      </c>
      <c r="H145" s="10" t="n">
        <v>0</v>
      </c>
      <c r="I145" s="19" t="n">
        <v>39000</v>
      </c>
      <c r="J145" s="19" t="n">
        <v>39000</v>
      </c>
      <c r="K145" s="10" t="n">
        <v>0</v>
      </c>
      <c r="L145" s="10" t="n">
        <v>2190</v>
      </c>
      <c r="M145" s="10" t="n">
        <v>9</v>
      </c>
      <c r="N145" s="11" t="n">
        <v>9.8</v>
      </c>
      <c r="O145" s="18" t="s">
        <v>56</v>
      </c>
    </row>
    <row r="146" customFormat="false" ht="15" hidden="false" customHeight="false" outlineLevel="0" collapsed="false">
      <c r="A146" s="18" t="n">
        <v>109590932</v>
      </c>
      <c r="B146" s="10" t="n">
        <v>318</v>
      </c>
      <c r="C146" s="18" t="s">
        <v>43</v>
      </c>
      <c r="D146" s="9" t="s">
        <v>719</v>
      </c>
      <c r="E146" s="9" t="s">
        <v>720</v>
      </c>
      <c r="F146" s="9" t="s">
        <v>88</v>
      </c>
      <c r="G146" s="10" t="n">
        <v>2022</v>
      </c>
      <c r="H146" s="10" t="n">
        <v>10</v>
      </c>
      <c r="I146" s="19" t="n">
        <v>15120</v>
      </c>
      <c r="J146" s="19" t="n">
        <v>16800</v>
      </c>
      <c r="K146" s="10" t="n">
        <v>840</v>
      </c>
      <c r="L146" s="10" t="n">
        <v>1224</v>
      </c>
      <c r="M146" s="10" t="n">
        <v>29</v>
      </c>
      <c r="N146" s="11" t="n">
        <v>9.4</v>
      </c>
      <c r="O146" s="18" t="s">
        <v>56</v>
      </c>
    </row>
    <row r="147" customFormat="false" ht="15" hidden="false" customHeight="false" outlineLevel="0" collapsed="false">
      <c r="A147" s="18" t="n">
        <v>107077663</v>
      </c>
      <c r="B147" s="10" t="n">
        <v>319</v>
      </c>
      <c r="C147" s="18" t="s">
        <v>43</v>
      </c>
      <c r="D147" s="9" t="s">
        <v>721</v>
      </c>
      <c r="E147" s="9" t="s">
        <v>722</v>
      </c>
      <c r="F147" s="9" t="s">
        <v>311</v>
      </c>
      <c r="G147" s="10" t="n">
        <v>2022</v>
      </c>
      <c r="H147" s="10" t="n">
        <v>10</v>
      </c>
      <c r="I147" s="19" t="n">
        <v>29700</v>
      </c>
      <c r="J147" s="19" t="n">
        <v>33000</v>
      </c>
      <c r="K147" s="10" t="n">
        <v>1650</v>
      </c>
      <c r="L147" s="10" t="n">
        <v>2586</v>
      </c>
      <c r="M147" s="10" t="n">
        <v>12</v>
      </c>
      <c r="N147" s="11" t="n">
        <v>9.2</v>
      </c>
      <c r="O147" s="18" t="s">
        <v>46</v>
      </c>
    </row>
    <row r="148" customFormat="false" ht="15" hidden="false" customHeight="false" outlineLevel="0" collapsed="false">
      <c r="A148" s="18" t="n">
        <v>105803863</v>
      </c>
      <c r="B148" s="10" t="n">
        <v>320</v>
      </c>
      <c r="C148" s="18" t="s">
        <v>43</v>
      </c>
      <c r="D148" s="15" t="s">
        <v>723</v>
      </c>
      <c r="E148" s="9" t="s">
        <v>724</v>
      </c>
      <c r="F148" s="9" t="s">
        <v>311</v>
      </c>
      <c r="G148" s="10" t="n">
        <v>2021</v>
      </c>
      <c r="H148" s="10" t="n">
        <v>10</v>
      </c>
      <c r="I148" s="19" t="n">
        <v>18000</v>
      </c>
      <c r="J148" s="19" t="n">
        <v>20000</v>
      </c>
      <c r="K148" s="10" t="n">
        <v>1000</v>
      </c>
      <c r="L148" s="10" t="n">
        <v>1704</v>
      </c>
      <c r="M148" s="10" t="n">
        <v>58</v>
      </c>
      <c r="N148" s="11" t="n">
        <v>9.2</v>
      </c>
      <c r="O148" s="18" t="s">
        <v>46</v>
      </c>
    </row>
    <row r="149" customFormat="false" ht="15" hidden="false" customHeight="false" outlineLevel="0" collapsed="false">
      <c r="A149" s="18" t="n">
        <v>102830177</v>
      </c>
      <c r="B149" s="10" t="n">
        <v>323</v>
      </c>
      <c r="C149" s="18" t="s">
        <v>43</v>
      </c>
      <c r="D149" s="15" t="s">
        <v>728</v>
      </c>
      <c r="E149" s="9" t="s">
        <v>729</v>
      </c>
      <c r="F149" s="9" t="s">
        <v>322</v>
      </c>
      <c r="G149" s="10" t="n">
        <v>2021</v>
      </c>
      <c r="H149" s="10" t="n">
        <v>0</v>
      </c>
      <c r="I149" s="19" t="n">
        <v>27000</v>
      </c>
      <c r="J149" s="19" t="n">
        <v>27000</v>
      </c>
      <c r="K149" s="10" t="n">
        <v>810</v>
      </c>
      <c r="L149" s="10" t="n">
        <v>3258</v>
      </c>
      <c r="M149" s="10" t="n">
        <v>3</v>
      </c>
      <c r="N149" s="11" t="n">
        <v>8.7</v>
      </c>
      <c r="O149" s="18" t="s">
        <v>46</v>
      </c>
    </row>
    <row r="150" customFormat="false" ht="15" hidden="false" customHeight="false" outlineLevel="0" collapsed="false">
      <c r="A150" s="18" t="n">
        <v>99359735</v>
      </c>
      <c r="B150" s="10" t="n">
        <v>324</v>
      </c>
      <c r="C150" s="18" t="s">
        <v>43</v>
      </c>
      <c r="D150" s="9" t="s">
        <v>730</v>
      </c>
      <c r="E150" s="9" t="s">
        <v>731</v>
      </c>
      <c r="F150" s="9" t="s">
        <v>732</v>
      </c>
      <c r="G150" s="10" t="n">
        <v>2021</v>
      </c>
      <c r="H150" s="10" t="n">
        <v>5</v>
      </c>
      <c r="I150" s="19" t="n">
        <v>31350</v>
      </c>
      <c r="J150" s="19" t="n">
        <v>33000</v>
      </c>
      <c r="K150" s="10" t="n">
        <v>990</v>
      </c>
      <c r="L150" s="10" t="n">
        <v>6774</v>
      </c>
      <c r="M150" s="10" t="n">
        <v>6</v>
      </c>
      <c r="N150" s="11" t="n">
        <v>8</v>
      </c>
      <c r="O150" s="18" t="s">
        <v>46</v>
      </c>
    </row>
    <row r="151" customFormat="false" ht="15" hidden="false" customHeight="false" outlineLevel="0" collapsed="false">
      <c r="A151" s="18" t="n">
        <v>96375165</v>
      </c>
      <c r="B151" s="10" t="n">
        <v>325</v>
      </c>
      <c r="C151" s="18" t="s">
        <v>43</v>
      </c>
      <c r="D151" s="9" t="s">
        <v>733</v>
      </c>
      <c r="E151" s="9" t="s">
        <v>734</v>
      </c>
      <c r="F151" s="9" t="s">
        <v>735</v>
      </c>
      <c r="G151" s="10" t="n">
        <v>2020</v>
      </c>
      <c r="H151" s="10" t="n">
        <v>10</v>
      </c>
      <c r="I151" s="19" t="n">
        <v>16200</v>
      </c>
      <c r="J151" s="19" t="n">
        <v>18000</v>
      </c>
      <c r="K151" s="10" t="n">
        <v>900</v>
      </c>
      <c r="L151" s="10" t="n">
        <v>1818</v>
      </c>
      <c r="M151" s="10" t="n">
        <v>30</v>
      </c>
      <c r="N151" s="11" t="n">
        <v>9.3</v>
      </c>
      <c r="O151" s="18" t="s">
        <v>56</v>
      </c>
    </row>
    <row r="152" customFormat="false" ht="15" hidden="false" customHeight="false" outlineLevel="0" collapsed="false">
      <c r="A152" s="18" t="n">
        <v>89872186</v>
      </c>
      <c r="B152" s="10" t="n">
        <v>328</v>
      </c>
      <c r="C152" s="18" t="s">
        <v>43</v>
      </c>
      <c r="D152" s="9" t="s">
        <v>740</v>
      </c>
      <c r="E152" s="9" t="s">
        <v>741</v>
      </c>
      <c r="F152" s="9" t="s">
        <v>360</v>
      </c>
      <c r="G152" s="10" t="n">
        <v>2020</v>
      </c>
      <c r="H152" s="10" t="n">
        <v>5</v>
      </c>
      <c r="I152" s="19" t="n">
        <v>25650</v>
      </c>
      <c r="J152" s="19" t="n">
        <v>27000</v>
      </c>
      <c r="K152" s="10" t="n">
        <v>810</v>
      </c>
      <c r="L152" s="10" t="n">
        <v>594</v>
      </c>
      <c r="M152" s="10" t="n">
        <v>9</v>
      </c>
      <c r="N152" s="11" t="n">
        <v>9.6</v>
      </c>
      <c r="O152" s="18" t="s">
        <v>56</v>
      </c>
    </row>
    <row r="153" customFormat="false" ht="15" hidden="false" customHeight="false" outlineLevel="0" collapsed="false">
      <c r="A153" s="18" t="n">
        <v>89496122</v>
      </c>
      <c r="B153" s="10" t="n">
        <v>329</v>
      </c>
      <c r="C153" s="18" t="s">
        <v>43</v>
      </c>
      <c r="D153" s="9" t="s">
        <v>742</v>
      </c>
      <c r="E153" s="15" t="s">
        <v>743</v>
      </c>
      <c r="F153" s="9" t="s">
        <v>744</v>
      </c>
      <c r="G153" s="10" t="n">
        <v>2020</v>
      </c>
      <c r="H153" s="10" t="n">
        <v>0</v>
      </c>
      <c r="I153" s="19" t="n">
        <v>39000</v>
      </c>
      <c r="J153" s="19" t="n">
        <v>39000</v>
      </c>
      <c r="K153" s="10" t="n">
        <v>1170</v>
      </c>
      <c r="L153" s="10" t="n">
        <v>3690</v>
      </c>
      <c r="M153" s="10" t="n">
        <v>27</v>
      </c>
      <c r="N153" s="11" t="n">
        <v>7.3</v>
      </c>
      <c r="O153" s="18" t="s">
        <v>46</v>
      </c>
    </row>
    <row r="154" customFormat="false" ht="15" hidden="false" customHeight="false" outlineLevel="0" collapsed="false">
      <c r="A154" s="18" t="n">
        <v>86006680</v>
      </c>
      <c r="B154" s="10" t="n">
        <v>330</v>
      </c>
      <c r="C154" s="18" t="s">
        <v>43</v>
      </c>
      <c r="D154" s="9" t="s">
        <v>745</v>
      </c>
      <c r="E154" s="15" t="s">
        <v>746</v>
      </c>
      <c r="F154" s="9" t="s">
        <v>747</v>
      </c>
      <c r="G154" s="10" t="n">
        <v>2020</v>
      </c>
      <c r="H154" s="10" t="n">
        <v>10</v>
      </c>
      <c r="I154" s="19" t="n">
        <v>9900</v>
      </c>
      <c r="J154" s="19" t="n">
        <v>11000</v>
      </c>
      <c r="K154" s="10" t="n">
        <v>550</v>
      </c>
      <c r="L154" s="10" t="n">
        <v>2145</v>
      </c>
      <c r="M154" s="10" t="n">
        <v>12</v>
      </c>
      <c r="N154" s="11" t="n">
        <v>9.3</v>
      </c>
      <c r="O154" s="18" t="s">
        <v>56</v>
      </c>
    </row>
    <row r="155" customFormat="false" ht="15" hidden="false" customHeight="false" outlineLevel="0" collapsed="false">
      <c r="A155" s="18" t="n">
        <v>69477238</v>
      </c>
      <c r="B155" s="10" t="n">
        <v>332</v>
      </c>
      <c r="C155" s="18" t="s">
        <v>43</v>
      </c>
      <c r="D155" s="9" t="s">
        <v>749</v>
      </c>
      <c r="E155" s="9" t="s">
        <v>750</v>
      </c>
      <c r="F155" s="9" t="s">
        <v>751</v>
      </c>
      <c r="G155" s="10" t="n">
        <v>2019</v>
      </c>
      <c r="H155" s="10" t="n">
        <v>10</v>
      </c>
      <c r="I155" s="19" t="n">
        <v>27000</v>
      </c>
      <c r="J155" s="19" t="n">
        <v>30000</v>
      </c>
      <c r="K155" s="10" t="n">
        <v>1500</v>
      </c>
      <c r="L155" s="10" t="n">
        <v>1206</v>
      </c>
      <c r="M155" s="10" t="n">
        <v>64</v>
      </c>
      <c r="N155" s="11" t="n">
        <v>9.8</v>
      </c>
      <c r="O155" s="18" t="s">
        <v>56</v>
      </c>
    </row>
    <row r="156" customFormat="false" ht="15" hidden="false" customHeight="false" outlineLevel="0" collapsed="false">
      <c r="A156" s="18" t="n">
        <v>189212974</v>
      </c>
      <c r="B156" s="10" t="n">
        <v>336</v>
      </c>
      <c r="C156" s="18" t="s">
        <v>43</v>
      </c>
      <c r="D156" s="9" t="s">
        <v>758</v>
      </c>
      <c r="E156" s="9" t="s">
        <v>759</v>
      </c>
      <c r="F156" s="9" t="s">
        <v>760</v>
      </c>
      <c r="G156" s="10" t="n">
        <v>2026</v>
      </c>
      <c r="H156" s="10" t="n">
        <v>10</v>
      </c>
      <c r="I156" s="19" t="n">
        <v>19800</v>
      </c>
      <c r="J156" s="19" t="n">
        <v>22000</v>
      </c>
      <c r="K156" s="10" t="n">
        <v>1100</v>
      </c>
      <c r="L156" s="10" t="n">
        <v>678</v>
      </c>
      <c r="M156" s="10" t="n">
        <v>1</v>
      </c>
      <c r="N156" s="11" t="n">
        <v>10</v>
      </c>
      <c r="O156" s="18" t="s">
        <v>56</v>
      </c>
    </row>
    <row r="157" customFormat="false" ht="15" hidden="false" customHeight="false" outlineLevel="0" collapsed="false">
      <c r="A157" s="18" t="n">
        <v>189663337</v>
      </c>
      <c r="B157" s="10" t="n">
        <v>338</v>
      </c>
      <c r="C157" s="18" t="s">
        <v>43</v>
      </c>
      <c r="D157" s="9" t="s">
        <v>763</v>
      </c>
      <c r="E157" s="9" t="s">
        <v>764</v>
      </c>
      <c r="F157" s="9" t="s">
        <v>64</v>
      </c>
      <c r="G157" s="10" t="n">
        <v>2026</v>
      </c>
      <c r="H157" s="10" t="n">
        <v>10</v>
      </c>
      <c r="I157" s="19" t="n">
        <v>16920</v>
      </c>
      <c r="J157" s="19" t="n">
        <v>18800</v>
      </c>
      <c r="K157" s="10" t="n">
        <v>940</v>
      </c>
      <c r="L157" s="10" t="n">
        <v>789</v>
      </c>
      <c r="M157" s="10" t="n">
        <v>0</v>
      </c>
      <c r="N157" s="11" t="n">
        <v>0</v>
      </c>
      <c r="O157" s="18" t="s">
        <v>56</v>
      </c>
    </row>
    <row r="158" customFormat="false" ht="15" hidden="false" customHeight="false" outlineLevel="0" collapsed="false">
      <c r="A158" s="18" t="n">
        <v>189590860</v>
      </c>
      <c r="B158" s="10" t="n">
        <v>339</v>
      </c>
      <c r="C158" s="18" t="s">
        <v>43</v>
      </c>
      <c r="D158" s="15" t="s">
        <v>765</v>
      </c>
      <c r="E158" s="9" t="s">
        <v>766</v>
      </c>
      <c r="F158" s="9" t="s">
        <v>116</v>
      </c>
      <c r="G158" s="10" t="n">
        <v>2026</v>
      </c>
      <c r="H158" s="10" t="n">
        <v>10</v>
      </c>
      <c r="I158" s="19" t="n">
        <v>19800</v>
      </c>
      <c r="J158" s="19" t="n">
        <v>22000</v>
      </c>
      <c r="K158" s="10" t="n">
        <v>1100</v>
      </c>
      <c r="L158" s="10" t="n">
        <v>579</v>
      </c>
      <c r="M158" s="10" t="n">
        <v>4</v>
      </c>
      <c r="N158" s="11" t="n">
        <v>10</v>
      </c>
      <c r="O158" s="18" t="s">
        <v>56</v>
      </c>
    </row>
    <row r="159" customFormat="false" ht="15" hidden="false" customHeight="false" outlineLevel="0" collapsed="false">
      <c r="A159" s="18" t="n">
        <v>184570770</v>
      </c>
      <c r="B159" s="10" t="n">
        <v>340</v>
      </c>
      <c r="C159" s="18" t="s">
        <v>43</v>
      </c>
      <c r="D159" s="9" t="s">
        <v>767</v>
      </c>
      <c r="E159" s="9" t="s">
        <v>768</v>
      </c>
      <c r="F159" s="9" t="s">
        <v>769</v>
      </c>
      <c r="G159" s="10" t="n">
        <v>2026</v>
      </c>
      <c r="H159" s="10" t="n">
        <v>10</v>
      </c>
      <c r="I159" s="19" t="n">
        <v>16020</v>
      </c>
      <c r="J159" s="19" t="n">
        <v>17800</v>
      </c>
      <c r="K159" s="10" t="n">
        <v>890</v>
      </c>
      <c r="L159" s="10" t="n">
        <v>1860</v>
      </c>
      <c r="M159" s="10" t="n">
        <v>122</v>
      </c>
      <c r="N159" s="11" t="n">
        <v>9.9</v>
      </c>
      <c r="O159" s="18" t="s">
        <v>56</v>
      </c>
    </row>
    <row r="160" customFormat="false" ht="15" hidden="false" customHeight="false" outlineLevel="0" collapsed="false">
      <c r="A160" s="18" t="n">
        <v>173033853</v>
      </c>
      <c r="B160" s="10" t="n">
        <v>342</v>
      </c>
      <c r="C160" s="18" t="s">
        <v>43</v>
      </c>
      <c r="D160" s="9" t="s">
        <v>771</v>
      </c>
      <c r="E160" s="9" t="s">
        <v>772</v>
      </c>
      <c r="F160" s="9" t="s">
        <v>88</v>
      </c>
      <c r="G160" s="10" t="n">
        <v>2026</v>
      </c>
      <c r="H160" s="10" t="n">
        <v>10</v>
      </c>
      <c r="I160" s="19" t="n">
        <v>28800</v>
      </c>
      <c r="J160" s="19" t="n">
        <v>32000</v>
      </c>
      <c r="K160" s="10" t="n">
        <v>1600</v>
      </c>
      <c r="L160" s="10" t="n">
        <v>2220</v>
      </c>
      <c r="M160" s="10" t="n">
        <v>2</v>
      </c>
      <c r="N160" s="11" t="n">
        <v>9</v>
      </c>
      <c r="O160" s="18" t="s">
        <v>56</v>
      </c>
    </row>
    <row r="161" customFormat="false" ht="15" hidden="false" customHeight="false" outlineLevel="0" collapsed="false">
      <c r="A161" s="18" t="n">
        <v>190278099</v>
      </c>
      <c r="B161" s="10" t="n">
        <v>345</v>
      </c>
      <c r="C161" s="18" t="s">
        <v>43</v>
      </c>
      <c r="D161" s="9" t="s">
        <v>777</v>
      </c>
      <c r="E161" s="9" t="s">
        <v>778</v>
      </c>
      <c r="F161" s="9" t="s">
        <v>145</v>
      </c>
      <c r="G161" s="10" t="n">
        <v>2026</v>
      </c>
      <c r="H161" s="10" t="n">
        <v>0</v>
      </c>
      <c r="I161" s="19" t="n">
        <v>20000</v>
      </c>
      <c r="J161" s="19" t="n">
        <v>20000</v>
      </c>
      <c r="K161" s="10" t="n">
        <v>0</v>
      </c>
      <c r="L161" s="10" t="n">
        <v>180</v>
      </c>
      <c r="M161" s="10" t="n">
        <v>0</v>
      </c>
      <c r="N161" s="11" t="n">
        <v>0</v>
      </c>
      <c r="O161" s="18" t="s">
        <v>56</v>
      </c>
    </row>
    <row r="162" customFormat="false" ht="15" hidden="false" customHeight="false" outlineLevel="0" collapsed="false">
      <c r="A162" s="18" t="n">
        <v>190216677</v>
      </c>
      <c r="B162" s="10" t="n">
        <v>346</v>
      </c>
      <c r="C162" s="18" t="s">
        <v>43</v>
      </c>
      <c r="D162" s="9" t="s">
        <v>779</v>
      </c>
      <c r="E162" s="9" t="s">
        <v>780</v>
      </c>
      <c r="F162" s="9" t="s">
        <v>514</v>
      </c>
      <c r="G162" s="10" t="n">
        <v>2026</v>
      </c>
      <c r="H162" s="10" t="n">
        <v>0</v>
      </c>
      <c r="I162" s="19" t="n">
        <v>28000</v>
      </c>
      <c r="J162" s="19" t="n">
        <v>28000</v>
      </c>
      <c r="K162" s="10" t="n">
        <v>0</v>
      </c>
      <c r="L162" s="10" t="n">
        <v>120</v>
      </c>
      <c r="M162" s="10" t="n">
        <v>0</v>
      </c>
      <c r="N162" s="11" t="n">
        <v>0</v>
      </c>
      <c r="O162" s="18" t="s">
        <v>56</v>
      </c>
    </row>
    <row r="163" customFormat="false" ht="15" hidden="false" customHeight="false" outlineLevel="0" collapsed="false">
      <c r="A163" s="18" t="n">
        <v>189857662</v>
      </c>
      <c r="B163" s="10" t="n">
        <v>347</v>
      </c>
      <c r="C163" s="18" t="s">
        <v>43</v>
      </c>
      <c r="D163" s="15" t="s">
        <v>781</v>
      </c>
      <c r="E163" s="9" t="s">
        <v>782</v>
      </c>
      <c r="F163" s="9" t="s">
        <v>783</v>
      </c>
      <c r="G163" s="10" t="n">
        <v>2026</v>
      </c>
      <c r="H163" s="10" t="n">
        <v>0</v>
      </c>
      <c r="I163" s="19" t="n">
        <v>38000</v>
      </c>
      <c r="J163" s="19" t="n">
        <v>38000</v>
      </c>
      <c r="K163" s="10" t="n">
        <v>0</v>
      </c>
      <c r="L163" s="10" t="n">
        <v>246</v>
      </c>
      <c r="M163" s="10" t="n">
        <v>0</v>
      </c>
      <c r="N163" s="11" t="n">
        <v>0</v>
      </c>
      <c r="O163" s="18" t="s">
        <v>56</v>
      </c>
    </row>
    <row r="164" customFormat="false" ht="15" hidden="false" customHeight="false" outlineLevel="0" collapsed="false">
      <c r="A164" s="18" t="n">
        <v>189763119</v>
      </c>
      <c r="B164" s="10" t="n">
        <v>348</v>
      </c>
      <c r="C164" s="18" t="s">
        <v>43</v>
      </c>
      <c r="D164" s="9" t="s">
        <v>784</v>
      </c>
      <c r="E164" s="9" t="s">
        <v>785</v>
      </c>
      <c r="F164" s="9" t="s">
        <v>786</v>
      </c>
      <c r="G164" s="10" t="n">
        <v>2026</v>
      </c>
      <c r="H164" s="10" t="n">
        <v>10</v>
      </c>
      <c r="I164" s="19" t="n">
        <v>15300</v>
      </c>
      <c r="J164" s="19" t="n">
        <v>17000</v>
      </c>
      <c r="K164" s="10" t="n">
        <v>850</v>
      </c>
      <c r="L164" s="10" t="n">
        <v>282</v>
      </c>
      <c r="M164" s="10" t="n">
        <v>0</v>
      </c>
      <c r="N164" s="11" t="n">
        <v>0</v>
      </c>
      <c r="O164" s="18" t="s">
        <v>56</v>
      </c>
    </row>
    <row r="165" customFormat="false" ht="15" hidden="false" customHeight="false" outlineLevel="0" collapsed="false">
      <c r="A165" s="18" t="n">
        <v>189749546</v>
      </c>
      <c r="B165" s="10" t="n">
        <v>349</v>
      </c>
      <c r="C165" s="18" t="s">
        <v>43</v>
      </c>
      <c r="D165" s="15" t="s">
        <v>787</v>
      </c>
      <c r="E165" s="9" t="s">
        <v>788</v>
      </c>
      <c r="F165" s="9" t="s">
        <v>732</v>
      </c>
      <c r="G165" s="10" t="n">
        <v>2026</v>
      </c>
      <c r="H165" s="10" t="n">
        <v>0</v>
      </c>
      <c r="I165" s="19" t="n">
        <v>25000</v>
      </c>
      <c r="J165" s="19" t="n">
        <v>25000</v>
      </c>
      <c r="K165" s="10" t="n">
        <v>0</v>
      </c>
      <c r="L165" s="10" t="n">
        <v>246</v>
      </c>
      <c r="M165" s="10" t="n">
        <v>0</v>
      </c>
      <c r="N165" s="11" t="n">
        <v>0</v>
      </c>
      <c r="O165" s="18" t="s">
        <v>56</v>
      </c>
    </row>
    <row r="166" customFormat="false" ht="15" hidden="false" customHeight="false" outlineLevel="0" collapsed="false">
      <c r="A166" s="18" t="n">
        <v>189673230</v>
      </c>
      <c r="B166" s="10" t="n">
        <v>350</v>
      </c>
      <c r="C166" s="18" t="s">
        <v>43</v>
      </c>
      <c r="D166" s="9" t="s">
        <v>789</v>
      </c>
      <c r="E166" s="9" t="s">
        <v>790</v>
      </c>
      <c r="F166" s="9" t="s">
        <v>791</v>
      </c>
      <c r="G166" s="10" t="n">
        <v>2026</v>
      </c>
      <c r="H166" s="10" t="n">
        <v>0</v>
      </c>
      <c r="I166" s="19" t="n">
        <v>20700</v>
      </c>
      <c r="J166" s="19" t="n">
        <v>20700</v>
      </c>
      <c r="K166" s="10" t="n">
        <v>0</v>
      </c>
      <c r="L166" s="10" t="n">
        <v>246</v>
      </c>
      <c r="M166" s="10" t="n">
        <v>0</v>
      </c>
      <c r="N166" s="11" t="n">
        <v>0</v>
      </c>
      <c r="O166" s="18" t="s">
        <v>56</v>
      </c>
    </row>
    <row r="167" customFormat="false" ht="15" hidden="false" customHeight="false" outlineLevel="0" collapsed="false">
      <c r="A167" s="18" t="n">
        <v>189634815</v>
      </c>
      <c r="B167" s="10" t="n">
        <v>351</v>
      </c>
      <c r="C167" s="18" t="s">
        <v>43</v>
      </c>
      <c r="D167" s="9" t="s">
        <v>792</v>
      </c>
      <c r="E167" s="9" t="s">
        <v>793</v>
      </c>
      <c r="F167" s="9" t="s">
        <v>732</v>
      </c>
      <c r="G167" s="10" t="n">
        <v>2026</v>
      </c>
      <c r="H167" s="10" t="n">
        <v>0</v>
      </c>
      <c r="I167" s="19" t="n">
        <v>65000</v>
      </c>
      <c r="J167" s="19" t="n">
        <v>65000</v>
      </c>
      <c r="K167" s="10" t="n">
        <v>0</v>
      </c>
      <c r="L167" s="10" t="n">
        <v>162</v>
      </c>
      <c r="M167" s="10" t="n">
        <v>0</v>
      </c>
      <c r="N167" s="11" t="n">
        <v>0</v>
      </c>
      <c r="O167" s="18" t="s">
        <v>56</v>
      </c>
    </row>
    <row r="168" customFormat="false" ht="15" hidden="false" customHeight="false" outlineLevel="0" collapsed="false">
      <c r="A168" s="18" t="n">
        <v>189628247</v>
      </c>
      <c r="B168" s="10" t="n">
        <v>352</v>
      </c>
      <c r="C168" s="18" t="s">
        <v>43</v>
      </c>
      <c r="D168" s="15" t="s">
        <v>794</v>
      </c>
      <c r="E168" s="9" t="s">
        <v>795</v>
      </c>
      <c r="F168" s="9" t="s">
        <v>796</v>
      </c>
      <c r="G168" s="10" t="n">
        <v>2026</v>
      </c>
      <c r="H168" s="10" t="n">
        <v>10</v>
      </c>
      <c r="I168" s="19" t="n">
        <v>31500</v>
      </c>
      <c r="J168" s="19" t="n">
        <v>35000</v>
      </c>
      <c r="K168" s="10" t="n">
        <v>1750</v>
      </c>
      <c r="L168" s="10" t="n">
        <v>579</v>
      </c>
      <c r="M168" s="10" t="n">
        <v>5</v>
      </c>
      <c r="N168" s="11" t="n">
        <v>10</v>
      </c>
      <c r="O168" s="18" t="s">
        <v>56</v>
      </c>
    </row>
    <row r="169" customFormat="false" ht="15" hidden="false" customHeight="false" outlineLevel="0" collapsed="false">
      <c r="A169" s="18" t="n">
        <v>189439522</v>
      </c>
      <c r="B169" s="10" t="n">
        <v>353</v>
      </c>
      <c r="C169" s="18" t="s">
        <v>43</v>
      </c>
      <c r="D169" s="9" t="s">
        <v>797</v>
      </c>
      <c r="E169" s="9" t="s">
        <v>798</v>
      </c>
      <c r="F169" s="15" t="s">
        <v>561</v>
      </c>
      <c r="G169" s="10" t="n">
        <v>2026</v>
      </c>
      <c r="H169" s="10" t="n">
        <v>0</v>
      </c>
      <c r="I169" s="19" t="n">
        <v>28000</v>
      </c>
      <c r="J169" s="19" t="n">
        <v>28000</v>
      </c>
      <c r="K169" s="10" t="n">
        <v>0</v>
      </c>
      <c r="L169" s="10" t="n">
        <v>204</v>
      </c>
      <c r="M169" s="10" t="n">
        <v>0</v>
      </c>
      <c r="N169" s="11" t="n">
        <v>0</v>
      </c>
      <c r="O169" s="18" t="s">
        <v>56</v>
      </c>
    </row>
    <row r="170" customFormat="false" ht="15" hidden="false" customHeight="false" outlineLevel="0" collapsed="false">
      <c r="A170" s="18" t="n">
        <v>189438793</v>
      </c>
      <c r="B170" s="10" t="n">
        <v>354</v>
      </c>
      <c r="C170" s="18" t="s">
        <v>43</v>
      </c>
      <c r="D170" s="9" t="s">
        <v>799</v>
      </c>
      <c r="E170" s="9" t="s">
        <v>800</v>
      </c>
      <c r="F170" s="9" t="s">
        <v>511</v>
      </c>
      <c r="G170" s="10" t="n">
        <v>2026</v>
      </c>
      <c r="H170" s="10" t="n">
        <v>10</v>
      </c>
      <c r="I170" s="19" t="n">
        <v>20700</v>
      </c>
      <c r="J170" s="19" t="n">
        <v>23000</v>
      </c>
      <c r="K170" s="10" t="n">
        <v>1150</v>
      </c>
      <c r="L170" s="10" t="n">
        <v>246</v>
      </c>
      <c r="M170" s="10" t="n">
        <v>11</v>
      </c>
      <c r="N170" s="11" t="n">
        <v>9.8</v>
      </c>
      <c r="O170" s="18" t="s">
        <v>56</v>
      </c>
    </row>
    <row r="171" customFormat="false" ht="15" hidden="false" customHeight="false" outlineLevel="0" collapsed="false">
      <c r="A171" s="18" t="n">
        <v>189379748</v>
      </c>
      <c r="B171" s="10" t="n">
        <v>355</v>
      </c>
      <c r="C171" s="18" t="s">
        <v>43</v>
      </c>
      <c r="D171" s="9" t="s">
        <v>801</v>
      </c>
      <c r="E171" s="9" t="s">
        <v>802</v>
      </c>
      <c r="F171" s="9" t="s">
        <v>311</v>
      </c>
      <c r="G171" s="10" t="n">
        <v>2026</v>
      </c>
      <c r="H171" s="10" t="n">
        <v>10</v>
      </c>
      <c r="I171" s="19" t="n">
        <v>29700</v>
      </c>
      <c r="J171" s="19" t="n">
        <v>33000</v>
      </c>
      <c r="K171" s="10" t="n">
        <v>1650</v>
      </c>
      <c r="L171" s="10" t="n">
        <v>414</v>
      </c>
      <c r="M171" s="10" t="n">
        <v>0</v>
      </c>
      <c r="N171" s="11" t="n">
        <v>0</v>
      </c>
      <c r="O171" s="18" t="s">
        <v>56</v>
      </c>
    </row>
    <row r="172" customFormat="false" ht="15" hidden="false" customHeight="false" outlineLevel="0" collapsed="false">
      <c r="A172" s="18" t="n">
        <v>189205584</v>
      </c>
      <c r="B172" s="10" t="n">
        <v>356</v>
      </c>
      <c r="C172" s="18" t="s">
        <v>43</v>
      </c>
      <c r="D172" s="9" t="s">
        <v>803</v>
      </c>
      <c r="E172" s="9" t="s">
        <v>804</v>
      </c>
      <c r="F172" s="9" t="s">
        <v>116</v>
      </c>
      <c r="G172" s="10" t="n">
        <v>2026</v>
      </c>
      <c r="H172" s="10" t="n">
        <v>10</v>
      </c>
      <c r="I172" s="19" t="n">
        <v>19800</v>
      </c>
      <c r="J172" s="19" t="n">
        <v>22000</v>
      </c>
      <c r="K172" s="10" t="n">
        <v>1100</v>
      </c>
      <c r="L172" s="10" t="n">
        <v>1401</v>
      </c>
      <c r="M172" s="10" t="n">
        <v>8</v>
      </c>
      <c r="N172" s="11" t="n">
        <v>10</v>
      </c>
      <c r="O172" s="18" t="s">
        <v>56</v>
      </c>
    </row>
    <row r="173" customFormat="false" ht="15" hidden="false" customHeight="false" outlineLevel="0" collapsed="false">
      <c r="A173" s="18" t="n">
        <v>189185961</v>
      </c>
      <c r="B173" s="10" t="n">
        <v>357</v>
      </c>
      <c r="C173" s="18" t="s">
        <v>43</v>
      </c>
      <c r="D173" s="9" t="s">
        <v>805</v>
      </c>
      <c r="E173" s="9" t="s">
        <v>806</v>
      </c>
      <c r="F173" s="9" t="s">
        <v>807</v>
      </c>
      <c r="G173" s="10" t="n">
        <v>2026</v>
      </c>
      <c r="H173" s="10" t="n">
        <v>10</v>
      </c>
      <c r="I173" s="19" t="n">
        <v>16200</v>
      </c>
      <c r="J173" s="19" t="n">
        <v>18000</v>
      </c>
      <c r="K173" s="10" t="n">
        <v>900</v>
      </c>
      <c r="L173" s="10" t="n">
        <v>498</v>
      </c>
      <c r="M173" s="10" t="n">
        <v>2</v>
      </c>
      <c r="N173" s="11" t="n">
        <v>10</v>
      </c>
      <c r="O173" s="18" t="s">
        <v>56</v>
      </c>
    </row>
    <row r="174" customFormat="false" ht="15" hidden="false" customHeight="false" outlineLevel="0" collapsed="false">
      <c r="A174" s="18" t="n">
        <v>188920799</v>
      </c>
      <c r="B174" s="10" t="n">
        <v>358</v>
      </c>
      <c r="C174" s="18" t="s">
        <v>43</v>
      </c>
      <c r="D174" s="9" t="s">
        <v>808</v>
      </c>
      <c r="E174" s="9" t="s">
        <v>809</v>
      </c>
      <c r="F174" s="9" t="s">
        <v>810</v>
      </c>
      <c r="G174" s="10" t="n">
        <v>2026</v>
      </c>
      <c r="H174" s="10" t="n">
        <v>10</v>
      </c>
      <c r="I174" s="19" t="n">
        <v>13500</v>
      </c>
      <c r="J174" s="19" t="n">
        <v>15000</v>
      </c>
      <c r="K174" s="10" t="n">
        <v>750</v>
      </c>
      <c r="L174" s="10" t="n">
        <v>396</v>
      </c>
      <c r="M174" s="10" t="n">
        <v>1</v>
      </c>
      <c r="N174" s="11" t="n">
        <v>2</v>
      </c>
      <c r="O174" s="18" t="s">
        <v>56</v>
      </c>
    </row>
    <row r="175" customFormat="false" ht="15" hidden="false" customHeight="false" outlineLevel="0" collapsed="false">
      <c r="A175" s="18" t="n">
        <v>188920794</v>
      </c>
      <c r="B175" s="10" t="n">
        <v>359</v>
      </c>
      <c r="C175" s="18" t="s">
        <v>43</v>
      </c>
      <c r="D175" s="9" t="s">
        <v>811</v>
      </c>
      <c r="E175" s="9" t="s">
        <v>809</v>
      </c>
      <c r="F175" s="9" t="s">
        <v>810</v>
      </c>
      <c r="G175" s="10" t="n">
        <v>2026</v>
      </c>
      <c r="H175" s="10" t="n">
        <v>10</v>
      </c>
      <c r="I175" s="19" t="n">
        <v>13500</v>
      </c>
      <c r="J175" s="19" t="n">
        <v>15000</v>
      </c>
      <c r="K175" s="10" t="n">
        <v>750</v>
      </c>
      <c r="L175" s="10" t="n">
        <v>312</v>
      </c>
      <c r="M175" s="10" t="n">
        <v>1</v>
      </c>
      <c r="N175" s="11" t="n">
        <v>2</v>
      </c>
      <c r="O175" s="18" t="s">
        <v>56</v>
      </c>
    </row>
    <row r="176" customFormat="false" ht="15" hidden="false" customHeight="false" outlineLevel="0" collapsed="false">
      <c r="A176" s="18" t="n">
        <v>188831472</v>
      </c>
      <c r="B176" s="10" t="n">
        <v>361</v>
      </c>
      <c r="C176" s="18" t="s">
        <v>43</v>
      </c>
      <c r="D176" s="15" t="s">
        <v>814</v>
      </c>
      <c r="E176" s="9" t="s">
        <v>815</v>
      </c>
      <c r="F176" s="9" t="s">
        <v>511</v>
      </c>
      <c r="G176" s="10" t="n">
        <v>2026</v>
      </c>
      <c r="H176" s="10" t="n">
        <v>10</v>
      </c>
      <c r="I176" s="19" t="n">
        <v>22500</v>
      </c>
      <c r="J176" s="19" t="n">
        <v>25000</v>
      </c>
      <c r="K176" s="10" t="n">
        <v>1250</v>
      </c>
      <c r="L176" s="10" t="n">
        <v>834</v>
      </c>
      <c r="M176" s="10" t="n">
        <v>3</v>
      </c>
      <c r="N176" s="11" t="n">
        <v>10</v>
      </c>
      <c r="O176" s="18" t="s">
        <v>56</v>
      </c>
    </row>
    <row r="177" customFormat="false" ht="15" hidden="false" customHeight="false" outlineLevel="0" collapsed="false">
      <c r="A177" s="18" t="n">
        <v>187726388</v>
      </c>
      <c r="B177" s="10" t="n">
        <v>362</v>
      </c>
      <c r="C177" s="18" t="s">
        <v>43</v>
      </c>
      <c r="D177" s="9" t="s">
        <v>816</v>
      </c>
      <c r="E177" s="9" t="s">
        <v>817</v>
      </c>
      <c r="F177" s="9" t="s">
        <v>511</v>
      </c>
      <c r="G177" s="10" t="n">
        <v>2026</v>
      </c>
      <c r="H177" s="10" t="n">
        <v>5</v>
      </c>
      <c r="I177" s="19" t="n">
        <v>21850</v>
      </c>
      <c r="J177" s="19" t="n">
        <v>23000</v>
      </c>
      <c r="K177" s="10" t="n">
        <v>1150</v>
      </c>
      <c r="L177" s="10" t="n">
        <v>519</v>
      </c>
      <c r="M177" s="10" t="n">
        <v>22</v>
      </c>
      <c r="N177" s="11" t="n">
        <v>10</v>
      </c>
      <c r="O177" s="18" t="s">
        <v>56</v>
      </c>
    </row>
    <row r="178" customFormat="false" ht="15" hidden="false" customHeight="false" outlineLevel="0" collapsed="false">
      <c r="A178" s="18" t="n">
        <v>187572169</v>
      </c>
      <c r="B178" s="10" t="n">
        <v>363</v>
      </c>
      <c r="C178" s="18" t="s">
        <v>43</v>
      </c>
      <c r="D178" s="15" t="s">
        <v>818</v>
      </c>
      <c r="E178" s="9" t="s">
        <v>819</v>
      </c>
      <c r="F178" s="9" t="s">
        <v>422</v>
      </c>
      <c r="G178" s="10" t="n">
        <v>2026</v>
      </c>
      <c r="H178" s="10" t="n">
        <v>10</v>
      </c>
      <c r="I178" s="19" t="n">
        <v>36000</v>
      </c>
      <c r="J178" s="19" t="n">
        <v>40000</v>
      </c>
      <c r="K178" s="10" t="n">
        <v>2000</v>
      </c>
      <c r="L178" s="10" t="n">
        <v>498</v>
      </c>
      <c r="M178" s="10" t="n">
        <v>5</v>
      </c>
      <c r="N178" s="11" t="n">
        <v>10</v>
      </c>
      <c r="O178" s="18" t="s">
        <v>56</v>
      </c>
    </row>
    <row r="179" customFormat="false" ht="15" hidden="false" customHeight="false" outlineLevel="0" collapsed="false">
      <c r="A179" s="18" t="n">
        <v>187313988</v>
      </c>
      <c r="B179" s="10" t="n">
        <v>364</v>
      </c>
      <c r="C179" s="18" t="s">
        <v>43</v>
      </c>
      <c r="D179" s="9" t="s">
        <v>820</v>
      </c>
      <c r="E179" s="9" t="s">
        <v>821</v>
      </c>
      <c r="F179" s="9" t="s">
        <v>88</v>
      </c>
      <c r="G179" s="10" t="n">
        <v>2026</v>
      </c>
      <c r="H179" s="10" t="n">
        <v>10</v>
      </c>
      <c r="I179" s="19" t="n">
        <v>23400</v>
      </c>
      <c r="J179" s="19" t="n">
        <v>26000</v>
      </c>
      <c r="K179" s="10" t="n">
        <v>1300</v>
      </c>
      <c r="L179" s="10" t="n">
        <v>804</v>
      </c>
      <c r="M179" s="10" t="n">
        <v>13</v>
      </c>
      <c r="N179" s="11" t="n">
        <v>9.8</v>
      </c>
      <c r="O179" s="18" t="s">
        <v>56</v>
      </c>
    </row>
    <row r="180" customFormat="false" ht="15" hidden="false" customHeight="false" outlineLevel="0" collapsed="false">
      <c r="A180" s="18" t="n">
        <v>184402617</v>
      </c>
      <c r="B180" s="10" t="n">
        <v>367</v>
      </c>
      <c r="C180" s="18" t="s">
        <v>43</v>
      </c>
      <c r="D180" s="9" t="s">
        <v>826</v>
      </c>
      <c r="E180" s="9" t="s">
        <v>377</v>
      </c>
      <c r="F180" s="9" t="s">
        <v>751</v>
      </c>
      <c r="G180" s="10" t="n">
        <v>2026</v>
      </c>
      <c r="H180" s="10" t="n">
        <v>10</v>
      </c>
      <c r="I180" s="19" t="n">
        <v>15120</v>
      </c>
      <c r="J180" s="19" t="n">
        <v>16800</v>
      </c>
      <c r="K180" s="10" t="n">
        <v>840</v>
      </c>
      <c r="L180" s="10" t="n">
        <v>1047</v>
      </c>
      <c r="M180" s="10" t="n">
        <v>25</v>
      </c>
      <c r="N180" s="11" t="n">
        <v>9.9</v>
      </c>
      <c r="O180" s="18" t="s">
        <v>56</v>
      </c>
    </row>
    <row r="181" customFormat="false" ht="15" hidden="false" customHeight="false" outlineLevel="0" collapsed="false">
      <c r="A181" s="18" t="n">
        <v>183753179</v>
      </c>
      <c r="B181" s="10" t="n">
        <v>369</v>
      </c>
      <c r="C181" s="18" t="s">
        <v>43</v>
      </c>
      <c r="D181" s="9" t="s">
        <v>829</v>
      </c>
      <c r="E181" s="9" t="s">
        <v>830</v>
      </c>
      <c r="F181" s="9" t="s">
        <v>831</v>
      </c>
      <c r="G181" s="10" t="n">
        <v>2026</v>
      </c>
      <c r="H181" s="10" t="n">
        <v>10</v>
      </c>
      <c r="I181" s="19" t="n">
        <v>12600</v>
      </c>
      <c r="J181" s="19" t="n">
        <v>14000</v>
      </c>
      <c r="K181" s="10" t="n">
        <v>700</v>
      </c>
      <c r="L181" s="10" t="n">
        <v>774</v>
      </c>
      <c r="M181" s="10" t="n">
        <v>0</v>
      </c>
      <c r="N181" s="11" t="n">
        <v>0</v>
      </c>
      <c r="O181" s="18" t="s">
        <v>56</v>
      </c>
    </row>
    <row r="182" customFormat="false" ht="15" hidden="false" customHeight="false" outlineLevel="0" collapsed="false">
      <c r="A182" s="18" t="n">
        <v>183706883</v>
      </c>
      <c r="B182" s="10" t="n">
        <v>372</v>
      </c>
      <c r="C182" s="18" t="s">
        <v>43</v>
      </c>
      <c r="D182" s="9" t="s">
        <v>836</v>
      </c>
      <c r="E182" s="9" t="s">
        <v>572</v>
      </c>
      <c r="F182" s="9" t="s">
        <v>573</v>
      </c>
      <c r="G182" s="10" t="n">
        <v>2026</v>
      </c>
      <c r="H182" s="10" t="n">
        <v>10</v>
      </c>
      <c r="I182" s="19" t="n">
        <v>15300</v>
      </c>
      <c r="J182" s="19" t="n">
        <v>17000</v>
      </c>
      <c r="K182" s="10" t="n">
        <v>850</v>
      </c>
      <c r="L182" s="10" t="n">
        <v>708</v>
      </c>
      <c r="M182" s="10" t="n">
        <v>8</v>
      </c>
      <c r="N182" s="11" t="n">
        <v>10</v>
      </c>
      <c r="O182" s="18" t="s">
        <v>56</v>
      </c>
    </row>
    <row r="183" customFormat="false" ht="15" hidden="false" customHeight="false" outlineLevel="0" collapsed="false">
      <c r="A183" s="18" t="n">
        <v>183651449</v>
      </c>
      <c r="B183" s="10" t="n">
        <v>373</v>
      </c>
      <c r="C183" s="18" t="s">
        <v>43</v>
      </c>
      <c r="D183" s="9" t="s">
        <v>837</v>
      </c>
      <c r="E183" s="9" t="s">
        <v>838</v>
      </c>
      <c r="F183" s="9" t="s">
        <v>311</v>
      </c>
      <c r="G183" s="10" t="n">
        <v>2026</v>
      </c>
      <c r="H183" s="10" t="n">
        <v>10</v>
      </c>
      <c r="I183" s="19" t="n">
        <v>22500</v>
      </c>
      <c r="J183" s="19" t="n">
        <v>25000</v>
      </c>
      <c r="K183" s="10" t="n">
        <v>1250</v>
      </c>
      <c r="L183" s="10" t="n">
        <v>2061</v>
      </c>
      <c r="M183" s="10" t="n">
        <v>2</v>
      </c>
      <c r="N183" s="11" t="n">
        <v>8</v>
      </c>
      <c r="O183" s="18" t="s">
        <v>56</v>
      </c>
    </row>
    <row r="184" customFormat="false" ht="15" hidden="false" customHeight="false" outlineLevel="0" collapsed="false">
      <c r="A184" s="18" t="n">
        <v>181114947</v>
      </c>
      <c r="B184" s="10" t="n">
        <v>376</v>
      </c>
      <c r="C184" s="18" t="s">
        <v>43</v>
      </c>
      <c r="D184" s="9" t="s">
        <v>842</v>
      </c>
      <c r="E184" s="9" t="s">
        <v>843</v>
      </c>
      <c r="F184" s="9" t="s">
        <v>311</v>
      </c>
      <c r="G184" s="10" t="n">
        <v>2026</v>
      </c>
      <c r="H184" s="10" t="n">
        <v>10</v>
      </c>
      <c r="I184" s="19" t="n">
        <v>30600</v>
      </c>
      <c r="J184" s="19" t="n">
        <v>34000</v>
      </c>
      <c r="K184" s="10" t="n">
        <v>1700</v>
      </c>
      <c r="L184" s="10" t="n">
        <v>1212</v>
      </c>
      <c r="M184" s="10" t="n">
        <v>0</v>
      </c>
      <c r="N184" s="11" t="n">
        <v>0</v>
      </c>
      <c r="O184" s="18" t="s">
        <v>56</v>
      </c>
    </row>
    <row r="185" customFormat="false" ht="15" hidden="false" customHeight="false" outlineLevel="0" collapsed="false">
      <c r="A185" s="18" t="n">
        <v>181006742</v>
      </c>
      <c r="B185" s="10" t="n">
        <v>377</v>
      </c>
      <c r="C185" s="18" t="s">
        <v>43</v>
      </c>
      <c r="D185" s="9" t="s">
        <v>844</v>
      </c>
      <c r="E185" s="9" t="s">
        <v>845</v>
      </c>
      <c r="F185" s="9" t="s">
        <v>846</v>
      </c>
      <c r="G185" s="10" t="n">
        <v>2026</v>
      </c>
      <c r="H185" s="10" t="n">
        <v>0</v>
      </c>
      <c r="I185" s="19" t="n">
        <v>17000</v>
      </c>
      <c r="J185" s="19" t="n">
        <v>17000</v>
      </c>
      <c r="K185" s="10" t="n">
        <v>0</v>
      </c>
      <c r="L185" s="10" t="n">
        <v>228</v>
      </c>
      <c r="M185" s="10" t="n">
        <v>0</v>
      </c>
      <c r="N185" s="11" t="n">
        <v>0</v>
      </c>
      <c r="O185" s="18" t="s">
        <v>56</v>
      </c>
    </row>
    <row r="186" customFormat="false" ht="15" hidden="false" customHeight="false" outlineLevel="0" collapsed="false">
      <c r="A186" s="18" t="n">
        <v>180515096</v>
      </c>
      <c r="B186" s="10" t="n">
        <v>378</v>
      </c>
      <c r="C186" s="18" t="s">
        <v>43</v>
      </c>
      <c r="D186" s="15" t="s">
        <v>847</v>
      </c>
      <c r="E186" s="9" t="s">
        <v>848</v>
      </c>
      <c r="F186" s="9" t="s">
        <v>360</v>
      </c>
      <c r="G186" s="10" t="n">
        <v>2026</v>
      </c>
      <c r="H186" s="10" t="n">
        <v>0</v>
      </c>
      <c r="I186" s="19" t="n">
        <v>39000</v>
      </c>
      <c r="J186" s="19" t="n">
        <v>39000</v>
      </c>
      <c r="K186" s="10" t="n">
        <v>0</v>
      </c>
      <c r="L186" s="10" t="n">
        <v>606</v>
      </c>
      <c r="M186" s="10" t="n">
        <v>0</v>
      </c>
      <c r="N186" s="11" t="n">
        <v>0</v>
      </c>
      <c r="O186" s="18" t="s">
        <v>56</v>
      </c>
    </row>
    <row r="187" customFormat="false" ht="15" hidden="false" customHeight="false" outlineLevel="0" collapsed="false">
      <c r="A187" s="18" t="n">
        <v>176901915</v>
      </c>
      <c r="B187" s="10" t="n">
        <v>385</v>
      </c>
      <c r="C187" s="18" t="s">
        <v>43</v>
      </c>
      <c r="D187" s="9" t="s">
        <v>861</v>
      </c>
      <c r="E187" s="9" t="s">
        <v>862</v>
      </c>
      <c r="F187" s="9" t="s">
        <v>64</v>
      </c>
      <c r="G187" s="10" t="n">
        <v>2026</v>
      </c>
      <c r="H187" s="10" t="n">
        <v>10</v>
      </c>
      <c r="I187" s="19" t="n">
        <v>15120</v>
      </c>
      <c r="J187" s="19" t="n">
        <v>16800</v>
      </c>
      <c r="K187" s="10" t="n">
        <v>840</v>
      </c>
      <c r="L187" s="10" t="n">
        <v>1794</v>
      </c>
      <c r="M187" s="10" t="n">
        <v>19</v>
      </c>
      <c r="N187" s="11" t="n">
        <v>10</v>
      </c>
      <c r="O187" s="18" t="s">
        <v>56</v>
      </c>
    </row>
    <row r="188" customFormat="false" ht="15" hidden="false" customHeight="false" outlineLevel="0" collapsed="false">
      <c r="A188" s="18" t="n">
        <v>175301361</v>
      </c>
      <c r="B188" s="10" t="n">
        <v>387</v>
      </c>
      <c r="C188" s="18" t="s">
        <v>43</v>
      </c>
      <c r="D188" s="9" t="s">
        <v>865</v>
      </c>
      <c r="E188" s="9" t="s">
        <v>866</v>
      </c>
      <c r="F188" s="9" t="s">
        <v>867</v>
      </c>
      <c r="G188" s="10" t="n">
        <v>2026</v>
      </c>
      <c r="H188" s="10" t="n">
        <v>10</v>
      </c>
      <c r="I188" s="19" t="n">
        <v>22500</v>
      </c>
      <c r="J188" s="19" t="n">
        <v>25000</v>
      </c>
      <c r="K188" s="10" t="n">
        <v>1250</v>
      </c>
      <c r="L188" s="10" t="n">
        <v>1548</v>
      </c>
      <c r="M188" s="10" t="n">
        <v>16</v>
      </c>
      <c r="N188" s="11" t="n">
        <v>9.9</v>
      </c>
      <c r="O188" s="18" t="s">
        <v>56</v>
      </c>
    </row>
    <row r="189" customFormat="false" ht="15" hidden="false" customHeight="false" outlineLevel="0" collapsed="false">
      <c r="A189" s="18" t="n">
        <v>175122641</v>
      </c>
      <c r="B189" s="10" t="n">
        <v>388</v>
      </c>
      <c r="C189" s="18" t="s">
        <v>43</v>
      </c>
      <c r="D189" s="15" t="s">
        <v>868</v>
      </c>
      <c r="E189" s="9" t="s">
        <v>869</v>
      </c>
      <c r="F189" s="9" t="s">
        <v>870</v>
      </c>
      <c r="G189" s="10" t="n">
        <v>2026</v>
      </c>
      <c r="H189" s="10" t="n">
        <v>10</v>
      </c>
      <c r="I189" s="19" t="n">
        <v>22500</v>
      </c>
      <c r="J189" s="19" t="n">
        <v>25000</v>
      </c>
      <c r="K189" s="10" t="n">
        <v>1250</v>
      </c>
      <c r="L189" s="10" t="n">
        <v>894</v>
      </c>
      <c r="M189" s="10" t="n">
        <v>2</v>
      </c>
      <c r="N189" s="11" t="n">
        <v>10</v>
      </c>
      <c r="O189" s="18" t="s">
        <v>56</v>
      </c>
    </row>
    <row r="190" customFormat="false" ht="15" hidden="false" customHeight="false" outlineLevel="0" collapsed="false">
      <c r="A190" s="18" t="n">
        <v>174327619</v>
      </c>
      <c r="B190" s="10" t="n">
        <v>391</v>
      </c>
      <c r="C190" s="18" t="s">
        <v>43</v>
      </c>
      <c r="D190" s="9" t="s">
        <v>875</v>
      </c>
      <c r="E190" s="9" t="s">
        <v>876</v>
      </c>
      <c r="F190" s="9" t="s">
        <v>308</v>
      </c>
      <c r="G190" s="10" t="n">
        <v>2026</v>
      </c>
      <c r="H190" s="10" t="n">
        <v>10</v>
      </c>
      <c r="I190" s="19" t="n">
        <v>31500</v>
      </c>
      <c r="J190" s="19" t="n">
        <v>35000</v>
      </c>
      <c r="K190" s="10" t="n">
        <v>1750</v>
      </c>
      <c r="L190" s="10" t="n">
        <v>1236</v>
      </c>
      <c r="M190" s="10" t="n">
        <v>9</v>
      </c>
      <c r="N190" s="11" t="n">
        <v>10</v>
      </c>
      <c r="O190" s="18" t="s">
        <v>56</v>
      </c>
    </row>
    <row r="191" customFormat="false" ht="15" hidden="false" customHeight="false" outlineLevel="0" collapsed="false">
      <c r="A191" s="18" t="n">
        <v>174080422</v>
      </c>
      <c r="B191" s="10" t="n">
        <v>392</v>
      </c>
      <c r="C191" s="18" t="s">
        <v>43</v>
      </c>
      <c r="D191" s="9" t="s">
        <v>877</v>
      </c>
      <c r="E191" s="9" t="s">
        <v>878</v>
      </c>
      <c r="F191" s="9" t="s">
        <v>879</v>
      </c>
      <c r="G191" s="10" t="n">
        <v>2026</v>
      </c>
      <c r="H191" s="10" t="n">
        <v>10</v>
      </c>
      <c r="I191" s="19" t="n">
        <v>23400</v>
      </c>
      <c r="J191" s="19" t="n">
        <v>26000</v>
      </c>
      <c r="K191" s="10" t="n">
        <v>1300</v>
      </c>
      <c r="L191" s="10" t="n">
        <v>1110</v>
      </c>
      <c r="M191" s="10" t="n">
        <v>16</v>
      </c>
      <c r="N191" s="11" t="n">
        <v>9.8</v>
      </c>
      <c r="O191" s="18" t="s">
        <v>56</v>
      </c>
    </row>
    <row r="192" customFormat="false" ht="15" hidden="false" customHeight="false" outlineLevel="0" collapsed="false">
      <c r="A192" s="18" t="n">
        <v>174057787</v>
      </c>
      <c r="B192" s="10" t="n">
        <v>393</v>
      </c>
      <c r="C192" s="18" t="s">
        <v>43</v>
      </c>
      <c r="D192" s="9" t="s">
        <v>880</v>
      </c>
      <c r="E192" s="9" t="s">
        <v>881</v>
      </c>
      <c r="F192" s="9" t="s">
        <v>511</v>
      </c>
      <c r="G192" s="10" t="n">
        <v>2026</v>
      </c>
      <c r="H192" s="10" t="n">
        <v>10</v>
      </c>
      <c r="I192" s="19" t="n">
        <v>20700</v>
      </c>
      <c r="J192" s="19" t="n">
        <v>23000</v>
      </c>
      <c r="K192" s="10" t="n">
        <v>1150</v>
      </c>
      <c r="L192" s="10" t="n">
        <v>222</v>
      </c>
      <c r="M192" s="10" t="n">
        <v>18</v>
      </c>
      <c r="N192" s="11" t="n">
        <v>10</v>
      </c>
      <c r="O192" s="18" t="s">
        <v>56</v>
      </c>
    </row>
    <row r="193" customFormat="false" ht="15" hidden="false" customHeight="false" outlineLevel="0" collapsed="false">
      <c r="A193" s="18" t="n">
        <v>169672758</v>
      </c>
      <c r="B193" s="10" t="n">
        <v>397</v>
      </c>
      <c r="C193" s="18" t="s">
        <v>43</v>
      </c>
      <c r="D193" s="9" t="s">
        <v>888</v>
      </c>
      <c r="E193" s="9" t="s">
        <v>889</v>
      </c>
      <c r="F193" s="9" t="s">
        <v>511</v>
      </c>
      <c r="G193" s="10" t="n">
        <v>2025</v>
      </c>
      <c r="H193" s="10" t="n">
        <v>10</v>
      </c>
      <c r="I193" s="19" t="n">
        <v>24300</v>
      </c>
      <c r="J193" s="19" t="n">
        <v>27000</v>
      </c>
      <c r="K193" s="10" t="n">
        <v>1350</v>
      </c>
      <c r="L193" s="10" t="n">
        <v>1656</v>
      </c>
      <c r="M193" s="10" t="n">
        <v>46</v>
      </c>
      <c r="N193" s="11" t="n">
        <v>10</v>
      </c>
      <c r="O193" s="18" t="s">
        <v>56</v>
      </c>
    </row>
    <row r="194" customFormat="false" ht="15" hidden="false" customHeight="false" outlineLevel="0" collapsed="false">
      <c r="A194" s="18" t="n">
        <v>168654454</v>
      </c>
      <c r="B194" s="10" t="n">
        <v>400</v>
      </c>
      <c r="C194" s="18" t="s">
        <v>43</v>
      </c>
      <c r="D194" s="9" t="s">
        <v>894</v>
      </c>
      <c r="E194" s="9" t="s">
        <v>895</v>
      </c>
      <c r="F194" s="9" t="s">
        <v>322</v>
      </c>
      <c r="G194" s="10" t="n">
        <v>2025</v>
      </c>
      <c r="H194" s="10" t="n">
        <v>10</v>
      </c>
      <c r="I194" s="19" t="n">
        <v>13500</v>
      </c>
      <c r="J194" s="19" t="n">
        <v>15000</v>
      </c>
      <c r="K194" s="10" t="n">
        <v>0</v>
      </c>
      <c r="L194" s="10" t="n">
        <v>1125</v>
      </c>
      <c r="M194" s="10" t="n">
        <v>4</v>
      </c>
      <c r="N194" s="11" t="n">
        <v>10</v>
      </c>
      <c r="O194" s="18" t="s">
        <v>56</v>
      </c>
    </row>
    <row r="195" customFormat="false" ht="15" hidden="false" customHeight="false" outlineLevel="0" collapsed="false">
      <c r="A195" s="18" t="n">
        <v>168561327</v>
      </c>
      <c r="B195" s="10" t="n">
        <v>401</v>
      </c>
      <c r="C195" s="18" t="s">
        <v>43</v>
      </c>
      <c r="D195" s="9" t="s">
        <v>896</v>
      </c>
      <c r="E195" s="9" t="s">
        <v>838</v>
      </c>
      <c r="F195" s="9" t="s">
        <v>311</v>
      </c>
      <c r="G195" s="10" t="n">
        <v>2025</v>
      </c>
      <c r="H195" s="10" t="n">
        <v>10</v>
      </c>
      <c r="I195" s="19" t="n">
        <v>19800</v>
      </c>
      <c r="J195" s="19" t="n">
        <v>22000</v>
      </c>
      <c r="K195" s="10" t="n">
        <v>1100</v>
      </c>
      <c r="L195" s="10" t="n">
        <v>3852</v>
      </c>
      <c r="M195" s="10" t="n">
        <v>45</v>
      </c>
      <c r="N195" s="11" t="n">
        <v>9.9</v>
      </c>
      <c r="O195" s="18" t="s">
        <v>56</v>
      </c>
    </row>
    <row r="196" customFormat="false" ht="15" hidden="false" customHeight="false" outlineLevel="0" collapsed="false">
      <c r="A196" s="18" t="n">
        <v>167841837</v>
      </c>
      <c r="B196" s="10" t="n">
        <v>403</v>
      </c>
      <c r="C196" s="18" t="s">
        <v>43</v>
      </c>
      <c r="D196" s="15" t="s">
        <v>899</v>
      </c>
      <c r="E196" s="9" t="s">
        <v>900</v>
      </c>
      <c r="F196" s="9" t="s">
        <v>901</v>
      </c>
      <c r="G196" s="10" t="n">
        <v>2025</v>
      </c>
      <c r="H196" s="10" t="n">
        <v>10</v>
      </c>
      <c r="I196" s="19" t="n">
        <v>18900</v>
      </c>
      <c r="J196" s="19" t="n">
        <v>21000</v>
      </c>
      <c r="K196" s="10" t="n">
        <v>1050</v>
      </c>
      <c r="L196" s="10" t="n">
        <v>3666</v>
      </c>
      <c r="M196" s="10" t="n">
        <v>54</v>
      </c>
      <c r="N196" s="11" t="n">
        <v>10</v>
      </c>
      <c r="O196" s="18" t="s">
        <v>56</v>
      </c>
    </row>
    <row r="197" customFormat="false" ht="15" hidden="false" customHeight="false" outlineLevel="0" collapsed="false">
      <c r="A197" s="18" t="n">
        <v>167556594</v>
      </c>
      <c r="B197" s="10" t="n">
        <v>404</v>
      </c>
      <c r="C197" s="18" t="s">
        <v>43</v>
      </c>
      <c r="D197" s="15" t="s">
        <v>902</v>
      </c>
      <c r="E197" s="9" t="s">
        <v>903</v>
      </c>
      <c r="F197" s="9" t="s">
        <v>544</v>
      </c>
      <c r="G197" s="10" t="n">
        <v>2025</v>
      </c>
      <c r="H197" s="10" t="n">
        <v>10</v>
      </c>
      <c r="I197" s="19" t="n">
        <v>10800</v>
      </c>
      <c r="J197" s="19" t="n">
        <v>12000</v>
      </c>
      <c r="K197" s="10" t="n">
        <v>600</v>
      </c>
      <c r="L197" s="10" t="n">
        <v>342</v>
      </c>
      <c r="M197" s="10" t="n">
        <v>9</v>
      </c>
      <c r="N197" s="11" t="n">
        <v>9.8</v>
      </c>
      <c r="O197" s="18" t="s">
        <v>56</v>
      </c>
    </row>
    <row r="198" customFormat="false" ht="15" hidden="false" customHeight="false" outlineLevel="0" collapsed="false">
      <c r="A198" s="18" t="n">
        <v>167476896</v>
      </c>
      <c r="B198" s="10" t="n">
        <v>405</v>
      </c>
      <c r="C198" s="18" t="s">
        <v>43</v>
      </c>
      <c r="D198" s="9" t="s">
        <v>904</v>
      </c>
      <c r="E198" s="9" t="s">
        <v>905</v>
      </c>
      <c r="F198" s="9" t="s">
        <v>422</v>
      </c>
      <c r="G198" s="10" t="n">
        <v>2025</v>
      </c>
      <c r="H198" s="10" t="n">
        <v>10</v>
      </c>
      <c r="I198" s="19" t="n">
        <v>45000</v>
      </c>
      <c r="J198" s="19" t="n">
        <v>50000</v>
      </c>
      <c r="K198" s="10" t="n">
        <v>2500</v>
      </c>
      <c r="L198" s="10" t="n">
        <v>834</v>
      </c>
      <c r="M198" s="10" t="n">
        <v>4</v>
      </c>
      <c r="N198" s="11" t="n">
        <v>10</v>
      </c>
      <c r="O198" s="18" t="s">
        <v>56</v>
      </c>
    </row>
    <row r="199" customFormat="false" ht="15" hidden="false" customHeight="false" outlineLevel="0" collapsed="false">
      <c r="A199" s="18" t="n">
        <v>167388454</v>
      </c>
      <c r="B199" s="10" t="n">
        <v>408</v>
      </c>
      <c r="C199" s="18" t="s">
        <v>43</v>
      </c>
      <c r="D199" s="9" t="s">
        <v>910</v>
      </c>
      <c r="E199" s="9" t="s">
        <v>403</v>
      </c>
      <c r="F199" s="9" t="s">
        <v>161</v>
      </c>
      <c r="G199" s="10" t="n">
        <v>2025</v>
      </c>
      <c r="H199" s="10" t="n">
        <v>10</v>
      </c>
      <c r="I199" s="19" t="n">
        <v>12600</v>
      </c>
      <c r="J199" s="19" t="n">
        <v>14000</v>
      </c>
      <c r="K199" s="10" t="n">
        <v>700</v>
      </c>
      <c r="L199" s="10" t="n">
        <v>2109</v>
      </c>
      <c r="M199" s="10" t="n">
        <v>0</v>
      </c>
      <c r="N199" s="11" t="n">
        <v>0</v>
      </c>
      <c r="O199" s="18" t="s">
        <v>56</v>
      </c>
    </row>
    <row r="200" customFormat="false" ht="15" hidden="false" customHeight="false" outlineLevel="0" collapsed="false">
      <c r="A200" s="18" t="n">
        <v>163496515</v>
      </c>
      <c r="B200" s="10" t="n">
        <v>409</v>
      </c>
      <c r="C200" s="18" t="s">
        <v>43</v>
      </c>
      <c r="D200" s="9" t="s">
        <v>911</v>
      </c>
      <c r="E200" s="9" t="s">
        <v>588</v>
      </c>
      <c r="F200" s="9" t="s">
        <v>589</v>
      </c>
      <c r="G200" s="10" t="n">
        <v>2025</v>
      </c>
      <c r="H200" s="10" t="n">
        <v>10</v>
      </c>
      <c r="I200" s="19" t="n">
        <v>25200</v>
      </c>
      <c r="J200" s="19" t="n">
        <v>28000</v>
      </c>
      <c r="K200" s="10" t="n">
        <v>0</v>
      </c>
      <c r="L200" s="10" t="n">
        <v>3294</v>
      </c>
      <c r="M200" s="10" t="n">
        <v>1</v>
      </c>
      <c r="N200" s="11" t="n">
        <v>10</v>
      </c>
      <c r="O200" s="18" t="s">
        <v>56</v>
      </c>
    </row>
    <row r="201" customFormat="false" ht="15" hidden="false" customHeight="false" outlineLevel="0" collapsed="false">
      <c r="A201" s="18" t="n">
        <v>160247537</v>
      </c>
      <c r="B201" s="10" t="n">
        <v>411</v>
      </c>
      <c r="C201" s="18" t="s">
        <v>43</v>
      </c>
      <c r="D201" s="15" t="s">
        <v>914</v>
      </c>
      <c r="E201" s="9" t="s">
        <v>915</v>
      </c>
      <c r="F201" s="9" t="s">
        <v>916</v>
      </c>
      <c r="G201" s="10" t="n">
        <v>2025</v>
      </c>
      <c r="H201" s="10" t="n">
        <v>10</v>
      </c>
      <c r="I201" s="19" t="n">
        <v>18000</v>
      </c>
      <c r="J201" s="19" t="n">
        <v>20000</v>
      </c>
      <c r="K201" s="10" t="n">
        <v>1000</v>
      </c>
      <c r="L201" s="10" t="n">
        <v>606</v>
      </c>
      <c r="M201" s="10" t="n">
        <v>16</v>
      </c>
      <c r="N201" s="11" t="n">
        <v>10</v>
      </c>
      <c r="O201" s="18" t="s">
        <v>56</v>
      </c>
    </row>
    <row r="202" customFormat="false" ht="15" hidden="false" customHeight="false" outlineLevel="0" collapsed="false">
      <c r="A202" s="18" t="n">
        <v>154750336</v>
      </c>
      <c r="B202" s="10" t="n">
        <v>414</v>
      </c>
      <c r="C202" s="18" t="s">
        <v>43</v>
      </c>
      <c r="D202" s="9" t="s">
        <v>921</v>
      </c>
      <c r="E202" s="9" t="s">
        <v>326</v>
      </c>
      <c r="F202" s="9" t="s">
        <v>259</v>
      </c>
      <c r="G202" s="10" t="n">
        <v>2025</v>
      </c>
      <c r="H202" s="10" t="n">
        <v>10</v>
      </c>
      <c r="I202" s="19" t="n">
        <v>22500</v>
      </c>
      <c r="J202" s="19" t="n">
        <v>25000</v>
      </c>
      <c r="K202" s="10" t="n">
        <v>1250</v>
      </c>
      <c r="L202" s="10" t="n">
        <v>972</v>
      </c>
      <c r="M202" s="10" t="n">
        <v>0</v>
      </c>
      <c r="N202" s="11" t="n">
        <v>0</v>
      </c>
      <c r="O202" s="18" t="s">
        <v>56</v>
      </c>
    </row>
    <row r="203" customFormat="false" ht="15" hidden="false" customHeight="false" outlineLevel="0" collapsed="false">
      <c r="A203" s="18" t="n">
        <v>153663554</v>
      </c>
      <c r="B203" s="10" t="n">
        <v>417</v>
      </c>
      <c r="C203" s="18" t="s">
        <v>43</v>
      </c>
      <c r="D203" s="9" t="s">
        <v>926</v>
      </c>
      <c r="E203" s="9" t="s">
        <v>679</v>
      </c>
      <c r="F203" s="15" t="s">
        <v>680</v>
      </c>
      <c r="G203" s="10" t="n">
        <v>2025</v>
      </c>
      <c r="H203" s="10" t="n">
        <v>5</v>
      </c>
      <c r="I203" s="19" t="n">
        <v>37810</v>
      </c>
      <c r="J203" s="19" t="n">
        <v>39800</v>
      </c>
      <c r="K203" s="10" t="n">
        <v>1190</v>
      </c>
      <c r="L203" s="10" t="n">
        <v>786</v>
      </c>
      <c r="M203" s="10" t="n">
        <v>1</v>
      </c>
      <c r="N203" s="11" t="n">
        <v>10</v>
      </c>
      <c r="O203" s="18" t="s">
        <v>56</v>
      </c>
    </row>
    <row r="204" customFormat="false" ht="15" hidden="false" customHeight="false" outlineLevel="0" collapsed="false">
      <c r="A204" s="18" t="n">
        <v>153497959</v>
      </c>
      <c r="B204" s="10" t="n">
        <v>419</v>
      </c>
      <c r="C204" s="18" t="s">
        <v>43</v>
      </c>
      <c r="D204" s="9" t="s">
        <v>929</v>
      </c>
      <c r="E204" s="9" t="s">
        <v>930</v>
      </c>
      <c r="F204" s="9" t="s">
        <v>211</v>
      </c>
      <c r="G204" s="10" t="n">
        <v>2025</v>
      </c>
      <c r="H204" s="10" t="n">
        <v>10</v>
      </c>
      <c r="I204" s="19" t="n">
        <v>54000</v>
      </c>
      <c r="J204" s="19" t="n">
        <v>60000</v>
      </c>
      <c r="K204" s="10" t="n">
        <v>3000</v>
      </c>
      <c r="L204" s="10" t="n">
        <v>3546</v>
      </c>
      <c r="M204" s="10" t="n">
        <v>2</v>
      </c>
      <c r="N204" s="11" t="n">
        <v>10</v>
      </c>
      <c r="O204" s="18" t="s">
        <v>46</v>
      </c>
    </row>
    <row r="205" customFormat="false" ht="15" hidden="false" customHeight="false" outlineLevel="0" collapsed="false">
      <c r="A205" s="18" t="n">
        <v>152399336</v>
      </c>
      <c r="B205" s="10" t="n">
        <v>421</v>
      </c>
      <c r="C205" s="18" t="s">
        <v>43</v>
      </c>
      <c r="D205" s="9" t="s">
        <v>933</v>
      </c>
      <c r="E205" s="9" t="s">
        <v>934</v>
      </c>
      <c r="F205" s="9" t="s">
        <v>184</v>
      </c>
      <c r="G205" s="10" t="n">
        <v>2025</v>
      </c>
      <c r="H205" s="10" t="n">
        <v>0</v>
      </c>
      <c r="I205" s="19" t="n">
        <v>17000</v>
      </c>
      <c r="J205" s="19" t="n">
        <v>17000</v>
      </c>
      <c r="K205" s="10" t="n">
        <v>0</v>
      </c>
      <c r="L205" s="10" t="n">
        <v>2274</v>
      </c>
      <c r="M205" s="10" t="n">
        <v>11</v>
      </c>
      <c r="N205" s="11" t="n">
        <v>10</v>
      </c>
      <c r="O205" s="18" t="s">
        <v>56</v>
      </c>
    </row>
    <row r="206" customFormat="false" ht="15" hidden="false" customHeight="false" outlineLevel="0" collapsed="false">
      <c r="A206" s="18" t="n">
        <v>151679786</v>
      </c>
      <c r="B206" s="10" t="n">
        <v>422</v>
      </c>
      <c r="C206" s="18" t="s">
        <v>43</v>
      </c>
      <c r="D206" s="15" t="s">
        <v>935</v>
      </c>
      <c r="E206" s="9" t="s">
        <v>936</v>
      </c>
      <c r="F206" s="9" t="s">
        <v>937</v>
      </c>
      <c r="G206" s="10" t="n">
        <v>2025</v>
      </c>
      <c r="H206" s="10" t="n">
        <v>10</v>
      </c>
      <c r="I206" s="19" t="n">
        <v>18000</v>
      </c>
      <c r="J206" s="19" t="n">
        <v>20000</v>
      </c>
      <c r="K206" s="10" t="n">
        <v>1000</v>
      </c>
      <c r="L206" s="10" t="n">
        <v>2442</v>
      </c>
      <c r="M206" s="10" t="n">
        <v>19</v>
      </c>
      <c r="N206" s="11" t="n">
        <v>9.9</v>
      </c>
      <c r="O206" s="18" t="s">
        <v>56</v>
      </c>
    </row>
    <row r="207" customFormat="false" ht="15" hidden="false" customHeight="false" outlineLevel="0" collapsed="false">
      <c r="A207" s="18" t="n">
        <v>149421496</v>
      </c>
      <c r="B207" s="10" t="n">
        <v>424</v>
      </c>
      <c r="C207" s="18" t="s">
        <v>43</v>
      </c>
      <c r="D207" s="9" t="s">
        <v>940</v>
      </c>
      <c r="E207" s="9" t="s">
        <v>941</v>
      </c>
      <c r="F207" s="9" t="s">
        <v>514</v>
      </c>
      <c r="G207" s="10" t="n">
        <v>2025</v>
      </c>
      <c r="H207" s="10" t="n">
        <v>0</v>
      </c>
      <c r="I207" s="19" t="n">
        <v>33000</v>
      </c>
      <c r="J207" s="19" t="n">
        <v>33000</v>
      </c>
      <c r="K207" s="10" t="n">
        <v>0</v>
      </c>
      <c r="L207" s="10" t="n">
        <v>3351</v>
      </c>
      <c r="M207" s="10" t="n">
        <v>3</v>
      </c>
      <c r="N207" s="11" t="n">
        <v>10</v>
      </c>
      <c r="O207" s="18" t="s">
        <v>56</v>
      </c>
    </row>
    <row r="208" customFormat="false" ht="15" hidden="false" customHeight="false" outlineLevel="0" collapsed="false">
      <c r="A208" s="18" t="n">
        <v>147977536</v>
      </c>
      <c r="B208" s="10" t="n">
        <v>430</v>
      </c>
      <c r="C208" s="18" t="s">
        <v>43</v>
      </c>
      <c r="D208" s="15" t="s">
        <v>951</v>
      </c>
      <c r="E208" s="9" t="s">
        <v>952</v>
      </c>
      <c r="F208" s="9" t="s">
        <v>953</v>
      </c>
      <c r="G208" s="10" t="n">
        <v>2025</v>
      </c>
      <c r="H208" s="10" t="n">
        <v>5</v>
      </c>
      <c r="I208" s="19" t="n">
        <v>38000</v>
      </c>
      <c r="J208" s="19" t="n">
        <v>40000</v>
      </c>
      <c r="K208" s="10" t="n">
        <v>1200</v>
      </c>
      <c r="L208" s="10" t="n">
        <v>4170</v>
      </c>
      <c r="M208" s="10" t="n">
        <v>47</v>
      </c>
      <c r="N208" s="11" t="n">
        <v>10</v>
      </c>
      <c r="O208" s="18" t="s">
        <v>46</v>
      </c>
    </row>
    <row r="209" customFormat="false" ht="15" hidden="false" customHeight="false" outlineLevel="0" collapsed="false">
      <c r="A209" s="18" t="n">
        <v>147057325</v>
      </c>
      <c r="B209" s="10" t="n">
        <v>435</v>
      </c>
      <c r="C209" s="18" t="s">
        <v>43</v>
      </c>
      <c r="D209" s="9" t="s">
        <v>961</v>
      </c>
      <c r="E209" s="15" t="s">
        <v>962</v>
      </c>
      <c r="F209" s="15" t="s">
        <v>680</v>
      </c>
      <c r="G209" s="10" t="n">
        <v>2025</v>
      </c>
      <c r="H209" s="10" t="n">
        <v>5</v>
      </c>
      <c r="I209" s="19" t="n">
        <v>24220</v>
      </c>
      <c r="J209" s="19" t="n">
        <v>25500</v>
      </c>
      <c r="K209" s="10" t="n">
        <v>760</v>
      </c>
      <c r="L209" s="10" t="n">
        <v>1524</v>
      </c>
      <c r="M209" s="10" t="n">
        <v>2</v>
      </c>
      <c r="N209" s="11" t="n">
        <v>8</v>
      </c>
      <c r="O209" s="18" t="s">
        <v>56</v>
      </c>
    </row>
    <row r="210" customFormat="false" ht="15" hidden="false" customHeight="false" outlineLevel="0" collapsed="false">
      <c r="A210" s="18" t="n">
        <v>146929026</v>
      </c>
      <c r="B210" s="10" t="n">
        <v>436</v>
      </c>
      <c r="C210" s="18" t="s">
        <v>43</v>
      </c>
      <c r="D210" s="9" t="s">
        <v>963</v>
      </c>
      <c r="E210" s="9" t="s">
        <v>964</v>
      </c>
      <c r="F210" s="9" t="s">
        <v>64</v>
      </c>
      <c r="G210" s="10" t="n">
        <v>2025</v>
      </c>
      <c r="H210" s="10" t="n">
        <v>10</v>
      </c>
      <c r="I210" s="19" t="n">
        <v>20250</v>
      </c>
      <c r="J210" s="19" t="n">
        <v>22500</v>
      </c>
      <c r="K210" s="10" t="n">
        <v>1120</v>
      </c>
      <c r="L210" s="10" t="n">
        <v>2094</v>
      </c>
      <c r="M210" s="10" t="n">
        <v>10</v>
      </c>
      <c r="N210" s="11" t="n">
        <v>10</v>
      </c>
      <c r="O210" s="18" t="s">
        <v>56</v>
      </c>
    </row>
    <row r="211" customFormat="false" ht="15" hidden="false" customHeight="false" outlineLevel="0" collapsed="false">
      <c r="A211" s="18" t="n">
        <v>146704289</v>
      </c>
      <c r="B211" s="10" t="n">
        <v>437</v>
      </c>
      <c r="C211" s="18" t="s">
        <v>43</v>
      </c>
      <c r="D211" s="15" t="s">
        <v>965</v>
      </c>
      <c r="E211" s="9" t="s">
        <v>966</v>
      </c>
      <c r="F211" s="9" t="s">
        <v>967</v>
      </c>
      <c r="G211" s="10" t="n">
        <v>2025</v>
      </c>
      <c r="H211" s="10" t="n">
        <v>10</v>
      </c>
      <c r="I211" s="19" t="n">
        <v>22500</v>
      </c>
      <c r="J211" s="19" t="n">
        <v>25000</v>
      </c>
      <c r="K211" s="10" t="n">
        <v>1250</v>
      </c>
      <c r="L211" s="10" t="n">
        <v>3354</v>
      </c>
      <c r="M211" s="10" t="n">
        <v>4</v>
      </c>
      <c r="N211" s="11" t="n">
        <v>9</v>
      </c>
      <c r="O211" s="18" t="s">
        <v>56</v>
      </c>
    </row>
    <row r="212" customFormat="false" ht="15" hidden="false" customHeight="false" outlineLevel="0" collapsed="false">
      <c r="A212" s="18" t="n">
        <v>145343581</v>
      </c>
      <c r="B212" s="10" t="n">
        <v>440</v>
      </c>
      <c r="C212" s="18" t="s">
        <v>43</v>
      </c>
      <c r="D212" s="9" t="s">
        <v>971</v>
      </c>
      <c r="E212" s="9" t="s">
        <v>450</v>
      </c>
      <c r="F212" s="9" t="s">
        <v>100</v>
      </c>
      <c r="G212" s="10" t="n">
        <v>2025</v>
      </c>
      <c r="H212" s="10" t="n">
        <v>10</v>
      </c>
      <c r="I212" s="19" t="n">
        <v>18000</v>
      </c>
      <c r="J212" s="19" t="n">
        <v>20000</v>
      </c>
      <c r="K212" s="10" t="n">
        <v>1000</v>
      </c>
      <c r="L212" s="10" t="n">
        <v>4032</v>
      </c>
      <c r="M212" s="10" t="n">
        <v>12</v>
      </c>
      <c r="N212" s="11" t="n">
        <v>9.5</v>
      </c>
      <c r="O212" s="18" t="s">
        <v>56</v>
      </c>
    </row>
    <row r="213" customFormat="false" ht="15" hidden="false" customHeight="false" outlineLevel="0" collapsed="false">
      <c r="A213" s="18" t="n">
        <v>144690322</v>
      </c>
      <c r="B213" s="10" t="n">
        <v>442</v>
      </c>
      <c r="C213" s="18" t="s">
        <v>43</v>
      </c>
      <c r="D213" s="9" t="s">
        <v>974</v>
      </c>
      <c r="E213" s="9" t="s">
        <v>903</v>
      </c>
      <c r="F213" s="9" t="s">
        <v>544</v>
      </c>
      <c r="G213" s="10" t="n">
        <v>2025</v>
      </c>
      <c r="H213" s="10" t="n">
        <v>10</v>
      </c>
      <c r="I213" s="19" t="n">
        <v>10800</v>
      </c>
      <c r="J213" s="19" t="n">
        <v>12000</v>
      </c>
      <c r="K213" s="10" t="n">
        <v>600</v>
      </c>
      <c r="L213" s="10" t="n">
        <v>1038</v>
      </c>
      <c r="M213" s="10" t="n">
        <v>11</v>
      </c>
      <c r="N213" s="11" t="n">
        <v>10</v>
      </c>
      <c r="O213" s="18" t="s">
        <v>56</v>
      </c>
    </row>
    <row r="214" customFormat="false" ht="15" hidden="false" customHeight="false" outlineLevel="0" collapsed="false">
      <c r="A214" s="18" t="n">
        <v>144132428</v>
      </c>
      <c r="B214" s="10" t="n">
        <v>443</v>
      </c>
      <c r="C214" s="18" t="s">
        <v>43</v>
      </c>
      <c r="D214" s="9" t="s">
        <v>975</v>
      </c>
      <c r="E214" s="9" t="s">
        <v>976</v>
      </c>
      <c r="F214" s="9" t="s">
        <v>977</v>
      </c>
      <c r="G214" s="10" t="n">
        <v>2025</v>
      </c>
      <c r="H214" s="10" t="n">
        <v>10</v>
      </c>
      <c r="I214" s="19" t="n">
        <v>21150</v>
      </c>
      <c r="J214" s="19" t="n">
        <v>23500</v>
      </c>
      <c r="K214" s="10" t="n">
        <v>1170</v>
      </c>
      <c r="L214" s="10" t="n">
        <v>330</v>
      </c>
      <c r="M214" s="10" t="n">
        <v>6</v>
      </c>
      <c r="N214" s="11" t="n">
        <v>8</v>
      </c>
      <c r="O214" s="18" t="s">
        <v>56</v>
      </c>
    </row>
    <row r="215" customFormat="false" ht="15" hidden="false" customHeight="false" outlineLevel="0" collapsed="false">
      <c r="A215" s="18" t="n">
        <v>144129260</v>
      </c>
      <c r="B215" s="10" t="n">
        <v>444</v>
      </c>
      <c r="C215" s="18" t="s">
        <v>43</v>
      </c>
      <c r="D215" s="9" t="s">
        <v>978</v>
      </c>
      <c r="E215" s="9" t="s">
        <v>979</v>
      </c>
      <c r="F215" s="9" t="s">
        <v>259</v>
      </c>
      <c r="G215" s="10" t="n">
        <v>2025</v>
      </c>
      <c r="H215" s="10" t="n">
        <v>10</v>
      </c>
      <c r="I215" s="19" t="n">
        <v>14400</v>
      </c>
      <c r="J215" s="19" t="n">
        <v>16000</v>
      </c>
      <c r="K215" s="10" t="n">
        <v>800</v>
      </c>
      <c r="L215" s="10" t="n">
        <v>1824</v>
      </c>
      <c r="M215" s="10" t="n">
        <v>15</v>
      </c>
      <c r="N215" s="11" t="n">
        <v>9.6</v>
      </c>
      <c r="O215" s="18" t="s">
        <v>56</v>
      </c>
    </row>
    <row r="216" customFormat="false" ht="15" hidden="false" customHeight="false" outlineLevel="0" collapsed="false">
      <c r="A216" s="18" t="n">
        <v>144043886</v>
      </c>
      <c r="B216" s="10" t="n">
        <v>445</v>
      </c>
      <c r="C216" s="18" t="s">
        <v>43</v>
      </c>
      <c r="D216" s="9" t="s">
        <v>980</v>
      </c>
      <c r="E216" s="9" t="s">
        <v>981</v>
      </c>
      <c r="F216" s="9" t="s">
        <v>982</v>
      </c>
      <c r="G216" s="10" t="n">
        <v>2025</v>
      </c>
      <c r="H216" s="10" t="n">
        <v>10</v>
      </c>
      <c r="I216" s="19" t="n">
        <v>19800</v>
      </c>
      <c r="J216" s="19" t="n">
        <v>22000</v>
      </c>
      <c r="K216" s="10" t="n">
        <v>1100</v>
      </c>
      <c r="L216" s="10" t="n">
        <v>1998</v>
      </c>
      <c r="M216" s="10" t="n">
        <v>9</v>
      </c>
      <c r="N216" s="11" t="n">
        <v>9.8</v>
      </c>
      <c r="O216" s="18" t="s">
        <v>56</v>
      </c>
    </row>
    <row r="217" customFormat="false" ht="15" hidden="false" customHeight="false" outlineLevel="0" collapsed="false">
      <c r="A217" s="18" t="n">
        <v>144043578</v>
      </c>
      <c r="B217" s="10" t="n">
        <v>446</v>
      </c>
      <c r="C217" s="18" t="s">
        <v>43</v>
      </c>
      <c r="D217" s="15" t="s">
        <v>983</v>
      </c>
      <c r="E217" s="9" t="s">
        <v>563</v>
      </c>
      <c r="F217" s="9" t="s">
        <v>564</v>
      </c>
      <c r="G217" s="10" t="n">
        <v>2025</v>
      </c>
      <c r="H217" s="10" t="n">
        <v>10</v>
      </c>
      <c r="I217" s="19" t="n">
        <v>19800</v>
      </c>
      <c r="J217" s="19" t="n">
        <v>22000</v>
      </c>
      <c r="K217" s="10" t="n">
        <v>1100</v>
      </c>
      <c r="L217" s="10" t="n">
        <v>1026</v>
      </c>
      <c r="M217" s="10" t="n">
        <v>12</v>
      </c>
      <c r="N217" s="11" t="n">
        <v>10</v>
      </c>
      <c r="O217" s="18" t="s">
        <v>56</v>
      </c>
    </row>
    <row r="218" customFormat="false" ht="15" hidden="false" customHeight="false" outlineLevel="0" collapsed="false">
      <c r="A218" s="18" t="n">
        <v>143539772</v>
      </c>
      <c r="B218" s="10" t="n">
        <v>447</v>
      </c>
      <c r="C218" s="18" t="s">
        <v>43</v>
      </c>
      <c r="D218" s="9" t="s">
        <v>984</v>
      </c>
      <c r="E218" s="9" t="s">
        <v>985</v>
      </c>
      <c r="F218" s="9" t="s">
        <v>64</v>
      </c>
      <c r="G218" s="10" t="n">
        <v>2025</v>
      </c>
      <c r="H218" s="10" t="n">
        <v>10</v>
      </c>
      <c r="I218" s="19" t="n">
        <v>19800</v>
      </c>
      <c r="J218" s="19" t="n">
        <v>22000</v>
      </c>
      <c r="K218" s="10" t="n">
        <v>1100</v>
      </c>
      <c r="L218" s="10" t="n">
        <v>2598</v>
      </c>
      <c r="M218" s="10" t="n">
        <v>1</v>
      </c>
      <c r="N218" s="11" t="n">
        <v>10</v>
      </c>
      <c r="O218" s="18" t="s">
        <v>56</v>
      </c>
    </row>
    <row r="219" customFormat="false" ht="15" hidden="false" customHeight="false" outlineLevel="0" collapsed="false">
      <c r="A219" s="18" t="n">
        <v>143492268</v>
      </c>
      <c r="B219" s="10" t="n">
        <v>449</v>
      </c>
      <c r="C219" s="18" t="s">
        <v>43</v>
      </c>
      <c r="D219" s="9" t="s">
        <v>988</v>
      </c>
      <c r="E219" s="9" t="s">
        <v>989</v>
      </c>
      <c r="F219" s="9" t="s">
        <v>831</v>
      </c>
      <c r="G219" s="10" t="n">
        <v>2025</v>
      </c>
      <c r="H219" s="10" t="n">
        <v>10</v>
      </c>
      <c r="I219" s="19" t="n">
        <v>12600</v>
      </c>
      <c r="J219" s="19" t="n">
        <v>14000</v>
      </c>
      <c r="K219" s="10" t="n">
        <v>700</v>
      </c>
      <c r="L219" s="10" t="n">
        <v>1230</v>
      </c>
      <c r="M219" s="10" t="n">
        <v>0</v>
      </c>
      <c r="N219" s="11" t="n">
        <v>0</v>
      </c>
      <c r="O219" s="18" t="s">
        <v>56</v>
      </c>
    </row>
    <row r="220" customFormat="false" ht="15" hidden="false" customHeight="false" outlineLevel="0" collapsed="false">
      <c r="A220" s="18" t="n">
        <v>143372817</v>
      </c>
      <c r="B220" s="10" t="n">
        <v>450</v>
      </c>
      <c r="C220" s="18" t="s">
        <v>43</v>
      </c>
      <c r="D220" s="9" t="s">
        <v>990</v>
      </c>
      <c r="E220" s="9" t="s">
        <v>991</v>
      </c>
      <c r="F220" s="9" t="s">
        <v>992</v>
      </c>
      <c r="G220" s="10" t="n">
        <v>2025</v>
      </c>
      <c r="H220" s="10" t="n">
        <v>10</v>
      </c>
      <c r="I220" s="19" t="n">
        <v>23400</v>
      </c>
      <c r="J220" s="19" t="n">
        <v>26000</v>
      </c>
      <c r="K220" s="10" t="n">
        <v>1300</v>
      </c>
      <c r="L220" s="10" t="n">
        <v>672</v>
      </c>
      <c r="M220" s="10" t="n">
        <v>6</v>
      </c>
      <c r="N220" s="11" t="n">
        <v>8.7</v>
      </c>
      <c r="O220" s="18" t="s">
        <v>56</v>
      </c>
    </row>
    <row r="221" customFormat="false" ht="15" hidden="false" customHeight="false" outlineLevel="0" collapsed="false">
      <c r="A221" s="18" t="n">
        <v>142572387</v>
      </c>
      <c r="B221" s="10" t="n">
        <v>453</v>
      </c>
      <c r="C221" s="18" t="s">
        <v>43</v>
      </c>
      <c r="D221" s="9" t="s">
        <v>996</v>
      </c>
      <c r="E221" s="9" t="s">
        <v>997</v>
      </c>
      <c r="F221" s="9" t="s">
        <v>544</v>
      </c>
      <c r="G221" s="10" t="n">
        <v>2025</v>
      </c>
      <c r="H221" s="10" t="n">
        <v>10</v>
      </c>
      <c r="I221" s="19" t="n">
        <v>17100</v>
      </c>
      <c r="J221" s="19" t="n">
        <v>19000</v>
      </c>
      <c r="K221" s="10" t="n">
        <v>950</v>
      </c>
      <c r="L221" s="10" t="n">
        <v>2847</v>
      </c>
      <c r="M221" s="10" t="n">
        <v>13</v>
      </c>
      <c r="N221" s="11" t="n">
        <v>9.8</v>
      </c>
      <c r="O221" s="18" t="s">
        <v>56</v>
      </c>
    </row>
    <row r="222" customFormat="false" ht="15" hidden="false" customHeight="false" outlineLevel="0" collapsed="false">
      <c r="A222" s="18" t="n">
        <v>142557036</v>
      </c>
      <c r="B222" s="10" t="n">
        <v>454</v>
      </c>
      <c r="C222" s="18" t="s">
        <v>43</v>
      </c>
      <c r="D222" s="9" t="s">
        <v>998</v>
      </c>
      <c r="E222" s="9" t="s">
        <v>999</v>
      </c>
      <c r="F222" s="9" t="s">
        <v>422</v>
      </c>
      <c r="G222" s="10" t="n">
        <v>2025</v>
      </c>
      <c r="H222" s="10" t="n">
        <v>10</v>
      </c>
      <c r="I222" s="19" t="n">
        <v>40500</v>
      </c>
      <c r="J222" s="19" t="n">
        <v>45000</v>
      </c>
      <c r="K222" s="10" t="n">
        <v>2250</v>
      </c>
      <c r="L222" s="10" t="n">
        <v>642</v>
      </c>
      <c r="M222" s="10" t="n">
        <v>3</v>
      </c>
      <c r="N222" s="11" t="n">
        <v>8</v>
      </c>
      <c r="O222" s="18" t="s">
        <v>56</v>
      </c>
    </row>
    <row r="223" customFormat="false" ht="15" hidden="false" customHeight="false" outlineLevel="0" collapsed="false">
      <c r="A223" s="18" t="n">
        <v>141892324</v>
      </c>
      <c r="B223" s="10" t="n">
        <v>455</v>
      </c>
      <c r="C223" s="18" t="s">
        <v>43</v>
      </c>
      <c r="D223" s="9" t="s">
        <v>1000</v>
      </c>
      <c r="E223" s="9" t="s">
        <v>1001</v>
      </c>
      <c r="F223" s="9" t="s">
        <v>1002</v>
      </c>
      <c r="G223" s="10" t="n">
        <v>2025</v>
      </c>
      <c r="H223" s="10" t="n">
        <v>10</v>
      </c>
      <c r="I223" s="19" t="n">
        <v>28800</v>
      </c>
      <c r="J223" s="19" t="n">
        <v>32000</v>
      </c>
      <c r="K223" s="10" t="n">
        <v>1600</v>
      </c>
      <c r="L223" s="10" t="n">
        <v>1056</v>
      </c>
      <c r="M223" s="10" t="n">
        <v>0</v>
      </c>
      <c r="N223" s="11" t="n">
        <v>0</v>
      </c>
      <c r="O223" s="18" t="s">
        <v>56</v>
      </c>
    </row>
    <row r="224" customFormat="false" ht="15" hidden="false" customHeight="false" outlineLevel="0" collapsed="false">
      <c r="A224" s="18" t="n">
        <v>140977612</v>
      </c>
      <c r="B224" s="10" t="n">
        <v>456</v>
      </c>
      <c r="C224" s="18" t="s">
        <v>43</v>
      </c>
      <c r="D224" s="9" t="s">
        <v>1003</v>
      </c>
      <c r="E224" s="9" t="s">
        <v>1004</v>
      </c>
      <c r="F224" s="9" t="s">
        <v>552</v>
      </c>
      <c r="G224" s="10" t="n">
        <v>2025</v>
      </c>
      <c r="H224" s="10" t="n">
        <v>10</v>
      </c>
      <c r="I224" s="19" t="n">
        <v>24750</v>
      </c>
      <c r="J224" s="19" t="n">
        <v>27500</v>
      </c>
      <c r="K224" s="10" t="n">
        <v>1370</v>
      </c>
      <c r="L224" s="10" t="n">
        <v>618</v>
      </c>
      <c r="M224" s="10" t="n">
        <v>30</v>
      </c>
      <c r="N224" s="11" t="n">
        <v>9.9</v>
      </c>
      <c r="O224" s="18" t="s">
        <v>56</v>
      </c>
    </row>
    <row r="225" customFormat="false" ht="15" hidden="false" customHeight="false" outlineLevel="0" collapsed="false">
      <c r="A225" s="18" t="n">
        <v>140186472</v>
      </c>
      <c r="B225" s="10" t="n">
        <v>459</v>
      </c>
      <c r="C225" s="18" t="s">
        <v>43</v>
      </c>
      <c r="D225" s="9" t="s">
        <v>1009</v>
      </c>
      <c r="E225" s="9" t="s">
        <v>1010</v>
      </c>
      <c r="F225" s="9" t="s">
        <v>308</v>
      </c>
      <c r="G225" s="10" t="n">
        <v>2024</v>
      </c>
      <c r="H225" s="10" t="n">
        <v>10</v>
      </c>
      <c r="I225" s="19" t="n">
        <v>27000</v>
      </c>
      <c r="J225" s="19" t="n">
        <v>30000</v>
      </c>
      <c r="K225" s="10" t="n">
        <v>1500</v>
      </c>
      <c r="L225" s="10" t="n">
        <v>156</v>
      </c>
      <c r="M225" s="10" t="n">
        <v>7</v>
      </c>
      <c r="N225" s="11" t="n">
        <v>10</v>
      </c>
      <c r="O225" s="18" t="s">
        <v>56</v>
      </c>
    </row>
    <row r="226" customFormat="false" ht="15" hidden="false" customHeight="false" outlineLevel="0" collapsed="false">
      <c r="A226" s="18" t="n">
        <v>140042388</v>
      </c>
      <c r="B226" s="10" t="n">
        <v>460</v>
      </c>
      <c r="C226" s="18" t="s">
        <v>43</v>
      </c>
      <c r="D226" s="9" t="s">
        <v>1011</v>
      </c>
      <c r="E226" s="9" t="s">
        <v>1012</v>
      </c>
      <c r="F226" s="9" t="s">
        <v>311</v>
      </c>
      <c r="G226" s="10" t="n">
        <v>2024</v>
      </c>
      <c r="H226" s="10" t="n">
        <v>0</v>
      </c>
      <c r="I226" s="19" t="n">
        <v>42000</v>
      </c>
      <c r="J226" s="19" t="n">
        <v>42000</v>
      </c>
      <c r="K226" s="10" t="n">
        <v>0</v>
      </c>
      <c r="L226" s="10" t="n">
        <v>1056</v>
      </c>
      <c r="M226" s="10" t="n">
        <v>1</v>
      </c>
      <c r="N226" s="11" t="n">
        <v>10</v>
      </c>
      <c r="O226" s="18" t="s">
        <v>56</v>
      </c>
    </row>
    <row r="227" customFormat="false" ht="15" hidden="false" customHeight="false" outlineLevel="0" collapsed="false">
      <c r="A227" s="18" t="n">
        <v>139563085</v>
      </c>
      <c r="B227" s="10" t="n">
        <v>462</v>
      </c>
      <c r="C227" s="18" t="s">
        <v>43</v>
      </c>
      <c r="D227" s="15" t="s">
        <v>1014</v>
      </c>
      <c r="E227" s="9" t="s">
        <v>595</v>
      </c>
      <c r="F227" s="9" t="s">
        <v>596</v>
      </c>
      <c r="G227" s="10" t="n">
        <v>2024</v>
      </c>
      <c r="H227" s="10" t="n">
        <v>10</v>
      </c>
      <c r="I227" s="19" t="n">
        <v>16200</v>
      </c>
      <c r="J227" s="19" t="n">
        <v>18000</v>
      </c>
      <c r="K227" s="10" t="n">
        <v>900</v>
      </c>
      <c r="L227" s="10" t="n">
        <v>1128</v>
      </c>
      <c r="M227" s="10" t="n">
        <v>14</v>
      </c>
      <c r="N227" s="11" t="n">
        <v>9.6</v>
      </c>
      <c r="O227" s="18" t="s">
        <v>56</v>
      </c>
    </row>
    <row r="228" customFormat="false" ht="15" hidden="false" customHeight="false" outlineLevel="0" collapsed="false">
      <c r="A228" s="18" t="n">
        <v>138798290</v>
      </c>
      <c r="B228" s="10" t="n">
        <v>463</v>
      </c>
      <c r="C228" s="18" t="s">
        <v>43</v>
      </c>
      <c r="D228" s="15" t="s">
        <v>1015</v>
      </c>
      <c r="E228" s="9" t="s">
        <v>1016</v>
      </c>
      <c r="F228" s="9" t="s">
        <v>422</v>
      </c>
      <c r="G228" s="10" t="n">
        <v>2024</v>
      </c>
      <c r="H228" s="10" t="n">
        <v>10</v>
      </c>
      <c r="I228" s="19" t="n">
        <v>34200</v>
      </c>
      <c r="J228" s="19" t="n">
        <v>38000</v>
      </c>
      <c r="K228" s="10" t="n">
        <v>1900</v>
      </c>
      <c r="L228" s="10" t="n">
        <v>948</v>
      </c>
      <c r="M228" s="10" t="n">
        <v>8</v>
      </c>
      <c r="N228" s="11" t="n">
        <v>7.5</v>
      </c>
      <c r="O228" s="18" t="s">
        <v>56</v>
      </c>
    </row>
    <row r="229" customFormat="false" ht="15" hidden="false" customHeight="false" outlineLevel="0" collapsed="false">
      <c r="A229" s="18" t="n">
        <v>136548871</v>
      </c>
      <c r="B229" s="10" t="n">
        <v>465</v>
      </c>
      <c r="C229" s="18" t="s">
        <v>43</v>
      </c>
      <c r="D229" s="9" t="s">
        <v>1019</v>
      </c>
      <c r="E229" s="9" t="s">
        <v>1020</v>
      </c>
      <c r="F229" s="9" t="s">
        <v>982</v>
      </c>
      <c r="G229" s="10" t="n">
        <v>2024</v>
      </c>
      <c r="H229" s="10" t="n">
        <v>10</v>
      </c>
      <c r="I229" s="19" t="n">
        <v>23400</v>
      </c>
      <c r="J229" s="19" t="n">
        <v>26000</v>
      </c>
      <c r="K229" s="10" t="n">
        <v>1300</v>
      </c>
      <c r="L229" s="10" t="n">
        <v>1614</v>
      </c>
      <c r="M229" s="10" t="n">
        <v>22</v>
      </c>
      <c r="N229" s="11" t="n">
        <v>9.9</v>
      </c>
      <c r="O229" s="18" t="s">
        <v>56</v>
      </c>
    </row>
    <row r="230" customFormat="false" ht="15" hidden="false" customHeight="false" outlineLevel="0" collapsed="false">
      <c r="A230" s="18" t="n">
        <v>136371686</v>
      </c>
      <c r="B230" s="10" t="n">
        <v>466</v>
      </c>
      <c r="C230" s="18" t="s">
        <v>43</v>
      </c>
      <c r="D230" s="9" t="s">
        <v>1021</v>
      </c>
      <c r="E230" s="9" t="s">
        <v>1022</v>
      </c>
      <c r="F230" s="9" t="s">
        <v>1023</v>
      </c>
      <c r="G230" s="10" t="n">
        <v>2024</v>
      </c>
      <c r="H230" s="10" t="n">
        <v>10</v>
      </c>
      <c r="I230" s="19" t="n">
        <v>19620</v>
      </c>
      <c r="J230" s="19" t="n">
        <v>21800</v>
      </c>
      <c r="K230" s="10" t="n">
        <v>1090</v>
      </c>
      <c r="L230" s="10" t="n">
        <v>1512</v>
      </c>
      <c r="M230" s="10" t="n">
        <v>58</v>
      </c>
      <c r="N230" s="11" t="n">
        <v>9.9</v>
      </c>
      <c r="O230" s="18" t="s">
        <v>56</v>
      </c>
    </row>
    <row r="231" customFormat="false" ht="15" hidden="false" customHeight="false" outlineLevel="0" collapsed="false">
      <c r="A231" s="18" t="n">
        <v>135733019</v>
      </c>
      <c r="B231" s="10" t="n">
        <v>471</v>
      </c>
      <c r="C231" s="18" t="s">
        <v>43</v>
      </c>
      <c r="D231" s="9" t="s">
        <v>1032</v>
      </c>
      <c r="E231" s="9" t="s">
        <v>1033</v>
      </c>
      <c r="F231" s="9" t="s">
        <v>1034</v>
      </c>
      <c r="G231" s="10" t="n">
        <v>2024</v>
      </c>
      <c r="H231" s="10" t="n">
        <v>10</v>
      </c>
      <c r="I231" s="19" t="n">
        <v>27000</v>
      </c>
      <c r="J231" s="19" t="n">
        <v>30000</v>
      </c>
      <c r="K231" s="10" t="n">
        <v>1500</v>
      </c>
      <c r="L231" s="10" t="n">
        <v>2130</v>
      </c>
      <c r="M231" s="10" t="n">
        <v>0</v>
      </c>
      <c r="N231" s="11" t="n">
        <v>0</v>
      </c>
      <c r="O231" s="18" t="s">
        <v>56</v>
      </c>
    </row>
    <row r="232" customFormat="false" ht="15" hidden="false" customHeight="false" outlineLevel="0" collapsed="false">
      <c r="A232" s="18" t="n">
        <v>130156178</v>
      </c>
      <c r="B232" s="10" t="n">
        <v>474</v>
      </c>
      <c r="C232" s="18" t="s">
        <v>43</v>
      </c>
      <c r="D232" s="15" t="s">
        <v>1038</v>
      </c>
      <c r="E232" s="9" t="s">
        <v>1039</v>
      </c>
      <c r="F232" s="9" t="s">
        <v>64</v>
      </c>
      <c r="G232" s="10" t="n">
        <v>2024</v>
      </c>
      <c r="H232" s="10" t="n">
        <v>10</v>
      </c>
      <c r="I232" s="19" t="n">
        <v>18900</v>
      </c>
      <c r="J232" s="19" t="n">
        <v>21000</v>
      </c>
      <c r="K232" s="10" t="n">
        <v>1050</v>
      </c>
      <c r="L232" s="10" t="n">
        <v>10584</v>
      </c>
      <c r="M232" s="10" t="n">
        <v>19</v>
      </c>
      <c r="N232" s="11" t="n">
        <v>9.9</v>
      </c>
      <c r="O232" s="18" t="s">
        <v>56</v>
      </c>
    </row>
    <row r="233" customFormat="false" ht="15" hidden="false" customHeight="false" outlineLevel="0" collapsed="false">
      <c r="A233" s="18" t="n">
        <v>129111891</v>
      </c>
      <c r="B233" s="10" t="n">
        <v>476</v>
      </c>
      <c r="C233" s="18" t="s">
        <v>43</v>
      </c>
      <c r="D233" s="15" t="s">
        <v>1042</v>
      </c>
      <c r="E233" s="9" t="s">
        <v>1043</v>
      </c>
      <c r="F233" s="9" t="s">
        <v>982</v>
      </c>
      <c r="G233" s="10" t="n">
        <v>2024</v>
      </c>
      <c r="H233" s="10" t="n">
        <v>10</v>
      </c>
      <c r="I233" s="19" t="n">
        <v>25200</v>
      </c>
      <c r="J233" s="19" t="n">
        <v>28000</v>
      </c>
      <c r="K233" s="10" t="n">
        <v>1400</v>
      </c>
      <c r="L233" s="10" t="n">
        <v>480</v>
      </c>
      <c r="M233" s="10" t="n">
        <v>9</v>
      </c>
      <c r="N233" s="11" t="n">
        <v>9.1</v>
      </c>
      <c r="O233" s="18" t="s">
        <v>56</v>
      </c>
    </row>
    <row r="234" customFormat="false" ht="15" hidden="false" customHeight="false" outlineLevel="0" collapsed="false">
      <c r="A234" s="18" t="n">
        <v>129081594</v>
      </c>
      <c r="B234" s="10" t="n">
        <v>477</v>
      </c>
      <c r="C234" s="18" t="s">
        <v>43</v>
      </c>
      <c r="D234" s="15" t="s">
        <v>1044</v>
      </c>
      <c r="E234" s="9" t="s">
        <v>1045</v>
      </c>
      <c r="F234" s="9" t="s">
        <v>88</v>
      </c>
      <c r="G234" s="10" t="n">
        <v>2024</v>
      </c>
      <c r="H234" s="10" t="n">
        <v>10</v>
      </c>
      <c r="I234" s="19" t="n">
        <v>28800</v>
      </c>
      <c r="J234" s="19" t="n">
        <v>32000</v>
      </c>
      <c r="K234" s="10" t="n">
        <v>1600</v>
      </c>
      <c r="L234" s="10" t="n">
        <v>4794</v>
      </c>
      <c r="M234" s="10" t="n">
        <v>31</v>
      </c>
      <c r="N234" s="11" t="n">
        <v>9.3</v>
      </c>
      <c r="O234" s="18" t="s">
        <v>46</v>
      </c>
    </row>
    <row r="235" customFormat="false" ht="15" hidden="false" customHeight="false" outlineLevel="0" collapsed="false">
      <c r="A235" s="18" t="n">
        <v>128592953</v>
      </c>
      <c r="B235" s="10" t="n">
        <v>479</v>
      </c>
      <c r="C235" s="18" t="s">
        <v>43</v>
      </c>
      <c r="D235" s="15" t="s">
        <v>1048</v>
      </c>
      <c r="E235" s="9" t="s">
        <v>1049</v>
      </c>
      <c r="F235" s="9" t="s">
        <v>1050</v>
      </c>
      <c r="G235" s="10" t="n">
        <v>2024</v>
      </c>
      <c r="H235" s="10" t="n">
        <v>10</v>
      </c>
      <c r="I235" s="19" t="n">
        <v>24300</v>
      </c>
      <c r="J235" s="19" t="n">
        <v>27000</v>
      </c>
      <c r="K235" s="10" t="n">
        <v>1350</v>
      </c>
      <c r="L235" s="10" t="n">
        <v>1278</v>
      </c>
      <c r="M235" s="10" t="n">
        <v>9</v>
      </c>
      <c r="N235" s="11" t="n">
        <v>9.8</v>
      </c>
      <c r="O235" s="18" t="s">
        <v>56</v>
      </c>
    </row>
    <row r="236" customFormat="false" ht="15" hidden="false" customHeight="false" outlineLevel="0" collapsed="false">
      <c r="A236" s="18" t="n">
        <v>128218982</v>
      </c>
      <c r="B236" s="10" t="n">
        <v>480</v>
      </c>
      <c r="C236" s="18" t="s">
        <v>43</v>
      </c>
      <c r="D236" s="9" t="s">
        <v>1051</v>
      </c>
      <c r="E236" s="9" t="s">
        <v>1052</v>
      </c>
      <c r="F236" s="9" t="s">
        <v>100</v>
      </c>
      <c r="G236" s="10" t="n">
        <v>2024</v>
      </c>
      <c r="H236" s="10" t="n">
        <v>10</v>
      </c>
      <c r="I236" s="19" t="n">
        <v>25200</v>
      </c>
      <c r="J236" s="19" t="n">
        <v>28000</v>
      </c>
      <c r="K236" s="10" t="n">
        <v>1400</v>
      </c>
      <c r="L236" s="10" t="n">
        <v>216</v>
      </c>
      <c r="M236" s="10" t="n">
        <v>2</v>
      </c>
      <c r="N236" s="11" t="n">
        <v>10</v>
      </c>
      <c r="O236" s="18" t="s">
        <v>56</v>
      </c>
    </row>
    <row r="237" customFormat="false" ht="15" hidden="false" customHeight="false" outlineLevel="0" collapsed="false">
      <c r="A237" s="18" t="n">
        <v>128086010</v>
      </c>
      <c r="B237" s="10" t="n">
        <v>481</v>
      </c>
      <c r="C237" s="18" t="s">
        <v>43</v>
      </c>
      <c r="D237" s="9" t="s">
        <v>1053</v>
      </c>
      <c r="E237" s="9" t="s">
        <v>1054</v>
      </c>
      <c r="F237" s="9" t="s">
        <v>64</v>
      </c>
      <c r="G237" s="10" t="n">
        <v>2024</v>
      </c>
      <c r="H237" s="10" t="n">
        <v>10</v>
      </c>
      <c r="I237" s="19" t="n">
        <v>15030</v>
      </c>
      <c r="J237" s="19" t="n">
        <v>16700</v>
      </c>
      <c r="K237" s="10" t="n">
        <v>830</v>
      </c>
      <c r="L237" s="10" t="n">
        <v>420</v>
      </c>
      <c r="M237" s="10" t="n">
        <v>7</v>
      </c>
      <c r="N237" s="11" t="n">
        <v>9.4</v>
      </c>
      <c r="O237" s="18" t="s">
        <v>56</v>
      </c>
    </row>
    <row r="238" customFormat="false" ht="15" hidden="false" customHeight="false" outlineLevel="0" collapsed="false">
      <c r="A238" s="18" t="n">
        <v>126690830</v>
      </c>
      <c r="B238" s="10" t="n">
        <v>486</v>
      </c>
      <c r="C238" s="18" t="s">
        <v>43</v>
      </c>
      <c r="D238" s="9" t="s">
        <v>1063</v>
      </c>
      <c r="E238" s="9" t="s">
        <v>1064</v>
      </c>
      <c r="F238" s="9" t="s">
        <v>116</v>
      </c>
      <c r="G238" s="10" t="n">
        <v>2024</v>
      </c>
      <c r="H238" s="10" t="n">
        <v>10</v>
      </c>
      <c r="I238" s="19" t="n">
        <v>21600</v>
      </c>
      <c r="J238" s="19" t="n">
        <v>24000</v>
      </c>
      <c r="K238" s="10" t="n">
        <v>1200</v>
      </c>
      <c r="L238" s="10" t="n">
        <v>2076</v>
      </c>
      <c r="M238" s="10" t="n">
        <v>18</v>
      </c>
      <c r="N238" s="11" t="n">
        <v>7.7</v>
      </c>
      <c r="O238" s="18" t="s">
        <v>46</v>
      </c>
    </row>
    <row r="239" customFormat="false" ht="15" hidden="false" customHeight="false" outlineLevel="0" collapsed="false">
      <c r="A239" s="18" t="n">
        <v>126354999</v>
      </c>
      <c r="B239" s="10" t="n">
        <v>487</v>
      </c>
      <c r="C239" s="18" t="s">
        <v>43</v>
      </c>
      <c r="D239" s="9" t="s">
        <v>1065</v>
      </c>
      <c r="E239" s="9" t="s">
        <v>1066</v>
      </c>
      <c r="F239" s="9" t="s">
        <v>1067</v>
      </c>
      <c r="G239" s="10" t="n">
        <v>2024</v>
      </c>
      <c r="H239" s="10" t="n">
        <v>10</v>
      </c>
      <c r="I239" s="19" t="n">
        <v>25200</v>
      </c>
      <c r="J239" s="19" t="n">
        <v>28000</v>
      </c>
      <c r="K239" s="10" t="n">
        <v>0</v>
      </c>
      <c r="L239" s="10" t="n">
        <v>390</v>
      </c>
      <c r="M239" s="10" t="n">
        <v>2</v>
      </c>
      <c r="N239" s="11" t="n">
        <v>10</v>
      </c>
      <c r="O239" s="18" t="s">
        <v>56</v>
      </c>
    </row>
    <row r="240" customFormat="false" ht="15" hidden="false" customHeight="false" outlineLevel="0" collapsed="false">
      <c r="A240" s="18" t="n">
        <v>126181417</v>
      </c>
      <c r="B240" s="10" t="n">
        <v>489</v>
      </c>
      <c r="C240" s="18" t="s">
        <v>43</v>
      </c>
      <c r="D240" s="9" t="s">
        <v>1070</v>
      </c>
      <c r="E240" s="15" t="s">
        <v>1071</v>
      </c>
      <c r="F240" s="9" t="s">
        <v>751</v>
      </c>
      <c r="G240" s="10" t="n">
        <v>2024</v>
      </c>
      <c r="H240" s="10" t="n">
        <v>10</v>
      </c>
      <c r="I240" s="19" t="n">
        <v>13500</v>
      </c>
      <c r="J240" s="19" t="n">
        <v>15000</v>
      </c>
      <c r="K240" s="10" t="n">
        <v>750</v>
      </c>
      <c r="L240" s="10" t="n">
        <v>3003</v>
      </c>
      <c r="M240" s="10" t="n">
        <v>41</v>
      </c>
      <c r="N240" s="11" t="n">
        <v>9.3</v>
      </c>
      <c r="O240" s="18" t="s">
        <v>56</v>
      </c>
    </row>
    <row r="241" customFormat="false" ht="15" hidden="false" customHeight="false" outlineLevel="0" collapsed="false">
      <c r="A241" s="18" t="n">
        <v>126167769</v>
      </c>
      <c r="B241" s="10" t="n">
        <v>490</v>
      </c>
      <c r="C241" s="18" t="s">
        <v>43</v>
      </c>
      <c r="D241" s="9" t="s">
        <v>1072</v>
      </c>
      <c r="E241" s="9" t="s">
        <v>1073</v>
      </c>
      <c r="F241" s="9" t="s">
        <v>88</v>
      </c>
      <c r="G241" s="10" t="n">
        <v>2024</v>
      </c>
      <c r="H241" s="10" t="n">
        <v>10</v>
      </c>
      <c r="I241" s="19" t="n">
        <v>18000</v>
      </c>
      <c r="J241" s="19" t="n">
        <v>20000</v>
      </c>
      <c r="K241" s="10" t="n">
        <v>1000</v>
      </c>
      <c r="L241" s="10" t="n">
        <v>786</v>
      </c>
      <c r="M241" s="10" t="n">
        <v>22</v>
      </c>
      <c r="N241" s="11" t="n">
        <v>9.5</v>
      </c>
      <c r="O241" s="18" t="s">
        <v>56</v>
      </c>
    </row>
    <row r="242" customFormat="false" ht="15" hidden="false" customHeight="false" outlineLevel="0" collapsed="false">
      <c r="A242" s="18" t="n">
        <v>125580588</v>
      </c>
      <c r="B242" s="10" t="n">
        <v>494</v>
      </c>
      <c r="C242" s="18" t="s">
        <v>43</v>
      </c>
      <c r="D242" s="9" t="s">
        <v>1078</v>
      </c>
      <c r="E242" s="9" t="s">
        <v>1079</v>
      </c>
      <c r="F242" s="9" t="s">
        <v>459</v>
      </c>
      <c r="G242" s="10" t="n">
        <v>2024</v>
      </c>
      <c r="H242" s="10" t="n">
        <v>10</v>
      </c>
      <c r="I242" s="19" t="n">
        <v>17820</v>
      </c>
      <c r="J242" s="19" t="n">
        <v>19800</v>
      </c>
      <c r="K242" s="10" t="n">
        <v>990</v>
      </c>
      <c r="L242" s="10" t="n">
        <v>1482</v>
      </c>
      <c r="M242" s="10" t="n">
        <v>25</v>
      </c>
      <c r="N242" s="11" t="n">
        <v>9.9</v>
      </c>
      <c r="O242" s="18" t="s">
        <v>56</v>
      </c>
    </row>
    <row r="243" customFormat="false" ht="15" hidden="false" customHeight="false" outlineLevel="0" collapsed="false">
      <c r="A243" s="18" t="n">
        <v>124613921</v>
      </c>
      <c r="B243" s="10" t="n">
        <v>497</v>
      </c>
      <c r="C243" s="18" t="s">
        <v>43</v>
      </c>
      <c r="D243" s="9" t="s">
        <v>1084</v>
      </c>
      <c r="E243" s="9" t="s">
        <v>1085</v>
      </c>
      <c r="F243" s="9" t="s">
        <v>1086</v>
      </c>
      <c r="G243" s="10" t="n">
        <v>2023</v>
      </c>
      <c r="H243" s="10" t="n">
        <v>0</v>
      </c>
      <c r="I243" s="19" t="n">
        <v>22000</v>
      </c>
      <c r="J243" s="19" t="n">
        <v>22000</v>
      </c>
      <c r="K243" s="10" t="n">
        <v>0</v>
      </c>
      <c r="L243" s="10" t="n">
        <v>300</v>
      </c>
      <c r="M243" s="10" t="n">
        <v>2</v>
      </c>
      <c r="N243" s="11" t="n">
        <v>10</v>
      </c>
      <c r="O243" s="18" t="s">
        <v>56</v>
      </c>
    </row>
    <row r="244" customFormat="false" ht="15" hidden="false" customHeight="false" outlineLevel="0" collapsed="false">
      <c r="A244" s="18" t="n">
        <v>124009226</v>
      </c>
      <c r="B244" s="10" t="n">
        <v>498</v>
      </c>
      <c r="C244" s="18" t="s">
        <v>43</v>
      </c>
      <c r="D244" s="9" t="s">
        <v>1087</v>
      </c>
      <c r="E244" s="9" t="s">
        <v>1088</v>
      </c>
      <c r="F244" s="9" t="s">
        <v>322</v>
      </c>
      <c r="G244" s="10" t="n">
        <v>2023</v>
      </c>
      <c r="H244" s="10" t="n">
        <v>0</v>
      </c>
      <c r="I244" s="19" t="n">
        <v>27000</v>
      </c>
      <c r="J244" s="19" t="n">
        <v>27000</v>
      </c>
      <c r="K244" s="10" t="n">
        <v>810</v>
      </c>
      <c r="L244" s="10" t="n">
        <v>2052</v>
      </c>
      <c r="M244" s="10" t="n">
        <v>0</v>
      </c>
      <c r="N244" s="11" t="n">
        <v>0</v>
      </c>
      <c r="O244" s="18" t="s">
        <v>56</v>
      </c>
    </row>
    <row r="245" customFormat="false" ht="15" hidden="false" customHeight="false" outlineLevel="0" collapsed="false">
      <c r="A245" s="18" t="n">
        <v>122886212</v>
      </c>
      <c r="B245" s="10" t="n">
        <v>499</v>
      </c>
      <c r="C245" s="18" t="s">
        <v>43</v>
      </c>
      <c r="D245" s="9" t="s">
        <v>1089</v>
      </c>
      <c r="E245" s="9" t="s">
        <v>1090</v>
      </c>
      <c r="F245" s="9" t="s">
        <v>231</v>
      </c>
      <c r="G245" s="10" t="n">
        <v>2023</v>
      </c>
      <c r="H245" s="10" t="n">
        <v>10</v>
      </c>
      <c r="I245" s="19" t="n">
        <v>27000</v>
      </c>
      <c r="J245" s="19" t="n">
        <v>30000</v>
      </c>
      <c r="K245" s="10" t="n">
        <v>1500</v>
      </c>
      <c r="L245" s="10" t="n">
        <v>744</v>
      </c>
      <c r="M245" s="10" t="n">
        <v>6</v>
      </c>
      <c r="N245" s="11" t="n">
        <v>8.7</v>
      </c>
      <c r="O245" s="18" t="s">
        <v>46</v>
      </c>
    </row>
    <row r="246" customFormat="false" ht="15" hidden="false" customHeight="false" outlineLevel="0" collapsed="false">
      <c r="A246" s="18" t="n">
        <v>122168734</v>
      </c>
      <c r="B246" s="10" t="n">
        <v>502</v>
      </c>
      <c r="C246" s="18" t="s">
        <v>43</v>
      </c>
      <c r="D246" s="15" t="s">
        <v>1095</v>
      </c>
      <c r="E246" s="9" t="s">
        <v>1096</v>
      </c>
      <c r="F246" s="9" t="s">
        <v>64</v>
      </c>
      <c r="G246" s="10" t="n">
        <v>2023</v>
      </c>
      <c r="H246" s="10" t="n">
        <v>10</v>
      </c>
      <c r="I246" s="19" t="n">
        <v>15930</v>
      </c>
      <c r="J246" s="19" t="n">
        <v>17700</v>
      </c>
      <c r="K246" s="10" t="n">
        <v>880</v>
      </c>
      <c r="L246" s="10" t="n">
        <v>1194</v>
      </c>
      <c r="M246" s="10" t="n">
        <v>15</v>
      </c>
      <c r="N246" s="11" t="n">
        <v>9.5</v>
      </c>
      <c r="O246" s="18" t="s">
        <v>56</v>
      </c>
    </row>
    <row r="247" customFormat="false" ht="15" hidden="false" customHeight="false" outlineLevel="0" collapsed="false">
      <c r="A247" s="18" t="n">
        <v>122141598</v>
      </c>
      <c r="B247" s="10" t="n">
        <v>503</v>
      </c>
      <c r="C247" s="18" t="s">
        <v>43</v>
      </c>
      <c r="D247" s="9" t="s">
        <v>1097</v>
      </c>
      <c r="E247" s="9" t="s">
        <v>1098</v>
      </c>
      <c r="F247" s="9" t="s">
        <v>751</v>
      </c>
      <c r="G247" s="10" t="n">
        <v>2023</v>
      </c>
      <c r="H247" s="10" t="n">
        <v>10</v>
      </c>
      <c r="I247" s="19" t="n">
        <v>19800</v>
      </c>
      <c r="J247" s="19" t="n">
        <v>22000</v>
      </c>
      <c r="K247" s="10" t="n">
        <v>1100</v>
      </c>
      <c r="L247" s="10" t="n">
        <v>360</v>
      </c>
      <c r="M247" s="10" t="n">
        <v>51</v>
      </c>
      <c r="N247" s="11" t="n">
        <v>9.9</v>
      </c>
      <c r="O247" s="18" t="s">
        <v>56</v>
      </c>
    </row>
    <row r="248" customFormat="false" ht="15" hidden="false" customHeight="false" outlineLevel="0" collapsed="false">
      <c r="A248" s="18" t="n">
        <v>121534396</v>
      </c>
      <c r="B248" s="10" t="n">
        <v>506</v>
      </c>
      <c r="C248" s="18" t="s">
        <v>43</v>
      </c>
      <c r="D248" s="9" t="s">
        <v>1103</v>
      </c>
      <c r="E248" s="9" t="s">
        <v>1104</v>
      </c>
      <c r="F248" s="9" t="s">
        <v>937</v>
      </c>
      <c r="G248" s="10" t="n">
        <v>2023</v>
      </c>
      <c r="H248" s="10" t="n">
        <v>10</v>
      </c>
      <c r="I248" s="19" t="n">
        <v>15300</v>
      </c>
      <c r="J248" s="19" t="n">
        <v>17000</v>
      </c>
      <c r="K248" s="10" t="n">
        <v>850</v>
      </c>
      <c r="L248" s="10" t="n">
        <v>222</v>
      </c>
      <c r="M248" s="10" t="n">
        <v>15</v>
      </c>
      <c r="N248" s="11" t="n">
        <v>9.5</v>
      </c>
      <c r="O248" s="18" t="s">
        <v>56</v>
      </c>
    </row>
    <row r="249" customFormat="false" ht="15" hidden="false" customHeight="false" outlineLevel="0" collapsed="false">
      <c r="A249" s="18" t="n">
        <v>120164381</v>
      </c>
      <c r="B249" s="10" t="n">
        <v>509</v>
      </c>
      <c r="C249" s="18" t="s">
        <v>43</v>
      </c>
      <c r="D249" s="9" t="s">
        <v>1109</v>
      </c>
      <c r="E249" s="9" t="s">
        <v>1110</v>
      </c>
      <c r="F249" s="9" t="s">
        <v>511</v>
      </c>
      <c r="G249" s="10" t="n">
        <v>2023</v>
      </c>
      <c r="H249" s="10" t="n">
        <v>10</v>
      </c>
      <c r="I249" s="19" t="n">
        <v>20700</v>
      </c>
      <c r="J249" s="19" t="n">
        <v>23000</v>
      </c>
      <c r="K249" s="10" t="n">
        <v>1150</v>
      </c>
      <c r="L249" s="10" t="n">
        <v>648</v>
      </c>
      <c r="M249" s="10" t="n">
        <v>22</v>
      </c>
      <c r="N249" s="11" t="n">
        <v>9.6</v>
      </c>
      <c r="O249" s="18" t="s">
        <v>56</v>
      </c>
    </row>
    <row r="250" customFormat="false" ht="15" hidden="false" customHeight="false" outlineLevel="0" collapsed="false">
      <c r="A250" s="18" t="n">
        <v>119184693</v>
      </c>
      <c r="B250" s="10" t="n">
        <v>511</v>
      </c>
      <c r="C250" s="18" t="s">
        <v>43</v>
      </c>
      <c r="D250" s="9" t="s">
        <v>1113</v>
      </c>
      <c r="E250" s="9" t="s">
        <v>1114</v>
      </c>
      <c r="F250" s="9" t="s">
        <v>1115</v>
      </c>
      <c r="G250" s="10" t="n">
        <v>2023</v>
      </c>
      <c r="H250" s="10" t="n">
        <v>10</v>
      </c>
      <c r="I250" s="19" t="n">
        <v>12600</v>
      </c>
      <c r="J250" s="19" t="n">
        <v>14000</v>
      </c>
      <c r="K250" s="10" t="n">
        <v>700</v>
      </c>
      <c r="L250" s="10" t="n">
        <v>2016</v>
      </c>
      <c r="M250" s="10" t="n">
        <v>1</v>
      </c>
      <c r="N250" s="11" t="n">
        <v>10</v>
      </c>
      <c r="O250" s="18" t="s">
        <v>56</v>
      </c>
    </row>
    <row r="251" customFormat="false" ht="15" hidden="false" customHeight="false" outlineLevel="0" collapsed="false">
      <c r="A251" s="18" t="n">
        <v>118396923</v>
      </c>
      <c r="B251" s="10" t="n">
        <v>514</v>
      </c>
      <c r="C251" s="18" t="s">
        <v>43</v>
      </c>
      <c r="D251" s="15" t="s">
        <v>1120</v>
      </c>
      <c r="E251" s="9" t="s">
        <v>1121</v>
      </c>
      <c r="F251" s="9" t="s">
        <v>100</v>
      </c>
      <c r="G251" s="10" t="n">
        <v>2023</v>
      </c>
      <c r="H251" s="10" t="n">
        <v>10</v>
      </c>
      <c r="I251" s="19" t="n">
        <v>23400</v>
      </c>
      <c r="J251" s="19" t="n">
        <v>26000</v>
      </c>
      <c r="K251" s="10" t="n">
        <v>1300</v>
      </c>
      <c r="L251" s="10" t="n">
        <v>516</v>
      </c>
      <c r="M251" s="10" t="n">
        <v>13</v>
      </c>
      <c r="N251" s="11" t="n">
        <v>9.8</v>
      </c>
      <c r="O251" s="18" t="s">
        <v>56</v>
      </c>
    </row>
    <row r="252" customFormat="false" ht="15" hidden="false" customHeight="false" outlineLevel="0" collapsed="false">
      <c r="A252" s="18" t="n">
        <v>118335008</v>
      </c>
      <c r="B252" s="10" t="n">
        <v>515</v>
      </c>
      <c r="C252" s="18" t="s">
        <v>43</v>
      </c>
      <c r="D252" s="9" t="s">
        <v>1122</v>
      </c>
      <c r="E252" s="9" t="s">
        <v>1123</v>
      </c>
      <c r="F252" s="9" t="s">
        <v>1124</v>
      </c>
      <c r="G252" s="10" t="n">
        <v>2023</v>
      </c>
      <c r="H252" s="10" t="n">
        <v>10</v>
      </c>
      <c r="I252" s="19" t="n">
        <v>25200</v>
      </c>
      <c r="J252" s="19" t="n">
        <v>28000</v>
      </c>
      <c r="K252" s="10" t="n">
        <v>1400</v>
      </c>
      <c r="L252" s="10" t="n">
        <v>618</v>
      </c>
      <c r="M252" s="10" t="n">
        <v>23</v>
      </c>
      <c r="N252" s="11" t="n">
        <v>8.7</v>
      </c>
      <c r="O252" s="18" t="s">
        <v>56</v>
      </c>
    </row>
    <row r="253" customFormat="false" ht="15" hidden="false" customHeight="false" outlineLevel="0" collapsed="false">
      <c r="A253" s="18" t="n">
        <v>117501834</v>
      </c>
      <c r="B253" s="10" t="n">
        <v>516</v>
      </c>
      <c r="C253" s="18" t="s">
        <v>43</v>
      </c>
      <c r="D253" s="15" t="s">
        <v>1125</v>
      </c>
      <c r="E253" s="9" t="s">
        <v>1126</v>
      </c>
      <c r="F253" s="9" t="s">
        <v>308</v>
      </c>
      <c r="G253" s="10" t="n">
        <v>2023</v>
      </c>
      <c r="H253" s="10" t="n">
        <v>10</v>
      </c>
      <c r="I253" s="19" t="n">
        <v>28800</v>
      </c>
      <c r="J253" s="19" t="n">
        <v>32000</v>
      </c>
      <c r="K253" s="10" t="n">
        <v>1600</v>
      </c>
      <c r="L253" s="10" t="n">
        <v>396</v>
      </c>
      <c r="M253" s="10" t="n">
        <v>31</v>
      </c>
      <c r="N253" s="11" t="n">
        <v>9.6</v>
      </c>
      <c r="O253" s="18" t="s">
        <v>56</v>
      </c>
    </row>
    <row r="254" customFormat="false" ht="15" hidden="false" customHeight="false" outlineLevel="0" collapsed="false">
      <c r="A254" s="18" t="n">
        <v>117390624</v>
      </c>
      <c r="B254" s="10" t="n">
        <v>517</v>
      </c>
      <c r="C254" s="18" t="s">
        <v>43</v>
      </c>
      <c r="D254" s="9" t="s">
        <v>1127</v>
      </c>
      <c r="E254" s="9" t="s">
        <v>1128</v>
      </c>
      <c r="F254" s="9" t="s">
        <v>552</v>
      </c>
      <c r="G254" s="10" t="n">
        <v>2023</v>
      </c>
      <c r="H254" s="10" t="n">
        <v>10</v>
      </c>
      <c r="I254" s="19" t="n">
        <v>24750</v>
      </c>
      <c r="J254" s="19" t="n">
        <v>27500</v>
      </c>
      <c r="K254" s="10" t="n">
        <v>1370</v>
      </c>
      <c r="L254" s="10" t="n">
        <v>606</v>
      </c>
      <c r="M254" s="10" t="n">
        <v>11</v>
      </c>
      <c r="N254" s="11" t="n">
        <v>10</v>
      </c>
      <c r="O254" s="18" t="s">
        <v>56</v>
      </c>
    </row>
    <row r="255" customFormat="false" ht="15" hidden="false" customHeight="false" outlineLevel="0" collapsed="false">
      <c r="A255" s="18" t="n">
        <v>116578525</v>
      </c>
      <c r="B255" s="10" t="n">
        <v>521</v>
      </c>
      <c r="C255" s="18" t="s">
        <v>43</v>
      </c>
      <c r="D255" s="9" t="s">
        <v>1134</v>
      </c>
      <c r="E255" s="9" t="s">
        <v>1135</v>
      </c>
      <c r="F255" s="9" t="s">
        <v>511</v>
      </c>
      <c r="G255" s="10" t="n">
        <v>2023</v>
      </c>
      <c r="H255" s="10" t="n">
        <v>10</v>
      </c>
      <c r="I255" s="19" t="n">
        <v>49500</v>
      </c>
      <c r="J255" s="19" t="n">
        <v>55000</v>
      </c>
      <c r="K255" s="10" t="n">
        <v>2750</v>
      </c>
      <c r="L255" s="10" t="n">
        <v>720</v>
      </c>
      <c r="M255" s="10" t="n">
        <v>4</v>
      </c>
      <c r="N255" s="11" t="n">
        <v>7</v>
      </c>
      <c r="O255" s="18" t="s">
        <v>46</v>
      </c>
    </row>
    <row r="256" customFormat="false" ht="15" hidden="false" customHeight="false" outlineLevel="0" collapsed="false">
      <c r="A256" s="18" t="n">
        <v>116431437</v>
      </c>
      <c r="B256" s="10" t="n">
        <v>522</v>
      </c>
      <c r="C256" s="18" t="s">
        <v>43</v>
      </c>
      <c r="D256" s="9" t="s">
        <v>1136</v>
      </c>
      <c r="E256" s="9" t="s">
        <v>1137</v>
      </c>
      <c r="F256" s="9" t="s">
        <v>1138</v>
      </c>
      <c r="G256" s="10" t="n">
        <v>2022</v>
      </c>
      <c r="H256" s="10" t="n">
        <v>10</v>
      </c>
      <c r="I256" s="19" t="n">
        <v>10800</v>
      </c>
      <c r="J256" s="19" t="n">
        <v>12000</v>
      </c>
      <c r="K256" s="10" t="n">
        <v>600</v>
      </c>
      <c r="L256" s="10" t="n">
        <v>402</v>
      </c>
      <c r="M256" s="10" t="n">
        <v>3</v>
      </c>
      <c r="N256" s="11" t="n">
        <v>10</v>
      </c>
      <c r="O256" s="18" t="s">
        <v>56</v>
      </c>
    </row>
    <row r="257" customFormat="false" ht="15" hidden="false" customHeight="false" outlineLevel="0" collapsed="false">
      <c r="A257" s="18" t="n">
        <v>116204239</v>
      </c>
      <c r="B257" s="10" t="n">
        <v>523</v>
      </c>
      <c r="C257" s="18" t="s">
        <v>43</v>
      </c>
      <c r="D257" s="9" t="s">
        <v>1139</v>
      </c>
      <c r="E257" s="9" t="s">
        <v>1140</v>
      </c>
      <c r="F257" s="9" t="s">
        <v>161</v>
      </c>
      <c r="G257" s="10" t="n">
        <v>2022</v>
      </c>
      <c r="H257" s="10" t="n">
        <v>10</v>
      </c>
      <c r="I257" s="19" t="n">
        <v>12600</v>
      </c>
      <c r="J257" s="19" t="n">
        <v>14000</v>
      </c>
      <c r="K257" s="10" t="n">
        <v>700</v>
      </c>
      <c r="L257" s="10" t="n">
        <v>3192</v>
      </c>
      <c r="M257" s="10" t="n">
        <v>0</v>
      </c>
      <c r="N257" s="11" t="n">
        <v>0</v>
      </c>
      <c r="O257" s="18" t="s">
        <v>56</v>
      </c>
    </row>
    <row r="258" customFormat="false" ht="15" hidden="false" customHeight="false" outlineLevel="0" collapsed="false">
      <c r="A258" s="18" t="n">
        <v>114627783</v>
      </c>
      <c r="B258" s="10" t="n">
        <v>525</v>
      </c>
      <c r="C258" s="18" t="s">
        <v>43</v>
      </c>
      <c r="D258" s="15" t="s">
        <v>1143</v>
      </c>
      <c r="E258" s="9" t="s">
        <v>1144</v>
      </c>
      <c r="F258" s="9" t="s">
        <v>1050</v>
      </c>
      <c r="G258" s="10" t="n">
        <v>2022</v>
      </c>
      <c r="H258" s="10" t="n">
        <v>10</v>
      </c>
      <c r="I258" s="19" t="n">
        <v>23850</v>
      </c>
      <c r="J258" s="19" t="n">
        <v>26500</v>
      </c>
      <c r="K258" s="10" t="n">
        <v>1320</v>
      </c>
      <c r="L258" s="10" t="n">
        <v>708</v>
      </c>
      <c r="M258" s="10" t="n">
        <v>14</v>
      </c>
      <c r="N258" s="11" t="n">
        <v>10</v>
      </c>
      <c r="O258" s="18" t="s">
        <v>56</v>
      </c>
    </row>
    <row r="259" customFormat="false" ht="15" hidden="false" customHeight="false" outlineLevel="0" collapsed="false">
      <c r="A259" s="18" t="n">
        <v>112630905</v>
      </c>
      <c r="B259" s="10" t="n">
        <v>528</v>
      </c>
      <c r="C259" s="18" t="s">
        <v>43</v>
      </c>
      <c r="D259" s="15" t="s">
        <v>1149</v>
      </c>
      <c r="E259" s="9" t="s">
        <v>1150</v>
      </c>
      <c r="F259" s="9" t="s">
        <v>1151</v>
      </c>
      <c r="G259" s="10" t="n">
        <v>2022</v>
      </c>
      <c r="H259" s="10" t="n">
        <v>5</v>
      </c>
      <c r="I259" s="19" t="n">
        <v>37050</v>
      </c>
      <c r="J259" s="19" t="n">
        <v>39000</v>
      </c>
      <c r="K259" s="10" t="n">
        <v>1170</v>
      </c>
      <c r="L259" s="10" t="n">
        <v>1164</v>
      </c>
      <c r="M259" s="10" t="n">
        <v>0</v>
      </c>
      <c r="N259" s="11" t="n">
        <v>0</v>
      </c>
      <c r="O259" s="18" t="s">
        <v>56</v>
      </c>
    </row>
    <row r="260" customFormat="false" ht="15" hidden="false" customHeight="false" outlineLevel="0" collapsed="false">
      <c r="A260" s="18" t="n">
        <v>111097039</v>
      </c>
      <c r="B260" s="10" t="n">
        <v>530</v>
      </c>
      <c r="C260" s="18" t="s">
        <v>43</v>
      </c>
      <c r="D260" s="9" t="s">
        <v>1153</v>
      </c>
      <c r="E260" s="9" t="s">
        <v>1154</v>
      </c>
      <c r="F260" s="9" t="s">
        <v>1155</v>
      </c>
      <c r="G260" s="10" t="n">
        <v>2022</v>
      </c>
      <c r="H260" s="10" t="n">
        <v>10</v>
      </c>
      <c r="I260" s="19" t="n">
        <v>12600</v>
      </c>
      <c r="J260" s="19" t="n">
        <v>14000</v>
      </c>
      <c r="K260" s="10" t="n">
        <v>700</v>
      </c>
      <c r="L260" s="10" t="n">
        <v>336</v>
      </c>
      <c r="M260" s="10" t="n">
        <v>0</v>
      </c>
      <c r="N260" s="11" t="n">
        <v>0</v>
      </c>
      <c r="O260" s="18" t="s">
        <v>56</v>
      </c>
    </row>
    <row r="261" customFormat="false" ht="15" hidden="false" customHeight="false" outlineLevel="0" collapsed="false">
      <c r="A261" s="18" t="n">
        <v>109619095</v>
      </c>
      <c r="B261" s="10" t="n">
        <v>531</v>
      </c>
      <c r="C261" s="18" t="s">
        <v>43</v>
      </c>
      <c r="D261" s="9" t="s">
        <v>1156</v>
      </c>
      <c r="E261" s="9" t="s">
        <v>1157</v>
      </c>
      <c r="F261" s="9" t="s">
        <v>1158</v>
      </c>
      <c r="G261" s="10" t="n">
        <v>2022</v>
      </c>
      <c r="H261" s="10" t="n">
        <v>10</v>
      </c>
      <c r="I261" s="19" t="n">
        <v>4500</v>
      </c>
      <c r="J261" s="19" t="n">
        <v>5000</v>
      </c>
      <c r="K261" s="10" t="n">
        <v>250</v>
      </c>
      <c r="L261" s="10" t="n">
        <v>46662</v>
      </c>
      <c r="M261" s="10" t="n">
        <v>0</v>
      </c>
      <c r="N261" s="11" t="n">
        <v>0</v>
      </c>
      <c r="O261" s="18" t="s">
        <v>56</v>
      </c>
    </row>
    <row r="262" customFormat="false" ht="15" hidden="false" customHeight="false" outlineLevel="0" collapsed="false">
      <c r="A262" s="18" t="n">
        <v>107653466</v>
      </c>
      <c r="B262" s="10" t="n">
        <v>536</v>
      </c>
      <c r="C262" s="18" t="s">
        <v>43</v>
      </c>
      <c r="D262" s="15" t="s">
        <v>1166</v>
      </c>
      <c r="E262" s="9" t="s">
        <v>1167</v>
      </c>
      <c r="F262" s="9" t="s">
        <v>663</v>
      </c>
      <c r="G262" s="10" t="n">
        <v>2022</v>
      </c>
      <c r="H262" s="10" t="n">
        <v>10</v>
      </c>
      <c r="I262" s="19" t="n">
        <v>15300</v>
      </c>
      <c r="J262" s="19" t="n">
        <v>17000</v>
      </c>
      <c r="K262" s="10" t="n">
        <v>850</v>
      </c>
      <c r="L262" s="10" t="n">
        <v>1266</v>
      </c>
      <c r="M262" s="10" t="n">
        <v>7</v>
      </c>
      <c r="N262" s="11" t="n">
        <v>9.7</v>
      </c>
      <c r="O262" s="18" t="s">
        <v>56</v>
      </c>
    </row>
    <row r="263" customFormat="false" ht="15" hidden="false" customHeight="false" outlineLevel="0" collapsed="false">
      <c r="A263" s="18" t="n">
        <v>107005872</v>
      </c>
      <c r="B263" s="10" t="n">
        <v>537</v>
      </c>
      <c r="C263" s="18" t="s">
        <v>43</v>
      </c>
      <c r="D263" s="9" t="s">
        <v>1168</v>
      </c>
      <c r="E263" s="9" t="s">
        <v>1169</v>
      </c>
      <c r="F263" s="9" t="s">
        <v>511</v>
      </c>
      <c r="G263" s="10" t="n">
        <v>2022</v>
      </c>
      <c r="H263" s="10" t="n">
        <v>10</v>
      </c>
      <c r="I263" s="19" t="n">
        <v>26100</v>
      </c>
      <c r="J263" s="19" t="n">
        <v>29000</v>
      </c>
      <c r="K263" s="10" t="n">
        <v>1450</v>
      </c>
      <c r="L263" s="10" t="n">
        <v>702</v>
      </c>
      <c r="M263" s="10" t="n">
        <v>6</v>
      </c>
      <c r="N263" s="11" t="n">
        <v>9.7</v>
      </c>
      <c r="O263" s="18" t="s">
        <v>56</v>
      </c>
    </row>
    <row r="264" customFormat="false" ht="15" hidden="false" customHeight="false" outlineLevel="0" collapsed="false">
      <c r="A264" s="18" t="n">
        <v>106404609</v>
      </c>
      <c r="B264" s="10" t="n">
        <v>538</v>
      </c>
      <c r="C264" s="18" t="s">
        <v>43</v>
      </c>
      <c r="D264" s="9" t="s">
        <v>1170</v>
      </c>
      <c r="E264" s="9" t="s">
        <v>1171</v>
      </c>
      <c r="F264" s="9" t="s">
        <v>514</v>
      </c>
      <c r="G264" s="10" t="n">
        <v>2022</v>
      </c>
      <c r="H264" s="10" t="n">
        <v>0</v>
      </c>
      <c r="I264" s="19" t="n">
        <v>29000</v>
      </c>
      <c r="J264" s="19" t="n">
        <v>29000</v>
      </c>
      <c r="K264" s="10" t="n">
        <v>870</v>
      </c>
      <c r="L264" s="10" t="n">
        <v>3366</v>
      </c>
      <c r="M264" s="10" t="n">
        <v>11</v>
      </c>
      <c r="N264" s="11" t="n">
        <v>9.1</v>
      </c>
      <c r="O264" s="18" t="s">
        <v>46</v>
      </c>
    </row>
    <row r="265" customFormat="false" ht="15" hidden="false" customHeight="false" outlineLevel="0" collapsed="false">
      <c r="A265" s="18" t="n">
        <v>106175772</v>
      </c>
      <c r="B265" s="10" t="n">
        <v>539</v>
      </c>
      <c r="C265" s="18" t="s">
        <v>43</v>
      </c>
      <c r="D265" s="9" t="s">
        <v>1172</v>
      </c>
      <c r="E265" s="9" t="s">
        <v>263</v>
      </c>
      <c r="F265" s="9" t="s">
        <v>311</v>
      </c>
      <c r="G265" s="10" t="n">
        <v>2022</v>
      </c>
      <c r="H265" s="10" t="n">
        <v>10</v>
      </c>
      <c r="I265" s="19" t="n">
        <v>18000</v>
      </c>
      <c r="J265" s="19" t="n">
        <v>20000</v>
      </c>
      <c r="K265" s="10" t="n">
        <v>1000</v>
      </c>
      <c r="L265" s="10" t="n">
        <v>834</v>
      </c>
      <c r="M265" s="10" t="n">
        <v>1</v>
      </c>
      <c r="N265" s="11" t="n">
        <v>10</v>
      </c>
      <c r="O265" s="18" t="s">
        <v>56</v>
      </c>
    </row>
    <row r="266" customFormat="false" ht="15" hidden="false" customHeight="false" outlineLevel="0" collapsed="false">
      <c r="A266" s="18" t="n">
        <v>105880625</v>
      </c>
      <c r="B266" s="10" t="n">
        <v>541</v>
      </c>
      <c r="C266" s="18" t="s">
        <v>43</v>
      </c>
      <c r="D266" s="15" t="s">
        <v>1175</v>
      </c>
      <c r="E266" s="9" t="s">
        <v>1167</v>
      </c>
      <c r="F266" s="9" t="s">
        <v>663</v>
      </c>
      <c r="G266" s="10" t="n">
        <v>2022</v>
      </c>
      <c r="H266" s="10" t="n">
        <v>10</v>
      </c>
      <c r="I266" s="19" t="n">
        <v>15300</v>
      </c>
      <c r="J266" s="19" t="n">
        <v>17000</v>
      </c>
      <c r="K266" s="10" t="n">
        <v>850</v>
      </c>
      <c r="L266" s="10" t="n">
        <v>642</v>
      </c>
      <c r="M266" s="10" t="n">
        <v>3</v>
      </c>
      <c r="N266" s="11" t="n">
        <v>10</v>
      </c>
      <c r="O266" s="18" t="s">
        <v>56</v>
      </c>
    </row>
    <row r="267" customFormat="false" ht="15" hidden="false" customHeight="false" outlineLevel="0" collapsed="false">
      <c r="A267" s="18" t="n">
        <v>105776648</v>
      </c>
      <c r="B267" s="10" t="n">
        <v>542</v>
      </c>
      <c r="C267" s="18" t="s">
        <v>43</v>
      </c>
      <c r="D267" s="15" t="s">
        <v>1176</v>
      </c>
      <c r="E267" s="9" t="s">
        <v>1167</v>
      </c>
      <c r="F267" s="9" t="s">
        <v>663</v>
      </c>
      <c r="G267" s="10" t="n">
        <v>2022</v>
      </c>
      <c r="H267" s="10" t="n">
        <v>10</v>
      </c>
      <c r="I267" s="19" t="n">
        <v>14400</v>
      </c>
      <c r="J267" s="19" t="n">
        <v>16000</v>
      </c>
      <c r="K267" s="10" t="n">
        <v>800</v>
      </c>
      <c r="L267" s="10" t="n">
        <v>1932</v>
      </c>
      <c r="M267" s="10" t="n">
        <v>5</v>
      </c>
      <c r="N267" s="11" t="n">
        <v>8</v>
      </c>
      <c r="O267" s="18" t="s">
        <v>56</v>
      </c>
    </row>
    <row r="268" customFormat="false" ht="15" hidden="false" customHeight="false" outlineLevel="0" collapsed="false">
      <c r="A268" s="18" t="n">
        <v>104739807</v>
      </c>
      <c r="B268" s="10" t="n">
        <v>544</v>
      </c>
      <c r="C268" s="18" t="s">
        <v>43</v>
      </c>
      <c r="D268" s="9" t="s">
        <v>1178</v>
      </c>
      <c r="E268" s="9" t="s">
        <v>1179</v>
      </c>
      <c r="F268" s="9" t="s">
        <v>1180</v>
      </c>
      <c r="G268" s="10" t="n">
        <v>2022</v>
      </c>
      <c r="H268" s="10" t="n">
        <v>10</v>
      </c>
      <c r="I268" s="19" t="n">
        <v>18000</v>
      </c>
      <c r="J268" s="19" t="n">
        <v>20000</v>
      </c>
      <c r="K268" s="10" t="n">
        <v>1000</v>
      </c>
      <c r="L268" s="10" t="n">
        <v>1395</v>
      </c>
      <c r="M268" s="10" t="n">
        <v>9</v>
      </c>
      <c r="N268" s="11" t="n">
        <v>10</v>
      </c>
      <c r="O268" s="18" t="s">
        <v>56</v>
      </c>
    </row>
    <row r="269" customFormat="false" ht="15" hidden="false" customHeight="false" outlineLevel="0" collapsed="false">
      <c r="A269" s="18" t="n">
        <v>103710958</v>
      </c>
      <c r="B269" s="10" t="n">
        <v>545</v>
      </c>
      <c r="C269" s="18" t="s">
        <v>43</v>
      </c>
      <c r="D269" s="15" t="s">
        <v>1181</v>
      </c>
      <c r="E269" s="9" t="s">
        <v>1182</v>
      </c>
      <c r="F269" s="9" t="s">
        <v>1183</v>
      </c>
      <c r="G269" s="10" t="n">
        <v>2021</v>
      </c>
      <c r="H269" s="10" t="n">
        <v>0</v>
      </c>
      <c r="I269" s="19" t="n">
        <v>17000</v>
      </c>
      <c r="J269" s="19" t="n">
        <v>17000</v>
      </c>
      <c r="K269" s="10" t="n">
        <v>0</v>
      </c>
      <c r="L269" s="10" t="n">
        <v>198</v>
      </c>
      <c r="M269" s="10" t="n">
        <v>1</v>
      </c>
      <c r="N269" s="11" t="n">
        <v>10</v>
      </c>
      <c r="O269" s="18" t="s">
        <v>56</v>
      </c>
    </row>
    <row r="270" customFormat="false" ht="15" hidden="false" customHeight="false" outlineLevel="0" collapsed="false">
      <c r="A270" s="18" t="n">
        <v>102471104</v>
      </c>
      <c r="B270" s="10" t="n">
        <v>548</v>
      </c>
      <c r="C270" s="18" t="s">
        <v>43</v>
      </c>
      <c r="D270" s="9" t="s">
        <v>1187</v>
      </c>
      <c r="E270" s="9" t="s">
        <v>1188</v>
      </c>
      <c r="F270" s="9" t="s">
        <v>670</v>
      </c>
      <c r="G270" s="10" t="n">
        <v>2021</v>
      </c>
      <c r="H270" s="10" t="n">
        <v>10</v>
      </c>
      <c r="I270" s="19" t="n">
        <v>19800</v>
      </c>
      <c r="J270" s="19" t="n">
        <v>22000</v>
      </c>
      <c r="K270" s="10" t="n">
        <v>1100</v>
      </c>
      <c r="L270" s="10" t="n">
        <v>1044</v>
      </c>
      <c r="M270" s="10" t="n">
        <v>28</v>
      </c>
      <c r="N270" s="11" t="n">
        <v>9.4</v>
      </c>
      <c r="O270" s="18" t="s">
        <v>56</v>
      </c>
    </row>
    <row r="271" customFormat="false" ht="15" hidden="false" customHeight="false" outlineLevel="0" collapsed="false">
      <c r="A271" s="18" t="n">
        <v>101634077</v>
      </c>
      <c r="B271" s="10" t="n">
        <v>550</v>
      </c>
      <c r="C271" s="18" t="s">
        <v>43</v>
      </c>
      <c r="D271" s="15" t="s">
        <v>1191</v>
      </c>
      <c r="E271" s="9" t="s">
        <v>1192</v>
      </c>
      <c r="F271" s="9" t="s">
        <v>1193</v>
      </c>
      <c r="G271" s="10" t="n">
        <v>2021</v>
      </c>
      <c r="H271" s="10" t="n">
        <v>10</v>
      </c>
      <c r="I271" s="19" t="n">
        <v>14850</v>
      </c>
      <c r="J271" s="19" t="n">
        <v>16500</v>
      </c>
      <c r="K271" s="10" t="n">
        <v>820</v>
      </c>
      <c r="L271" s="10" t="n">
        <v>246</v>
      </c>
      <c r="M271" s="10" t="n">
        <v>13</v>
      </c>
      <c r="N271" s="11" t="n">
        <v>9.9</v>
      </c>
      <c r="O271" s="18" t="s">
        <v>46</v>
      </c>
    </row>
    <row r="272" customFormat="false" ht="15" hidden="false" customHeight="false" outlineLevel="0" collapsed="false">
      <c r="A272" s="18" t="n">
        <v>95877099</v>
      </c>
      <c r="B272" s="10" t="n">
        <v>554</v>
      </c>
      <c r="C272" s="18" t="s">
        <v>43</v>
      </c>
      <c r="D272" s="9" t="s">
        <v>1199</v>
      </c>
      <c r="E272" s="15" t="s">
        <v>1200</v>
      </c>
      <c r="F272" s="9" t="s">
        <v>732</v>
      </c>
      <c r="G272" s="10" t="n">
        <v>2017</v>
      </c>
      <c r="H272" s="10" t="n">
        <v>0</v>
      </c>
      <c r="I272" s="19" t="n">
        <v>35000</v>
      </c>
      <c r="J272" s="19" t="n">
        <v>35000</v>
      </c>
      <c r="K272" s="10" t="n">
        <v>0</v>
      </c>
      <c r="L272" s="10" t="n">
        <v>516</v>
      </c>
      <c r="M272" s="10" t="n">
        <v>2</v>
      </c>
      <c r="N272" s="11" t="n">
        <v>7.5</v>
      </c>
      <c r="O272" s="18" t="s">
        <v>56</v>
      </c>
    </row>
    <row r="273" customFormat="false" ht="15" hidden="false" customHeight="false" outlineLevel="0" collapsed="false">
      <c r="A273" s="18" t="n">
        <v>95520735</v>
      </c>
      <c r="B273" s="10" t="n">
        <v>556</v>
      </c>
      <c r="C273" s="18" t="s">
        <v>43</v>
      </c>
      <c r="D273" s="9" t="s">
        <v>1203</v>
      </c>
      <c r="E273" s="9" t="s">
        <v>1204</v>
      </c>
      <c r="F273" s="9" t="s">
        <v>422</v>
      </c>
      <c r="G273" s="10" t="n">
        <v>2020</v>
      </c>
      <c r="H273" s="10" t="n">
        <v>10</v>
      </c>
      <c r="I273" s="19" t="n">
        <v>27000</v>
      </c>
      <c r="J273" s="19" t="n">
        <v>30000</v>
      </c>
      <c r="K273" s="10" t="n">
        <v>1500</v>
      </c>
      <c r="L273" s="10" t="n">
        <v>246</v>
      </c>
      <c r="M273" s="10" t="n">
        <v>9</v>
      </c>
      <c r="N273" s="11" t="n">
        <v>9.3</v>
      </c>
      <c r="O273" s="18" t="s">
        <v>56</v>
      </c>
    </row>
    <row r="274" customFormat="false" ht="15" hidden="false" customHeight="false" outlineLevel="0" collapsed="false">
      <c r="A274" s="18" t="n">
        <v>91574113</v>
      </c>
      <c r="B274" s="10" t="n">
        <v>558</v>
      </c>
      <c r="C274" s="18" t="s">
        <v>43</v>
      </c>
      <c r="D274" s="9" t="s">
        <v>1206</v>
      </c>
      <c r="E274" s="9" t="s">
        <v>1207</v>
      </c>
      <c r="F274" s="9" t="s">
        <v>514</v>
      </c>
      <c r="G274" s="10" t="n">
        <v>2020</v>
      </c>
      <c r="H274" s="10" t="n">
        <v>10</v>
      </c>
      <c r="I274" s="19" t="n">
        <v>34200</v>
      </c>
      <c r="J274" s="19" t="n">
        <v>38000</v>
      </c>
      <c r="K274" s="10" t="n">
        <v>1900</v>
      </c>
      <c r="L274" s="10" t="n">
        <v>1086</v>
      </c>
      <c r="M274" s="10" t="n">
        <v>5</v>
      </c>
      <c r="N274" s="11" t="n">
        <v>7.4</v>
      </c>
      <c r="O274" s="18" t="s">
        <v>46</v>
      </c>
    </row>
    <row r="275" customFormat="false" ht="15" hidden="false" customHeight="false" outlineLevel="0" collapsed="false">
      <c r="A275" s="18" t="n">
        <v>90613346</v>
      </c>
      <c r="B275" s="10" t="n">
        <v>559</v>
      </c>
      <c r="C275" s="18" t="s">
        <v>43</v>
      </c>
      <c r="D275" s="15" t="s">
        <v>1208</v>
      </c>
      <c r="E275" s="9" t="s">
        <v>1209</v>
      </c>
      <c r="F275" s="9" t="s">
        <v>1209</v>
      </c>
      <c r="G275" s="10" t="n">
        <v>2021</v>
      </c>
      <c r="H275" s="10" t="n">
        <v>0</v>
      </c>
      <c r="I275" s="19" t="n">
        <v>50000</v>
      </c>
      <c r="J275" s="19" t="n">
        <v>50000</v>
      </c>
      <c r="K275" s="10" t="n">
        <v>0</v>
      </c>
      <c r="L275" s="10" t="n">
        <v>1458</v>
      </c>
      <c r="M275" s="10" t="n">
        <v>15</v>
      </c>
      <c r="N275" s="11" t="n">
        <v>8.5</v>
      </c>
      <c r="O275" s="18" t="s">
        <v>56</v>
      </c>
    </row>
    <row r="276" customFormat="false" ht="15" hidden="false" customHeight="false" outlineLevel="0" collapsed="false">
      <c r="A276" s="18" t="n">
        <v>89176602</v>
      </c>
      <c r="B276" s="10" t="n">
        <v>561</v>
      </c>
      <c r="C276" s="18" t="s">
        <v>43</v>
      </c>
      <c r="D276" s="9" t="s">
        <v>1212</v>
      </c>
      <c r="E276" s="9" t="s">
        <v>1213</v>
      </c>
      <c r="F276" s="9" t="s">
        <v>64</v>
      </c>
      <c r="G276" s="10" t="n">
        <v>2020</v>
      </c>
      <c r="H276" s="10" t="n">
        <v>10</v>
      </c>
      <c r="I276" s="19" t="n">
        <v>19800</v>
      </c>
      <c r="J276" s="19" t="n">
        <v>22000</v>
      </c>
      <c r="K276" s="10" t="n">
        <v>1100</v>
      </c>
      <c r="L276" s="10" t="n">
        <v>726</v>
      </c>
      <c r="M276" s="10" t="n">
        <v>10</v>
      </c>
      <c r="N276" s="11" t="n">
        <v>9</v>
      </c>
      <c r="O276" s="18" t="s">
        <v>56</v>
      </c>
    </row>
    <row r="277" customFormat="false" ht="15" hidden="false" customHeight="false" outlineLevel="0" collapsed="false">
      <c r="A277" s="18" t="n">
        <v>75454395</v>
      </c>
      <c r="B277" s="10" t="n">
        <v>562</v>
      </c>
      <c r="C277" s="18" t="s">
        <v>43</v>
      </c>
      <c r="D277" s="9" t="s">
        <v>1214</v>
      </c>
      <c r="E277" s="9" t="s">
        <v>1215</v>
      </c>
      <c r="F277" s="9" t="s">
        <v>311</v>
      </c>
      <c r="G277" s="10" t="n">
        <v>2019</v>
      </c>
      <c r="H277" s="10" t="n">
        <v>10</v>
      </c>
      <c r="I277" s="19" t="n">
        <v>12600</v>
      </c>
      <c r="J277" s="19" t="n">
        <v>14000</v>
      </c>
      <c r="K277" s="10" t="n">
        <v>700</v>
      </c>
      <c r="L277" s="10" t="n">
        <v>240</v>
      </c>
      <c r="M277" s="10" t="n">
        <v>9</v>
      </c>
      <c r="N277" s="11" t="n">
        <v>9.3</v>
      </c>
      <c r="O277" s="18" t="s">
        <v>56</v>
      </c>
    </row>
    <row r="278" customFormat="false" ht="15" hidden="false" customHeight="false" outlineLevel="0" collapsed="false">
      <c r="A278" s="18" t="n">
        <v>66913718</v>
      </c>
      <c r="B278" s="10" t="n">
        <v>565</v>
      </c>
      <c r="C278" s="18" t="s">
        <v>43</v>
      </c>
      <c r="D278" s="9" t="s">
        <v>1219</v>
      </c>
      <c r="E278" s="9" t="s">
        <v>1220</v>
      </c>
      <c r="F278" s="9" t="s">
        <v>211</v>
      </c>
      <c r="G278" s="10" t="n">
        <v>2018</v>
      </c>
      <c r="H278" s="10" t="n">
        <v>10</v>
      </c>
      <c r="I278" s="19" t="n">
        <v>22500</v>
      </c>
      <c r="J278" s="19" t="n">
        <v>25000</v>
      </c>
      <c r="K278" s="10" t="n">
        <v>1250</v>
      </c>
      <c r="L278" s="10" t="n">
        <v>1968</v>
      </c>
      <c r="M278" s="10" t="n">
        <v>33</v>
      </c>
      <c r="N278" s="11" t="n">
        <v>9.2</v>
      </c>
      <c r="O278" s="18" t="s">
        <v>46</v>
      </c>
    </row>
    <row r="279" customFormat="false" ht="15" hidden="false" customHeight="false" outlineLevel="0" collapsed="false">
      <c r="A279" s="18" t="n">
        <v>61791203</v>
      </c>
      <c r="B279" s="10" t="n">
        <v>568</v>
      </c>
      <c r="C279" s="18" t="s">
        <v>43</v>
      </c>
      <c r="D279" s="9" t="s">
        <v>1225</v>
      </c>
      <c r="E279" s="9" t="s">
        <v>1226</v>
      </c>
      <c r="F279" s="9" t="s">
        <v>211</v>
      </c>
      <c r="G279" s="10" t="n">
        <v>2018</v>
      </c>
      <c r="H279" s="10" t="n">
        <v>10</v>
      </c>
      <c r="I279" s="19" t="n">
        <v>18000</v>
      </c>
      <c r="J279" s="19" t="n">
        <v>20000</v>
      </c>
      <c r="K279" s="10" t="n">
        <v>1000</v>
      </c>
      <c r="L279" s="10" t="n">
        <v>1191</v>
      </c>
      <c r="M279" s="10" t="n">
        <v>14</v>
      </c>
      <c r="N279" s="11" t="n">
        <v>9.6</v>
      </c>
      <c r="O279" s="18" t="s">
        <v>56</v>
      </c>
    </row>
    <row r="280" customFormat="false" ht="15" hidden="false" customHeight="false" outlineLevel="0" collapsed="false">
      <c r="A280" s="18" t="n">
        <v>35405678</v>
      </c>
      <c r="B280" s="10" t="n">
        <v>572</v>
      </c>
      <c r="C280" s="18" t="s">
        <v>43</v>
      </c>
      <c r="D280" s="15" t="s">
        <v>1233</v>
      </c>
      <c r="E280" s="15" t="s">
        <v>1234</v>
      </c>
      <c r="F280" s="9" t="s">
        <v>1235</v>
      </c>
      <c r="G280" s="10" t="n">
        <v>2017</v>
      </c>
      <c r="H280" s="10" t="n">
        <v>0</v>
      </c>
      <c r="I280" s="19" t="n">
        <v>33000</v>
      </c>
      <c r="J280" s="19" t="n">
        <v>33000</v>
      </c>
      <c r="K280" s="10" t="n">
        <v>0</v>
      </c>
      <c r="L280" s="10" t="n">
        <v>1773</v>
      </c>
      <c r="M280" s="10" t="n">
        <v>6</v>
      </c>
      <c r="N280" s="11" t="n">
        <v>9.7</v>
      </c>
      <c r="O280" s="18" t="s">
        <v>56</v>
      </c>
    </row>
    <row r="281" customFormat="false" ht="15" hidden="false" customHeight="false" outlineLevel="0" collapsed="false">
      <c r="A281" s="18" t="n">
        <v>4130988</v>
      </c>
      <c r="B281" s="10" t="n">
        <v>574</v>
      </c>
      <c r="C281" s="18" t="s">
        <v>43</v>
      </c>
      <c r="D281" s="9" t="s">
        <v>1238</v>
      </c>
      <c r="E281" s="9" t="s">
        <v>1239</v>
      </c>
      <c r="F281" s="9" t="s">
        <v>1240</v>
      </c>
      <c r="G281" s="10" t="n">
        <v>2010</v>
      </c>
      <c r="H281" s="10" t="n">
        <v>10</v>
      </c>
      <c r="I281" s="19" t="n">
        <v>22500</v>
      </c>
      <c r="J281" s="19" t="n">
        <v>25000</v>
      </c>
      <c r="K281" s="10" t="n">
        <v>1250</v>
      </c>
      <c r="L281" s="10" t="n">
        <v>1320</v>
      </c>
      <c r="M281" s="10" t="n">
        <v>6</v>
      </c>
      <c r="N281" s="11" t="n">
        <v>10</v>
      </c>
      <c r="O281" s="18" t="s">
        <v>56</v>
      </c>
    </row>
    <row r="282" customFormat="false" ht="15" hidden="false" customHeight="false" outlineLevel="0" collapsed="false">
      <c r="A282" s="18" t="n">
        <v>3683839</v>
      </c>
      <c r="B282" s="10" t="n">
        <v>575</v>
      </c>
      <c r="C282" s="18" t="s">
        <v>43</v>
      </c>
      <c r="D282" s="9" t="s">
        <v>1241</v>
      </c>
      <c r="E282" s="9" t="s">
        <v>1242</v>
      </c>
      <c r="F282" s="15" t="s">
        <v>1243</v>
      </c>
      <c r="G282" s="10" t="n">
        <v>2010</v>
      </c>
      <c r="H282" s="10" t="n">
        <v>10</v>
      </c>
      <c r="I282" s="19" t="n">
        <v>16200</v>
      </c>
      <c r="J282" s="19" t="n">
        <v>18000</v>
      </c>
      <c r="K282" s="10" t="n">
        <v>900</v>
      </c>
      <c r="L282" s="10" t="n">
        <v>852</v>
      </c>
      <c r="M282" s="10" t="n">
        <v>4</v>
      </c>
      <c r="N282" s="11" t="n">
        <v>9</v>
      </c>
      <c r="O282" s="18" t="s">
        <v>56</v>
      </c>
    </row>
    <row r="283" customFormat="false" ht="15" hidden="false" customHeight="false" outlineLevel="0" collapsed="false">
      <c r="A283" s="18" t="n">
        <v>189886108</v>
      </c>
      <c r="B283" s="10" t="n">
        <v>577</v>
      </c>
      <c r="C283" s="18" t="s">
        <v>43</v>
      </c>
      <c r="D283" s="9" t="s">
        <v>1246</v>
      </c>
      <c r="E283" s="9" t="s">
        <v>1247</v>
      </c>
      <c r="F283" s="9" t="s">
        <v>1248</v>
      </c>
      <c r="G283" s="10" t="n">
        <v>2026</v>
      </c>
      <c r="H283" s="10" t="n">
        <v>10</v>
      </c>
      <c r="I283" s="19" t="n">
        <v>10710</v>
      </c>
      <c r="J283" s="19" t="n">
        <v>11900</v>
      </c>
      <c r="K283" s="10" t="n">
        <v>590</v>
      </c>
      <c r="L283" s="10" t="n">
        <v>120</v>
      </c>
      <c r="M283" s="10" t="n">
        <v>0</v>
      </c>
      <c r="N283" s="11" t="n">
        <v>0</v>
      </c>
      <c r="O283" s="18" t="s">
        <v>56</v>
      </c>
    </row>
    <row r="284" customFormat="false" ht="15" hidden="false" customHeight="false" outlineLevel="0" collapsed="false">
      <c r="A284" s="18" t="n">
        <v>189627877</v>
      </c>
      <c r="B284" s="10" t="n">
        <v>578</v>
      </c>
      <c r="C284" s="18" t="s">
        <v>43</v>
      </c>
      <c r="D284" s="9" t="s">
        <v>1249</v>
      </c>
      <c r="E284" s="9" t="s">
        <v>1250</v>
      </c>
      <c r="F284" s="9" t="s">
        <v>564</v>
      </c>
      <c r="G284" s="10" t="n">
        <v>2026</v>
      </c>
      <c r="H284" s="10" t="n">
        <v>10</v>
      </c>
      <c r="I284" s="19" t="n">
        <v>22500</v>
      </c>
      <c r="J284" s="19" t="n">
        <v>25000</v>
      </c>
      <c r="K284" s="10" t="n">
        <v>1250</v>
      </c>
      <c r="L284" s="10" t="n">
        <v>498</v>
      </c>
      <c r="M284" s="10" t="n">
        <v>0</v>
      </c>
      <c r="N284" s="11" t="n">
        <v>0</v>
      </c>
      <c r="O284" s="18" t="s">
        <v>56</v>
      </c>
    </row>
    <row r="285" customFormat="false" ht="15" hidden="false" customHeight="false" outlineLevel="0" collapsed="false">
      <c r="A285" s="18" t="n">
        <v>189335830</v>
      </c>
      <c r="B285" s="10" t="n">
        <v>579</v>
      </c>
      <c r="C285" s="18" t="s">
        <v>43</v>
      </c>
      <c r="D285" s="9" t="s">
        <v>1251</v>
      </c>
      <c r="E285" s="9" t="s">
        <v>1252</v>
      </c>
      <c r="F285" s="9" t="s">
        <v>1253</v>
      </c>
      <c r="G285" s="10" t="n">
        <v>2026</v>
      </c>
      <c r="H285" s="10" t="n">
        <v>10</v>
      </c>
      <c r="I285" s="19" t="n">
        <v>20700</v>
      </c>
      <c r="J285" s="19" t="n">
        <v>23000</v>
      </c>
      <c r="K285" s="10" t="n">
        <v>1150</v>
      </c>
      <c r="L285" s="10" t="n">
        <v>372</v>
      </c>
      <c r="M285" s="10" t="n">
        <v>5</v>
      </c>
      <c r="N285" s="11" t="n">
        <v>10</v>
      </c>
      <c r="O285" s="18" t="s">
        <v>56</v>
      </c>
    </row>
    <row r="286" customFormat="false" ht="15" hidden="false" customHeight="false" outlineLevel="0" collapsed="false">
      <c r="A286" s="18" t="n">
        <v>188906357</v>
      </c>
      <c r="B286" s="10" t="n">
        <v>580</v>
      </c>
      <c r="C286" s="18" t="s">
        <v>43</v>
      </c>
      <c r="D286" s="15" t="s">
        <v>1254</v>
      </c>
      <c r="E286" s="9" t="s">
        <v>1255</v>
      </c>
      <c r="F286" s="9" t="s">
        <v>1256</v>
      </c>
      <c r="G286" s="10" t="n">
        <v>2026</v>
      </c>
      <c r="H286" s="10" t="n">
        <v>5</v>
      </c>
      <c r="I286" s="19" t="n">
        <v>19000</v>
      </c>
      <c r="J286" s="19" t="n">
        <v>20000</v>
      </c>
      <c r="K286" s="10" t="n">
        <v>400</v>
      </c>
      <c r="L286" s="10" t="n">
        <v>615</v>
      </c>
      <c r="M286" s="10" t="n">
        <v>2</v>
      </c>
      <c r="N286" s="11" t="n">
        <v>10</v>
      </c>
      <c r="O286" s="18" t="s">
        <v>56</v>
      </c>
    </row>
    <row r="287" customFormat="false" ht="15" hidden="false" customHeight="false" outlineLevel="0" collapsed="false">
      <c r="A287" s="18" t="n">
        <v>186141317</v>
      </c>
      <c r="B287" s="10" t="n">
        <v>581</v>
      </c>
      <c r="C287" s="18" t="s">
        <v>43</v>
      </c>
      <c r="D287" s="15" t="s">
        <v>1257</v>
      </c>
      <c r="E287" s="9" t="s">
        <v>1258</v>
      </c>
      <c r="F287" s="9" t="s">
        <v>1259</v>
      </c>
      <c r="G287" s="10" t="n">
        <v>2026</v>
      </c>
      <c r="H287" s="10" t="n">
        <v>10</v>
      </c>
      <c r="I287" s="19" t="n">
        <v>17100</v>
      </c>
      <c r="J287" s="19" t="n">
        <v>19000</v>
      </c>
      <c r="K287" s="10" t="n">
        <v>950</v>
      </c>
      <c r="L287" s="10" t="n">
        <v>918</v>
      </c>
      <c r="M287" s="10" t="n">
        <v>2</v>
      </c>
      <c r="N287" s="11" t="n">
        <v>10</v>
      </c>
      <c r="O287" s="18" t="s">
        <v>56</v>
      </c>
    </row>
    <row r="288" customFormat="false" ht="15" hidden="false" customHeight="false" outlineLevel="0" collapsed="false">
      <c r="A288" s="18" t="n">
        <v>180386716</v>
      </c>
      <c r="B288" s="10" t="n">
        <v>583</v>
      </c>
      <c r="C288" s="18" t="s">
        <v>43</v>
      </c>
      <c r="D288" s="15" t="s">
        <v>1262</v>
      </c>
      <c r="E288" s="9" t="s">
        <v>1263</v>
      </c>
      <c r="F288" s="9" t="s">
        <v>870</v>
      </c>
      <c r="G288" s="10" t="n">
        <v>2026</v>
      </c>
      <c r="H288" s="10" t="n">
        <v>10</v>
      </c>
      <c r="I288" s="19" t="n">
        <v>22500</v>
      </c>
      <c r="J288" s="19" t="n">
        <v>25000</v>
      </c>
      <c r="K288" s="10" t="n">
        <v>1250</v>
      </c>
      <c r="L288" s="10" t="n">
        <v>1218</v>
      </c>
      <c r="M288" s="10" t="n">
        <v>5</v>
      </c>
      <c r="N288" s="11" t="n">
        <v>10</v>
      </c>
      <c r="O288" s="18" t="s">
        <v>56</v>
      </c>
    </row>
    <row r="289" customFormat="false" ht="15" hidden="false" customHeight="false" outlineLevel="0" collapsed="false">
      <c r="A289" s="18" t="n">
        <v>151789145</v>
      </c>
      <c r="B289" s="10" t="n">
        <v>584</v>
      </c>
      <c r="C289" s="18" t="s">
        <v>43</v>
      </c>
      <c r="D289" s="15" t="s">
        <v>1264</v>
      </c>
      <c r="E289" s="9" t="s">
        <v>1265</v>
      </c>
      <c r="F289" s="15" t="s">
        <v>680</v>
      </c>
      <c r="G289" s="10" t="n">
        <v>2025</v>
      </c>
      <c r="H289" s="10" t="n">
        <v>5</v>
      </c>
      <c r="I289" s="19" t="n">
        <v>28500</v>
      </c>
      <c r="J289" s="19" t="n">
        <v>30000</v>
      </c>
      <c r="K289" s="10" t="n">
        <v>900</v>
      </c>
      <c r="L289" s="10" t="n">
        <v>948</v>
      </c>
      <c r="M289" s="10" t="n">
        <v>1</v>
      </c>
      <c r="N289" s="11" t="n">
        <v>10</v>
      </c>
      <c r="O289" s="18" t="s">
        <v>56</v>
      </c>
    </row>
    <row r="290" customFormat="false" ht="15" hidden="false" customHeight="false" outlineLevel="0" collapsed="false">
      <c r="A290" s="18" t="n">
        <v>138519583</v>
      </c>
      <c r="B290" s="10" t="n">
        <v>588</v>
      </c>
      <c r="C290" s="18" t="s">
        <v>43</v>
      </c>
      <c r="D290" s="9" t="s">
        <v>1272</v>
      </c>
      <c r="E290" s="9" t="s">
        <v>1273</v>
      </c>
      <c r="F290" s="9" t="s">
        <v>1274</v>
      </c>
      <c r="G290" s="10" t="n">
        <v>2024</v>
      </c>
      <c r="H290" s="10" t="n">
        <v>0</v>
      </c>
      <c r="I290" s="19" t="n">
        <v>27000</v>
      </c>
      <c r="J290" s="19" t="n">
        <v>27000</v>
      </c>
      <c r="K290" s="10" t="n">
        <v>0</v>
      </c>
      <c r="L290" s="10" t="n">
        <v>528</v>
      </c>
      <c r="M290" s="10" t="n">
        <v>2</v>
      </c>
      <c r="N290" s="11" t="n">
        <v>10</v>
      </c>
      <c r="O290" s="18" t="s">
        <v>56</v>
      </c>
    </row>
    <row r="291" customFormat="false" ht="15" hidden="false" customHeight="false" outlineLevel="0" collapsed="false">
      <c r="A291" s="18" t="n">
        <v>104410708</v>
      </c>
      <c r="B291" s="10" t="n">
        <v>590</v>
      </c>
      <c r="C291" s="18" t="s">
        <v>43</v>
      </c>
      <c r="D291" s="9" t="s">
        <v>1277</v>
      </c>
      <c r="E291" s="9" t="s">
        <v>1278</v>
      </c>
      <c r="F291" s="9" t="s">
        <v>88</v>
      </c>
      <c r="G291" s="10" t="n">
        <v>2021</v>
      </c>
      <c r="H291" s="10" t="n">
        <v>10</v>
      </c>
      <c r="I291" s="19" t="n">
        <v>29700</v>
      </c>
      <c r="J291" s="19" t="n">
        <v>33000</v>
      </c>
      <c r="K291" s="10" t="n">
        <v>1650</v>
      </c>
      <c r="L291" s="10" t="n">
        <v>678</v>
      </c>
      <c r="M291" s="10" t="n">
        <v>4</v>
      </c>
      <c r="N291" s="11" t="n">
        <v>10</v>
      </c>
      <c r="O291" s="18" t="s">
        <v>46</v>
      </c>
    </row>
    <row r="292" customFormat="false" ht="15" hidden="false" customHeight="false" outlineLevel="0" collapsed="false">
      <c r="A292" s="18" t="n">
        <v>190408429</v>
      </c>
      <c r="B292" s="10" t="n">
        <v>591</v>
      </c>
      <c r="C292" s="18" t="s">
        <v>43</v>
      </c>
      <c r="D292" s="15" t="s">
        <v>1279</v>
      </c>
      <c r="E292" s="9" t="s">
        <v>1137</v>
      </c>
      <c r="F292" s="9" t="s">
        <v>1280</v>
      </c>
      <c r="G292" s="10" t="n">
        <v>2026</v>
      </c>
      <c r="H292" s="10" t="n">
        <v>0</v>
      </c>
      <c r="I292" s="19" t="n">
        <v>39800</v>
      </c>
      <c r="J292" s="19" t="n">
        <v>39800</v>
      </c>
      <c r="K292" s="10" t="n">
        <v>0</v>
      </c>
      <c r="L292" s="10" t="n">
        <v>60</v>
      </c>
      <c r="M292" s="10" t="n">
        <v>0</v>
      </c>
      <c r="N292" s="11" t="n">
        <v>0</v>
      </c>
      <c r="O292" s="18" t="s">
        <v>56</v>
      </c>
    </row>
    <row r="293" customFormat="false" ht="15" hidden="false" customHeight="false" outlineLevel="0" collapsed="false">
      <c r="A293" s="18" t="n">
        <v>190271690</v>
      </c>
      <c r="B293" s="10" t="n">
        <v>592</v>
      </c>
      <c r="C293" s="18" t="s">
        <v>43</v>
      </c>
      <c r="D293" s="9" t="s">
        <v>1281</v>
      </c>
      <c r="E293" s="9" t="s">
        <v>1282</v>
      </c>
      <c r="F293" s="15" t="s">
        <v>561</v>
      </c>
      <c r="G293" s="10" t="n">
        <v>2026</v>
      </c>
      <c r="H293" s="10" t="n">
        <v>0</v>
      </c>
      <c r="I293" s="19" t="n">
        <v>26600</v>
      </c>
      <c r="J293" s="19" t="n">
        <v>26600</v>
      </c>
      <c r="K293" s="10" t="n">
        <v>0</v>
      </c>
      <c r="L293" s="10" t="n">
        <v>60</v>
      </c>
      <c r="M293" s="10" t="n">
        <v>0</v>
      </c>
      <c r="N293" s="11" t="n">
        <v>0</v>
      </c>
      <c r="O293" s="18" t="s">
        <v>56</v>
      </c>
    </row>
    <row r="294" customFormat="false" ht="15" hidden="false" customHeight="false" outlineLevel="0" collapsed="false">
      <c r="A294" s="18" t="n">
        <v>190212039</v>
      </c>
      <c r="B294" s="10" t="n">
        <v>593</v>
      </c>
      <c r="C294" s="18" t="s">
        <v>43</v>
      </c>
      <c r="D294" s="9" t="s">
        <v>1283</v>
      </c>
      <c r="E294" s="9" t="s">
        <v>1140</v>
      </c>
      <c r="F294" s="9" t="s">
        <v>161</v>
      </c>
      <c r="G294" s="10" t="n">
        <v>2026</v>
      </c>
      <c r="H294" s="10" t="n">
        <v>10</v>
      </c>
      <c r="I294" s="19" t="n">
        <v>13500</v>
      </c>
      <c r="J294" s="19" t="n">
        <v>15000</v>
      </c>
      <c r="K294" s="10" t="n">
        <v>750</v>
      </c>
      <c r="L294" s="10" t="n">
        <v>60</v>
      </c>
      <c r="M294" s="10" t="n">
        <v>0</v>
      </c>
      <c r="N294" s="11" t="n">
        <v>0</v>
      </c>
      <c r="O294" s="18" t="s">
        <v>56</v>
      </c>
    </row>
    <row r="295" customFormat="false" ht="15" hidden="false" customHeight="false" outlineLevel="0" collapsed="false">
      <c r="A295" s="18" t="n">
        <v>190210824</v>
      </c>
      <c r="B295" s="10" t="n">
        <v>594</v>
      </c>
      <c r="C295" s="18" t="s">
        <v>43</v>
      </c>
      <c r="D295" s="15" t="s">
        <v>1284</v>
      </c>
      <c r="E295" s="9" t="s">
        <v>1285</v>
      </c>
      <c r="F295" s="9" t="s">
        <v>25</v>
      </c>
      <c r="G295" s="10" t="n">
        <v>2026</v>
      </c>
      <c r="H295" s="10" t="n">
        <v>0</v>
      </c>
      <c r="I295" s="19" t="n">
        <v>12000</v>
      </c>
      <c r="J295" s="19" t="n">
        <v>12000</v>
      </c>
      <c r="K295" s="10" t="n">
        <v>0</v>
      </c>
      <c r="L295" s="10" t="n">
        <v>60</v>
      </c>
      <c r="M295" s="10" t="n">
        <v>0</v>
      </c>
      <c r="N295" s="11" t="n">
        <v>0</v>
      </c>
      <c r="O295" s="18" t="s">
        <v>56</v>
      </c>
    </row>
    <row r="296" customFormat="false" ht="15" hidden="false" customHeight="false" outlineLevel="0" collapsed="false">
      <c r="A296" s="18" t="n">
        <v>189858146</v>
      </c>
      <c r="B296" s="10" t="n">
        <v>595</v>
      </c>
      <c r="C296" s="18" t="s">
        <v>43</v>
      </c>
      <c r="D296" s="9" t="s">
        <v>1286</v>
      </c>
      <c r="E296" s="9" t="s">
        <v>1287</v>
      </c>
      <c r="F296" s="9" t="s">
        <v>1280</v>
      </c>
      <c r="G296" s="10" t="n">
        <v>2026</v>
      </c>
      <c r="H296" s="10" t="n">
        <v>0</v>
      </c>
      <c r="I296" s="19" t="n">
        <v>39800</v>
      </c>
      <c r="J296" s="19" t="n">
        <v>39800</v>
      </c>
      <c r="K296" s="10" t="n">
        <v>0</v>
      </c>
      <c r="L296" s="10" t="n">
        <v>102</v>
      </c>
      <c r="M296" s="10" t="n">
        <v>1</v>
      </c>
      <c r="N296" s="11" t="n">
        <v>10</v>
      </c>
      <c r="O296" s="18" t="s">
        <v>56</v>
      </c>
    </row>
    <row r="297" customFormat="false" ht="15" hidden="false" customHeight="false" outlineLevel="0" collapsed="false">
      <c r="A297" s="18" t="n">
        <v>189610283</v>
      </c>
      <c r="B297" s="10" t="n">
        <v>597</v>
      </c>
      <c r="C297" s="18" t="s">
        <v>43</v>
      </c>
      <c r="D297" s="9" t="s">
        <v>1290</v>
      </c>
      <c r="E297" s="9" t="s">
        <v>1291</v>
      </c>
      <c r="F297" s="9" t="s">
        <v>747</v>
      </c>
      <c r="G297" s="10" t="n">
        <v>2026</v>
      </c>
      <c r="H297" s="10" t="n">
        <v>10</v>
      </c>
      <c r="I297" s="19" t="n">
        <v>18900</v>
      </c>
      <c r="J297" s="19" t="n">
        <v>21000</v>
      </c>
      <c r="K297" s="10" t="n">
        <v>1050</v>
      </c>
      <c r="L297" s="10" t="n">
        <v>228</v>
      </c>
      <c r="M297" s="10" t="n">
        <v>0</v>
      </c>
      <c r="N297" s="11" t="n">
        <v>0</v>
      </c>
      <c r="O297" s="18" t="s">
        <v>56</v>
      </c>
    </row>
    <row r="298" customFormat="false" ht="15" hidden="false" customHeight="false" outlineLevel="0" collapsed="false">
      <c r="A298" s="18" t="n">
        <v>189602911</v>
      </c>
      <c r="B298" s="10" t="n">
        <v>598</v>
      </c>
      <c r="C298" s="18" t="s">
        <v>43</v>
      </c>
      <c r="D298" s="9" t="s">
        <v>1292</v>
      </c>
      <c r="E298" s="9" t="s">
        <v>403</v>
      </c>
      <c r="F298" s="9" t="s">
        <v>161</v>
      </c>
      <c r="G298" s="10" t="n">
        <v>2026</v>
      </c>
      <c r="H298" s="10" t="n">
        <v>10</v>
      </c>
      <c r="I298" s="19" t="n">
        <v>12600</v>
      </c>
      <c r="J298" s="19" t="n">
        <v>14000</v>
      </c>
      <c r="K298" s="10" t="n">
        <v>700</v>
      </c>
      <c r="L298" s="10" t="n">
        <v>102</v>
      </c>
      <c r="M298" s="10" t="n">
        <v>0</v>
      </c>
      <c r="N298" s="11" t="n">
        <v>0</v>
      </c>
      <c r="O298" s="18" t="s">
        <v>56</v>
      </c>
    </row>
    <row r="299" customFormat="false" ht="15" hidden="false" customHeight="false" outlineLevel="0" collapsed="false">
      <c r="A299" s="18" t="n">
        <v>189522258</v>
      </c>
      <c r="B299" s="10" t="n">
        <v>599</v>
      </c>
      <c r="C299" s="18" t="s">
        <v>43</v>
      </c>
      <c r="D299" s="15" t="s">
        <v>1293</v>
      </c>
      <c r="E299" s="9" t="s">
        <v>1294</v>
      </c>
      <c r="F299" s="9" t="s">
        <v>231</v>
      </c>
      <c r="G299" s="10" t="n">
        <v>2026</v>
      </c>
      <c r="H299" s="10" t="n">
        <v>10</v>
      </c>
      <c r="I299" s="19" t="n">
        <v>24300</v>
      </c>
      <c r="J299" s="19" t="n">
        <v>27000</v>
      </c>
      <c r="K299" s="10" t="n">
        <v>1350</v>
      </c>
      <c r="L299" s="10" t="n">
        <v>690</v>
      </c>
      <c r="M299" s="10" t="n">
        <v>0</v>
      </c>
      <c r="N299" s="11" t="n">
        <v>0</v>
      </c>
      <c r="O299" s="18" t="s">
        <v>56</v>
      </c>
    </row>
    <row r="300" customFormat="false" ht="15" hidden="false" customHeight="false" outlineLevel="0" collapsed="false">
      <c r="A300" s="18" t="n">
        <v>189439423</v>
      </c>
      <c r="B300" s="10" t="n">
        <v>600</v>
      </c>
      <c r="C300" s="18" t="s">
        <v>43</v>
      </c>
      <c r="D300" s="9" t="s">
        <v>1295</v>
      </c>
      <c r="E300" s="9" t="s">
        <v>1296</v>
      </c>
      <c r="F300" s="15" t="s">
        <v>561</v>
      </c>
      <c r="G300" s="10" t="n">
        <v>2026</v>
      </c>
      <c r="H300" s="10" t="n">
        <v>0</v>
      </c>
      <c r="I300" s="19" t="n">
        <v>9300</v>
      </c>
      <c r="J300" s="19" t="n">
        <v>9300</v>
      </c>
      <c r="K300" s="10" t="n">
        <v>0</v>
      </c>
      <c r="L300" s="10" t="n">
        <v>318</v>
      </c>
      <c r="M300" s="10" t="n">
        <v>0</v>
      </c>
      <c r="N300" s="11" t="n">
        <v>0</v>
      </c>
      <c r="O300" s="18" t="s">
        <v>56</v>
      </c>
    </row>
    <row r="301" customFormat="false" ht="15" hidden="false" customHeight="false" outlineLevel="0" collapsed="false">
      <c r="A301" s="18" t="n">
        <v>189428579</v>
      </c>
      <c r="B301" s="10" t="n">
        <v>601</v>
      </c>
      <c r="C301" s="18" t="s">
        <v>43</v>
      </c>
      <c r="D301" s="9" t="s">
        <v>1297</v>
      </c>
      <c r="E301" s="15" t="s">
        <v>1298</v>
      </c>
      <c r="F301" s="9" t="s">
        <v>422</v>
      </c>
      <c r="G301" s="10" t="n">
        <v>2026</v>
      </c>
      <c r="H301" s="10" t="n">
        <v>10</v>
      </c>
      <c r="I301" s="19" t="n">
        <v>30600</v>
      </c>
      <c r="J301" s="19" t="n">
        <v>34000</v>
      </c>
      <c r="K301" s="10" t="n">
        <v>1700</v>
      </c>
      <c r="L301" s="10" t="n">
        <v>186</v>
      </c>
      <c r="M301" s="10" t="n">
        <v>3</v>
      </c>
      <c r="N301" s="11" t="n">
        <v>8</v>
      </c>
      <c r="O301" s="18" t="s">
        <v>56</v>
      </c>
    </row>
    <row r="302" customFormat="false" ht="15" hidden="false" customHeight="false" outlineLevel="0" collapsed="false">
      <c r="A302" s="18" t="n">
        <v>189205583</v>
      </c>
      <c r="B302" s="10" t="n">
        <v>603</v>
      </c>
      <c r="C302" s="18" t="s">
        <v>43</v>
      </c>
      <c r="D302" s="9" t="s">
        <v>1301</v>
      </c>
      <c r="E302" s="9" t="s">
        <v>1302</v>
      </c>
      <c r="F302" s="9" t="s">
        <v>1303</v>
      </c>
      <c r="G302" s="10" t="n">
        <v>2026</v>
      </c>
      <c r="H302" s="10" t="n">
        <v>5</v>
      </c>
      <c r="I302" s="19" t="n">
        <v>20900</v>
      </c>
      <c r="J302" s="19" t="n">
        <v>22000</v>
      </c>
      <c r="K302" s="10" t="n">
        <v>440</v>
      </c>
      <c r="L302" s="10" t="n">
        <v>186</v>
      </c>
      <c r="M302" s="10" t="n">
        <v>0</v>
      </c>
      <c r="N302" s="11" t="n">
        <v>0</v>
      </c>
      <c r="O302" s="18" t="s">
        <v>56</v>
      </c>
    </row>
    <row r="303" customFormat="false" ht="15" hidden="false" customHeight="false" outlineLevel="0" collapsed="false">
      <c r="A303" s="18" t="n">
        <v>189117532</v>
      </c>
      <c r="B303" s="10" t="n">
        <v>604</v>
      </c>
      <c r="C303" s="18" t="s">
        <v>43</v>
      </c>
      <c r="D303" s="9" t="s">
        <v>1304</v>
      </c>
      <c r="E303" s="9" t="s">
        <v>1305</v>
      </c>
      <c r="F303" s="9" t="s">
        <v>1306</v>
      </c>
      <c r="G303" s="10" t="n">
        <v>2026</v>
      </c>
      <c r="H303" s="10" t="n">
        <v>0</v>
      </c>
      <c r="I303" s="19" t="n">
        <v>30000</v>
      </c>
      <c r="J303" s="19" t="n">
        <v>30000</v>
      </c>
      <c r="K303" s="10" t="n">
        <v>0</v>
      </c>
      <c r="L303" s="10" t="n">
        <v>144</v>
      </c>
      <c r="M303" s="10" t="n">
        <v>0</v>
      </c>
      <c r="N303" s="11" t="n">
        <v>0</v>
      </c>
      <c r="O303" s="18" t="s">
        <v>56</v>
      </c>
    </row>
    <row r="304" customFormat="false" ht="15" hidden="false" customHeight="false" outlineLevel="0" collapsed="false">
      <c r="A304" s="18" t="n">
        <v>188936904</v>
      </c>
      <c r="B304" s="10" t="n">
        <v>606</v>
      </c>
      <c r="C304" s="18" t="s">
        <v>43</v>
      </c>
      <c r="D304" s="15" t="s">
        <v>1309</v>
      </c>
      <c r="E304" s="9" t="s">
        <v>1310</v>
      </c>
      <c r="F304" s="9" t="s">
        <v>1311</v>
      </c>
      <c r="G304" s="10" t="n">
        <v>2026</v>
      </c>
      <c r="H304" s="10" t="n">
        <v>0</v>
      </c>
      <c r="I304" s="19" t="n">
        <v>20000</v>
      </c>
      <c r="J304" s="19" t="n">
        <v>20000</v>
      </c>
      <c r="K304" s="10" t="n">
        <v>0</v>
      </c>
      <c r="L304" s="10" t="n">
        <v>102</v>
      </c>
      <c r="M304" s="10" t="n">
        <v>0</v>
      </c>
      <c r="N304" s="11" t="n">
        <v>0</v>
      </c>
      <c r="O304" s="18" t="s">
        <v>56</v>
      </c>
    </row>
    <row r="305" customFormat="false" ht="15" hidden="false" customHeight="false" outlineLevel="0" collapsed="false">
      <c r="A305" s="18" t="n">
        <v>188831194</v>
      </c>
      <c r="B305" s="10" t="n">
        <v>607</v>
      </c>
      <c r="C305" s="18" t="s">
        <v>43</v>
      </c>
      <c r="D305" s="9" t="s">
        <v>1312</v>
      </c>
      <c r="E305" s="9" t="s">
        <v>1313</v>
      </c>
      <c r="F305" s="15" t="s">
        <v>561</v>
      </c>
      <c r="G305" s="10" t="n">
        <v>2026</v>
      </c>
      <c r="H305" s="10" t="n">
        <v>0</v>
      </c>
      <c r="I305" s="19" t="n">
        <v>29000</v>
      </c>
      <c r="J305" s="19" t="n">
        <v>29000</v>
      </c>
      <c r="K305" s="10" t="n">
        <v>0</v>
      </c>
      <c r="L305" s="10" t="n">
        <v>114</v>
      </c>
      <c r="M305" s="10" t="n">
        <v>0</v>
      </c>
      <c r="N305" s="11" t="n">
        <v>0</v>
      </c>
      <c r="O305" s="18" t="s">
        <v>56</v>
      </c>
    </row>
    <row r="306" customFormat="false" ht="15" hidden="false" customHeight="false" outlineLevel="0" collapsed="false">
      <c r="A306" s="18" t="n">
        <v>188601208</v>
      </c>
      <c r="B306" s="10" t="n">
        <v>608</v>
      </c>
      <c r="C306" s="18" t="s">
        <v>43</v>
      </c>
      <c r="D306" s="9" t="s">
        <v>1314</v>
      </c>
      <c r="E306" s="9" t="s">
        <v>1315</v>
      </c>
      <c r="F306" s="9" t="s">
        <v>1316</v>
      </c>
      <c r="G306" s="10" t="n">
        <v>2026</v>
      </c>
      <c r="H306" s="10" t="n">
        <v>10</v>
      </c>
      <c r="I306" s="19" t="n">
        <v>13500</v>
      </c>
      <c r="J306" s="19" t="n">
        <v>15000</v>
      </c>
      <c r="K306" s="10" t="n">
        <v>750</v>
      </c>
      <c r="L306" s="10" t="n">
        <v>324</v>
      </c>
      <c r="M306" s="10" t="n">
        <v>0</v>
      </c>
      <c r="N306" s="11" t="n">
        <v>0</v>
      </c>
      <c r="O306" s="18" t="s">
        <v>56</v>
      </c>
    </row>
    <row r="307" customFormat="false" ht="15" hidden="false" customHeight="false" outlineLevel="0" collapsed="false">
      <c r="A307" s="18" t="n">
        <v>188187932</v>
      </c>
      <c r="B307" s="10" t="n">
        <v>609</v>
      </c>
      <c r="C307" s="18" t="s">
        <v>43</v>
      </c>
      <c r="D307" s="15" t="s">
        <v>1317</v>
      </c>
      <c r="E307" s="9" t="s">
        <v>1318</v>
      </c>
      <c r="F307" s="9" t="s">
        <v>1319</v>
      </c>
      <c r="G307" s="10" t="n">
        <v>2026</v>
      </c>
      <c r="H307" s="10" t="n">
        <v>10</v>
      </c>
      <c r="I307" s="19" t="n">
        <v>16200</v>
      </c>
      <c r="J307" s="19" t="n">
        <v>18000</v>
      </c>
      <c r="K307" s="10" t="n">
        <v>900</v>
      </c>
      <c r="L307" s="10" t="n">
        <v>84</v>
      </c>
      <c r="M307" s="10" t="n">
        <v>1</v>
      </c>
      <c r="N307" s="11" t="n">
        <v>10</v>
      </c>
      <c r="O307" s="18" t="s">
        <v>56</v>
      </c>
    </row>
    <row r="308" customFormat="false" ht="15" hidden="false" customHeight="false" outlineLevel="0" collapsed="false">
      <c r="A308" s="18" t="n">
        <v>187593532</v>
      </c>
      <c r="B308" s="10" t="n">
        <v>611</v>
      </c>
      <c r="C308" s="18" t="s">
        <v>43</v>
      </c>
      <c r="D308" s="9" t="s">
        <v>1322</v>
      </c>
      <c r="E308" s="9" t="s">
        <v>1287</v>
      </c>
      <c r="F308" s="9" t="s">
        <v>1280</v>
      </c>
      <c r="G308" s="10" t="n">
        <v>2026</v>
      </c>
      <c r="H308" s="10" t="n">
        <v>0</v>
      </c>
      <c r="I308" s="19" t="n">
        <v>22900</v>
      </c>
      <c r="J308" s="19" t="n">
        <v>22900</v>
      </c>
      <c r="K308" s="10" t="n">
        <v>0</v>
      </c>
      <c r="L308" s="10" t="n">
        <v>60</v>
      </c>
      <c r="M308" s="10" t="n">
        <v>0</v>
      </c>
      <c r="N308" s="11" t="n">
        <v>0</v>
      </c>
      <c r="O308" s="18" t="s">
        <v>56</v>
      </c>
    </row>
    <row r="309" customFormat="false" ht="15" hidden="false" customHeight="false" outlineLevel="0" collapsed="false">
      <c r="A309" s="18" t="n">
        <v>187593518</v>
      </c>
      <c r="B309" s="10" t="n">
        <v>612</v>
      </c>
      <c r="C309" s="18" t="s">
        <v>43</v>
      </c>
      <c r="D309" s="9" t="s">
        <v>1323</v>
      </c>
      <c r="E309" s="9" t="s">
        <v>1287</v>
      </c>
      <c r="F309" s="9" t="s">
        <v>1280</v>
      </c>
      <c r="G309" s="10" t="n">
        <v>2026</v>
      </c>
      <c r="H309" s="10" t="n">
        <v>0</v>
      </c>
      <c r="I309" s="19" t="n">
        <v>30000</v>
      </c>
      <c r="J309" s="19" t="n">
        <v>30000</v>
      </c>
      <c r="K309" s="10" t="n">
        <v>0</v>
      </c>
      <c r="L309" s="10" t="n">
        <v>102</v>
      </c>
      <c r="M309" s="10" t="n">
        <v>0</v>
      </c>
      <c r="N309" s="11" t="n">
        <v>0</v>
      </c>
      <c r="O309" s="18" t="s">
        <v>56</v>
      </c>
    </row>
    <row r="310" customFormat="false" ht="15" hidden="false" customHeight="false" outlineLevel="0" collapsed="false">
      <c r="A310" s="18" t="n">
        <v>187096645</v>
      </c>
      <c r="B310" s="10" t="n">
        <v>613</v>
      </c>
      <c r="C310" s="18" t="s">
        <v>43</v>
      </c>
      <c r="D310" s="9" t="s">
        <v>1324</v>
      </c>
      <c r="E310" s="9" t="s">
        <v>1287</v>
      </c>
      <c r="F310" s="9" t="s">
        <v>1280</v>
      </c>
      <c r="G310" s="10" t="n">
        <v>2026</v>
      </c>
      <c r="H310" s="10" t="n">
        <v>0</v>
      </c>
      <c r="I310" s="19" t="n">
        <v>38900</v>
      </c>
      <c r="J310" s="19" t="n">
        <v>38900</v>
      </c>
      <c r="K310" s="10" t="n">
        <v>0</v>
      </c>
      <c r="L310" s="10" t="n">
        <v>72</v>
      </c>
      <c r="M310" s="10" t="n">
        <v>0</v>
      </c>
      <c r="N310" s="11" t="n">
        <v>0</v>
      </c>
      <c r="O310" s="18" t="s">
        <v>56</v>
      </c>
    </row>
    <row r="311" customFormat="false" ht="15" hidden="false" customHeight="false" outlineLevel="0" collapsed="false">
      <c r="A311" s="18" t="n">
        <v>186936120</v>
      </c>
      <c r="B311" s="10" t="n">
        <v>614</v>
      </c>
      <c r="C311" s="18" t="s">
        <v>43</v>
      </c>
      <c r="D311" s="9" t="s">
        <v>1325</v>
      </c>
      <c r="E311" s="9" t="s">
        <v>1326</v>
      </c>
      <c r="F311" s="9" t="s">
        <v>422</v>
      </c>
      <c r="G311" s="10" t="n">
        <v>2026</v>
      </c>
      <c r="H311" s="10" t="n">
        <v>10</v>
      </c>
      <c r="I311" s="19" t="n">
        <v>25200</v>
      </c>
      <c r="J311" s="19" t="n">
        <v>28000</v>
      </c>
      <c r="K311" s="10" t="n">
        <v>1400</v>
      </c>
      <c r="L311" s="10" t="n">
        <v>108</v>
      </c>
      <c r="M311" s="10" t="n">
        <v>2</v>
      </c>
      <c r="N311" s="11" t="n">
        <v>10</v>
      </c>
      <c r="O311" s="18" t="s">
        <v>56</v>
      </c>
    </row>
    <row r="312" customFormat="false" ht="15" hidden="false" customHeight="false" outlineLevel="0" collapsed="false">
      <c r="A312" s="18" t="n">
        <v>186711413</v>
      </c>
      <c r="B312" s="10" t="n">
        <v>615</v>
      </c>
      <c r="C312" s="18" t="s">
        <v>43</v>
      </c>
      <c r="D312" s="15" t="s">
        <v>1327</v>
      </c>
      <c r="E312" s="9" t="s">
        <v>1328</v>
      </c>
      <c r="F312" s="9" t="s">
        <v>751</v>
      </c>
      <c r="G312" s="10" t="n">
        <v>2026</v>
      </c>
      <c r="H312" s="10" t="n">
        <v>10</v>
      </c>
      <c r="I312" s="19" t="n">
        <v>15120</v>
      </c>
      <c r="J312" s="19" t="n">
        <v>16800</v>
      </c>
      <c r="K312" s="10" t="n">
        <v>840</v>
      </c>
      <c r="L312" s="10" t="n">
        <v>144</v>
      </c>
      <c r="M312" s="10" t="n">
        <v>20</v>
      </c>
      <c r="N312" s="11" t="n">
        <v>9.6</v>
      </c>
      <c r="O312" s="18" t="s">
        <v>56</v>
      </c>
    </row>
    <row r="313" customFormat="false" ht="15" hidden="false" customHeight="false" outlineLevel="0" collapsed="false">
      <c r="A313" s="18" t="n">
        <v>186697457</v>
      </c>
      <c r="B313" s="10" t="n">
        <v>616</v>
      </c>
      <c r="C313" s="18" t="s">
        <v>43</v>
      </c>
      <c r="D313" s="9" t="s">
        <v>1329</v>
      </c>
      <c r="E313" s="9" t="s">
        <v>1330</v>
      </c>
      <c r="F313" s="9" t="s">
        <v>1331</v>
      </c>
      <c r="G313" s="10" t="n">
        <v>2026</v>
      </c>
      <c r="H313" s="10" t="n">
        <v>10</v>
      </c>
      <c r="I313" s="19" t="n">
        <v>21600</v>
      </c>
      <c r="J313" s="19" t="n">
        <v>24000</v>
      </c>
      <c r="K313" s="10" t="n">
        <v>1200</v>
      </c>
      <c r="L313" s="10" t="n">
        <v>96</v>
      </c>
      <c r="M313" s="10" t="n">
        <v>0</v>
      </c>
      <c r="N313" s="11" t="n">
        <v>0</v>
      </c>
      <c r="O313" s="18" t="s">
        <v>56</v>
      </c>
    </row>
    <row r="314" customFormat="false" ht="15" hidden="false" customHeight="false" outlineLevel="0" collapsed="false">
      <c r="A314" s="18" t="n">
        <v>186675889</v>
      </c>
      <c r="B314" s="10" t="n">
        <v>617</v>
      </c>
      <c r="C314" s="18" t="s">
        <v>43</v>
      </c>
      <c r="D314" s="9" t="s">
        <v>1332</v>
      </c>
      <c r="E314" s="9" t="s">
        <v>1296</v>
      </c>
      <c r="F314" s="15" t="s">
        <v>561</v>
      </c>
      <c r="G314" s="10" t="n">
        <v>2026</v>
      </c>
      <c r="H314" s="10" t="n">
        <v>0</v>
      </c>
      <c r="I314" s="19" t="n">
        <v>8800</v>
      </c>
      <c r="J314" s="19" t="n">
        <v>8800</v>
      </c>
      <c r="K314" s="10" t="n">
        <v>0</v>
      </c>
      <c r="L314" s="10" t="n">
        <v>216</v>
      </c>
      <c r="M314" s="10" t="n">
        <v>0</v>
      </c>
      <c r="N314" s="11" t="n">
        <v>0</v>
      </c>
      <c r="O314" s="18" t="s">
        <v>56</v>
      </c>
    </row>
    <row r="315" customFormat="false" ht="15" hidden="false" customHeight="false" outlineLevel="0" collapsed="false">
      <c r="A315" s="18" t="n">
        <v>185712954</v>
      </c>
      <c r="B315" s="10" t="n">
        <v>619</v>
      </c>
      <c r="C315" s="18" t="s">
        <v>43</v>
      </c>
      <c r="D315" s="9" t="s">
        <v>1335</v>
      </c>
      <c r="E315" s="9" t="s">
        <v>1336</v>
      </c>
      <c r="F315" s="9" t="s">
        <v>64</v>
      </c>
      <c r="G315" s="10" t="n">
        <v>2026</v>
      </c>
      <c r="H315" s="10" t="n">
        <v>10</v>
      </c>
      <c r="I315" s="19" t="n">
        <v>15930</v>
      </c>
      <c r="J315" s="19" t="n">
        <v>17700</v>
      </c>
      <c r="K315" s="10" t="n">
        <v>880</v>
      </c>
      <c r="L315" s="10" t="n">
        <v>1065</v>
      </c>
      <c r="M315" s="10" t="n">
        <v>6</v>
      </c>
      <c r="N315" s="11" t="n">
        <v>10</v>
      </c>
      <c r="O315" s="18" t="s">
        <v>56</v>
      </c>
    </row>
    <row r="316" customFormat="false" ht="15" hidden="false" customHeight="false" outlineLevel="0" collapsed="false">
      <c r="A316" s="18" t="n">
        <v>184580980</v>
      </c>
      <c r="B316" s="10" t="n">
        <v>620</v>
      </c>
      <c r="C316" s="18" t="s">
        <v>43</v>
      </c>
      <c r="D316" s="15" t="s">
        <v>1337</v>
      </c>
      <c r="E316" s="9" t="s">
        <v>1338</v>
      </c>
      <c r="F316" s="9" t="s">
        <v>25</v>
      </c>
      <c r="G316" s="10" t="n">
        <v>2026</v>
      </c>
      <c r="H316" s="10" t="n">
        <v>0</v>
      </c>
      <c r="I316" s="19" t="n">
        <v>12000</v>
      </c>
      <c r="J316" s="19" t="n">
        <v>12000</v>
      </c>
      <c r="K316" s="10" t="n">
        <v>0</v>
      </c>
      <c r="L316" s="10" t="n">
        <v>126</v>
      </c>
      <c r="M316" s="10" t="n">
        <v>0</v>
      </c>
      <c r="N316" s="11" t="n">
        <v>0</v>
      </c>
      <c r="O316" s="18" t="s">
        <v>56</v>
      </c>
    </row>
    <row r="317" customFormat="false" ht="15" hidden="false" customHeight="false" outlineLevel="0" collapsed="false">
      <c r="A317" s="18" t="n">
        <v>184510723</v>
      </c>
      <c r="B317" s="10" t="n">
        <v>621</v>
      </c>
      <c r="C317" s="18" t="s">
        <v>43</v>
      </c>
      <c r="D317" s="15" t="s">
        <v>1339</v>
      </c>
      <c r="E317" s="9" t="s">
        <v>1340</v>
      </c>
      <c r="F317" s="9" t="s">
        <v>1341</v>
      </c>
      <c r="G317" s="10" t="n">
        <v>2026</v>
      </c>
      <c r="H317" s="10" t="n">
        <v>5</v>
      </c>
      <c r="I317" s="19" t="n">
        <v>33250</v>
      </c>
      <c r="J317" s="19" t="n">
        <v>35000</v>
      </c>
      <c r="K317" s="10" t="n">
        <v>700</v>
      </c>
      <c r="L317" s="10" t="n">
        <v>126</v>
      </c>
      <c r="M317" s="10" t="n">
        <v>0</v>
      </c>
      <c r="N317" s="11" t="n">
        <v>0</v>
      </c>
      <c r="O317" s="18" t="s">
        <v>56</v>
      </c>
    </row>
    <row r="318" customFormat="false" ht="15" hidden="false" customHeight="false" outlineLevel="0" collapsed="false">
      <c r="A318" s="18" t="n">
        <v>184478217</v>
      </c>
      <c r="B318" s="10" t="n">
        <v>622</v>
      </c>
      <c r="C318" s="18" t="s">
        <v>43</v>
      </c>
      <c r="D318" s="15" t="s">
        <v>1342</v>
      </c>
      <c r="E318" s="9" t="s">
        <v>1343</v>
      </c>
      <c r="F318" s="9" t="s">
        <v>544</v>
      </c>
      <c r="G318" s="10" t="n">
        <v>2026</v>
      </c>
      <c r="H318" s="10" t="n">
        <v>10</v>
      </c>
      <c r="I318" s="19" t="n">
        <v>10800</v>
      </c>
      <c r="J318" s="19" t="n">
        <v>12000</v>
      </c>
      <c r="K318" s="10" t="n">
        <v>600</v>
      </c>
      <c r="L318" s="10" t="n">
        <v>72</v>
      </c>
      <c r="M318" s="10" t="n">
        <v>5</v>
      </c>
      <c r="N318" s="11" t="n">
        <v>9.6</v>
      </c>
      <c r="O318" s="18" t="s">
        <v>56</v>
      </c>
    </row>
    <row r="319" customFormat="false" ht="15" hidden="false" customHeight="false" outlineLevel="0" collapsed="false">
      <c r="A319" s="18" t="n">
        <v>184398010</v>
      </c>
      <c r="B319" s="10" t="n">
        <v>623</v>
      </c>
      <c r="C319" s="18" t="s">
        <v>43</v>
      </c>
      <c r="D319" s="9" t="s">
        <v>1344</v>
      </c>
      <c r="E319" s="9" t="s">
        <v>1345</v>
      </c>
      <c r="F319" s="9" t="s">
        <v>1346</v>
      </c>
      <c r="G319" s="10" t="n">
        <v>2026</v>
      </c>
      <c r="H319" s="10" t="n">
        <v>5</v>
      </c>
      <c r="I319" s="19" t="n">
        <v>31350</v>
      </c>
      <c r="J319" s="19" t="n">
        <v>33000</v>
      </c>
      <c r="K319" s="10" t="n">
        <v>660</v>
      </c>
      <c r="L319" s="10" t="n">
        <v>186</v>
      </c>
      <c r="M319" s="10" t="n">
        <v>0</v>
      </c>
      <c r="N319" s="11" t="n">
        <v>0</v>
      </c>
      <c r="O319" s="18" t="s">
        <v>56</v>
      </c>
    </row>
    <row r="320" customFormat="false" ht="15" hidden="false" customHeight="false" outlineLevel="0" collapsed="false">
      <c r="A320" s="18" t="n">
        <v>184394552</v>
      </c>
      <c r="B320" s="10" t="n">
        <v>624</v>
      </c>
      <c r="C320" s="18" t="s">
        <v>43</v>
      </c>
      <c r="D320" s="9" t="s">
        <v>1347</v>
      </c>
      <c r="E320" s="9" t="s">
        <v>1348</v>
      </c>
      <c r="F320" s="9" t="s">
        <v>1349</v>
      </c>
      <c r="G320" s="10" t="n">
        <v>2026</v>
      </c>
      <c r="H320" s="10" t="n">
        <v>10</v>
      </c>
      <c r="I320" s="19" t="n">
        <v>25200</v>
      </c>
      <c r="J320" s="19" t="n">
        <v>28000</v>
      </c>
      <c r="K320" s="10" t="n">
        <v>280</v>
      </c>
      <c r="L320" s="10" t="n">
        <v>204</v>
      </c>
      <c r="M320" s="10" t="n">
        <v>6</v>
      </c>
      <c r="N320" s="11" t="n">
        <v>9.7</v>
      </c>
      <c r="O320" s="18" t="s">
        <v>56</v>
      </c>
    </row>
    <row r="321" customFormat="false" ht="15" hidden="false" customHeight="false" outlineLevel="0" collapsed="false">
      <c r="A321" s="18" t="n">
        <v>183809446</v>
      </c>
      <c r="B321" s="10" t="n">
        <v>625</v>
      </c>
      <c r="C321" s="18" t="s">
        <v>43</v>
      </c>
      <c r="D321" s="9" t="s">
        <v>1350</v>
      </c>
      <c r="E321" s="9" t="s">
        <v>662</v>
      </c>
      <c r="F321" s="9" t="s">
        <v>663</v>
      </c>
      <c r="G321" s="10" t="n">
        <v>2026</v>
      </c>
      <c r="H321" s="10" t="n">
        <v>10</v>
      </c>
      <c r="I321" s="19" t="n">
        <v>14400</v>
      </c>
      <c r="J321" s="19" t="n">
        <v>16000</v>
      </c>
      <c r="K321" s="10" t="n">
        <v>800</v>
      </c>
      <c r="L321" s="10" t="n">
        <v>1212</v>
      </c>
      <c r="M321" s="10" t="n">
        <v>0</v>
      </c>
      <c r="N321" s="11" t="n">
        <v>0</v>
      </c>
      <c r="O321" s="18" t="s">
        <v>56</v>
      </c>
    </row>
    <row r="322" customFormat="false" ht="15" hidden="false" customHeight="false" outlineLevel="0" collapsed="false">
      <c r="A322" s="18" t="n">
        <v>183754093</v>
      </c>
      <c r="B322" s="10" t="n">
        <v>627</v>
      </c>
      <c r="C322" s="18" t="s">
        <v>43</v>
      </c>
      <c r="D322" s="9" t="s">
        <v>1353</v>
      </c>
      <c r="E322" s="9" t="s">
        <v>1354</v>
      </c>
      <c r="F322" s="9" t="s">
        <v>116</v>
      </c>
      <c r="G322" s="10" t="n">
        <v>2026</v>
      </c>
      <c r="H322" s="10" t="n">
        <v>10</v>
      </c>
      <c r="I322" s="19" t="n">
        <v>25200</v>
      </c>
      <c r="J322" s="19" t="n">
        <v>28000</v>
      </c>
      <c r="K322" s="10" t="n">
        <v>1400</v>
      </c>
      <c r="L322" s="10" t="n">
        <v>1050</v>
      </c>
      <c r="M322" s="10" t="n">
        <v>26</v>
      </c>
      <c r="N322" s="11" t="n">
        <v>9.8</v>
      </c>
      <c r="O322" s="18" t="s">
        <v>56</v>
      </c>
    </row>
    <row r="323" customFormat="false" ht="15" hidden="false" customHeight="false" outlineLevel="0" collapsed="false">
      <c r="A323" s="18" t="n">
        <v>183704615</v>
      </c>
      <c r="B323" s="10" t="n">
        <v>629</v>
      </c>
      <c r="C323" s="18" t="s">
        <v>43</v>
      </c>
      <c r="D323" s="9" t="s">
        <v>1357</v>
      </c>
      <c r="E323" s="9" t="s">
        <v>1358</v>
      </c>
      <c r="F323" s="9" t="s">
        <v>1359</v>
      </c>
      <c r="G323" s="10" t="n">
        <v>2026</v>
      </c>
      <c r="H323" s="10" t="n">
        <v>10</v>
      </c>
      <c r="I323" s="19" t="n">
        <v>32400</v>
      </c>
      <c r="J323" s="19" t="n">
        <v>36000</v>
      </c>
      <c r="K323" s="10" t="n">
        <v>1800</v>
      </c>
      <c r="L323" s="10" t="n">
        <v>150</v>
      </c>
      <c r="M323" s="10" t="n">
        <v>0</v>
      </c>
      <c r="N323" s="11" t="n">
        <v>0</v>
      </c>
      <c r="O323" s="18" t="s">
        <v>56</v>
      </c>
    </row>
    <row r="324" customFormat="false" ht="15" hidden="false" customHeight="false" outlineLevel="0" collapsed="false">
      <c r="A324" s="18" t="n">
        <v>183702987</v>
      </c>
      <c r="B324" s="10" t="n">
        <v>630</v>
      </c>
      <c r="C324" s="18" t="s">
        <v>43</v>
      </c>
      <c r="D324" s="9" t="s">
        <v>1360</v>
      </c>
      <c r="E324" s="15" t="s">
        <v>1361</v>
      </c>
      <c r="F324" s="9" t="s">
        <v>544</v>
      </c>
      <c r="G324" s="10" t="n">
        <v>2026</v>
      </c>
      <c r="H324" s="10" t="n">
        <v>10</v>
      </c>
      <c r="I324" s="19" t="n">
        <v>10800</v>
      </c>
      <c r="J324" s="19" t="n">
        <v>12000</v>
      </c>
      <c r="K324" s="10" t="n">
        <v>600</v>
      </c>
      <c r="L324" s="10" t="n">
        <v>132</v>
      </c>
      <c r="M324" s="10" t="n">
        <v>8</v>
      </c>
      <c r="N324" s="11" t="n">
        <v>10</v>
      </c>
      <c r="O324" s="18" t="s">
        <v>56</v>
      </c>
    </row>
    <row r="325" customFormat="false" ht="15" hidden="false" customHeight="false" outlineLevel="0" collapsed="false">
      <c r="A325" s="18" t="n">
        <v>183651445</v>
      </c>
      <c r="B325" s="10" t="n">
        <v>631</v>
      </c>
      <c r="C325" s="18" t="s">
        <v>43</v>
      </c>
      <c r="D325" s="15" t="s">
        <v>1362</v>
      </c>
      <c r="E325" s="9" t="s">
        <v>1363</v>
      </c>
      <c r="F325" s="9" t="s">
        <v>25</v>
      </c>
      <c r="G325" s="10" t="n">
        <v>2026</v>
      </c>
      <c r="H325" s="10" t="n">
        <v>0</v>
      </c>
      <c r="I325" s="19" t="n">
        <v>12000</v>
      </c>
      <c r="J325" s="19" t="n">
        <v>12000</v>
      </c>
      <c r="K325" s="10" t="n">
        <v>0</v>
      </c>
      <c r="L325" s="10" t="n">
        <v>126</v>
      </c>
      <c r="M325" s="10" t="n">
        <v>0</v>
      </c>
      <c r="N325" s="11" t="n">
        <v>0</v>
      </c>
      <c r="O325" s="18" t="s">
        <v>56</v>
      </c>
    </row>
    <row r="326" customFormat="false" ht="15" hidden="false" customHeight="false" outlineLevel="0" collapsed="false">
      <c r="A326" s="18" t="n">
        <v>183040790</v>
      </c>
      <c r="B326" s="10" t="n">
        <v>635</v>
      </c>
      <c r="C326" s="18" t="s">
        <v>43</v>
      </c>
      <c r="D326" s="9" t="s">
        <v>1370</v>
      </c>
      <c r="E326" s="9" t="s">
        <v>1371</v>
      </c>
      <c r="F326" s="15" t="s">
        <v>561</v>
      </c>
      <c r="G326" s="10" t="n">
        <v>2026</v>
      </c>
      <c r="H326" s="10" t="n">
        <v>0</v>
      </c>
      <c r="I326" s="19" t="n">
        <v>18500</v>
      </c>
      <c r="J326" s="19" t="n">
        <v>18500</v>
      </c>
      <c r="K326" s="10" t="n">
        <v>0</v>
      </c>
      <c r="L326" s="10" t="n">
        <v>108</v>
      </c>
      <c r="M326" s="10" t="n">
        <v>0</v>
      </c>
      <c r="N326" s="11" t="n">
        <v>0</v>
      </c>
      <c r="O326" s="18" t="s">
        <v>56</v>
      </c>
    </row>
    <row r="327" customFormat="false" ht="15" hidden="false" customHeight="false" outlineLevel="0" collapsed="false">
      <c r="A327" s="18" t="n">
        <v>182947194</v>
      </c>
      <c r="B327" s="10" t="n">
        <v>636</v>
      </c>
      <c r="C327" s="18" t="s">
        <v>43</v>
      </c>
      <c r="D327" s="15" t="s">
        <v>1372</v>
      </c>
      <c r="E327" s="9" t="s">
        <v>1373</v>
      </c>
      <c r="F327" s="9" t="s">
        <v>1374</v>
      </c>
      <c r="G327" s="10" t="n">
        <v>2026</v>
      </c>
      <c r="H327" s="10" t="n">
        <v>10</v>
      </c>
      <c r="I327" s="19" t="n">
        <v>19350</v>
      </c>
      <c r="J327" s="19" t="n">
        <v>21500</v>
      </c>
      <c r="K327" s="10" t="n">
        <v>1070</v>
      </c>
      <c r="L327" s="10" t="n">
        <v>144</v>
      </c>
      <c r="M327" s="10" t="n">
        <v>0</v>
      </c>
      <c r="N327" s="11" t="n">
        <v>0</v>
      </c>
      <c r="O327" s="18" t="s">
        <v>56</v>
      </c>
    </row>
    <row r="328" customFormat="false" ht="15" hidden="false" customHeight="false" outlineLevel="0" collapsed="false">
      <c r="A328" s="18" t="n">
        <v>182813489</v>
      </c>
      <c r="B328" s="10" t="n">
        <v>637</v>
      </c>
      <c r="C328" s="18" t="s">
        <v>43</v>
      </c>
      <c r="D328" s="15" t="s">
        <v>1375</v>
      </c>
      <c r="E328" s="15" t="s">
        <v>1376</v>
      </c>
      <c r="F328" s="9" t="s">
        <v>982</v>
      </c>
      <c r="G328" s="10" t="n">
        <v>2026</v>
      </c>
      <c r="H328" s="10" t="n">
        <v>10</v>
      </c>
      <c r="I328" s="19" t="n">
        <v>23400</v>
      </c>
      <c r="J328" s="19" t="n">
        <v>26000</v>
      </c>
      <c r="K328" s="10" t="n">
        <v>1300</v>
      </c>
      <c r="L328" s="10" t="n">
        <v>1092</v>
      </c>
      <c r="M328" s="10" t="n">
        <v>45</v>
      </c>
      <c r="N328" s="11" t="n">
        <v>9.9</v>
      </c>
      <c r="O328" s="18" t="s">
        <v>56</v>
      </c>
    </row>
    <row r="329" customFormat="false" ht="15" hidden="false" customHeight="false" outlineLevel="0" collapsed="false">
      <c r="A329" s="18" t="n">
        <v>182758744</v>
      </c>
      <c r="B329" s="10" t="n">
        <v>639</v>
      </c>
      <c r="C329" s="18" t="s">
        <v>43</v>
      </c>
      <c r="D329" s="15" t="s">
        <v>1379</v>
      </c>
      <c r="E329" s="9" t="s">
        <v>1380</v>
      </c>
      <c r="F329" s="9" t="s">
        <v>145</v>
      </c>
      <c r="G329" s="10" t="n">
        <v>2026</v>
      </c>
      <c r="H329" s="10" t="n">
        <v>0</v>
      </c>
      <c r="I329" s="19" t="n">
        <v>20000</v>
      </c>
      <c r="J329" s="19" t="n">
        <v>20000</v>
      </c>
      <c r="K329" s="10" t="n">
        <v>0</v>
      </c>
      <c r="L329" s="10" t="n">
        <v>636</v>
      </c>
      <c r="M329" s="10" t="n">
        <v>4</v>
      </c>
      <c r="N329" s="11" t="n">
        <v>10</v>
      </c>
      <c r="O329" s="18" t="s">
        <v>56</v>
      </c>
    </row>
    <row r="330" customFormat="false" ht="15" hidden="false" customHeight="false" outlineLevel="0" collapsed="false">
      <c r="A330" s="18" t="n">
        <v>182626952</v>
      </c>
      <c r="B330" s="10" t="n">
        <v>640</v>
      </c>
      <c r="C330" s="18" t="s">
        <v>43</v>
      </c>
      <c r="D330" s="15" t="s">
        <v>1381</v>
      </c>
      <c r="E330" s="9" t="s">
        <v>1382</v>
      </c>
      <c r="F330" s="9" t="s">
        <v>1383</v>
      </c>
      <c r="G330" s="10" t="n">
        <v>2026</v>
      </c>
      <c r="H330" s="10" t="n">
        <v>10</v>
      </c>
      <c r="I330" s="19" t="n">
        <v>21150</v>
      </c>
      <c r="J330" s="19" t="n">
        <v>23500</v>
      </c>
      <c r="K330" s="10" t="n">
        <v>1170</v>
      </c>
      <c r="L330" s="10" t="n">
        <v>684</v>
      </c>
      <c r="M330" s="10" t="n">
        <v>1</v>
      </c>
      <c r="N330" s="11" t="n">
        <v>8</v>
      </c>
      <c r="O330" s="18" t="s">
        <v>56</v>
      </c>
    </row>
    <row r="331" customFormat="false" ht="15" hidden="false" customHeight="false" outlineLevel="0" collapsed="false">
      <c r="A331" s="18" t="n">
        <v>182625671</v>
      </c>
      <c r="B331" s="10" t="n">
        <v>641</v>
      </c>
      <c r="C331" s="18" t="s">
        <v>43</v>
      </c>
      <c r="D331" s="15" t="s">
        <v>1384</v>
      </c>
      <c r="E331" s="9" t="s">
        <v>1345</v>
      </c>
      <c r="F331" s="9" t="s">
        <v>1346</v>
      </c>
      <c r="G331" s="10" t="n">
        <v>2026</v>
      </c>
      <c r="H331" s="10" t="n">
        <v>10</v>
      </c>
      <c r="I331" s="19" t="n">
        <v>29700</v>
      </c>
      <c r="J331" s="19" t="n">
        <v>33000</v>
      </c>
      <c r="K331" s="10" t="n">
        <v>1650</v>
      </c>
      <c r="L331" s="10" t="n">
        <v>516</v>
      </c>
      <c r="M331" s="10" t="n">
        <v>0</v>
      </c>
      <c r="N331" s="11" t="n">
        <v>0</v>
      </c>
      <c r="O331" s="18" t="s">
        <v>56</v>
      </c>
    </row>
    <row r="332" customFormat="false" ht="15" hidden="false" customHeight="false" outlineLevel="0" collapsed="false">
      <c r="A332" s="18" t="n">
        <v>182527648</v>
      </c>
      <c r="B332" s="10" t="n">
        <v>642</v>
      </c>
      <c r="C332" s="18" t="s">
        <v>43</v>
      </c>
      <c r="D332" s="9" t="s">
        <v>1385</v>
      </c>
      <c r="E332" s="9" t="s">
        <v>1386</v>
      </c>
      <c r="F332" s="9" t="s">
        <v>732</v>
      </c>
      <c r="G332" s="10" t="n">
        <v>2026</v>
      </c>
      <c r="H332" s="10" t="n">
        <v>0</v>
      </c>
      <c r="I332" s="19" t="n">
        <v>19000</v>
      </c>
      <c r="J332" s="19" t="n">
        <v>19000</v>
      </c>
      <c r="K332" s="10" t="n">
        <v>0</v>
      </c>
      <c r="L332" s="10" t="n">
        <v>144</v>
      </c>
      <c r="M332" s="10" t="n">
        <v>1</v>
      </c>
      <c r="N332" s="11" t="n">
        <v>10</v>
      </c>
      <c r="O332" s="18" t="s">
        <v>56</v>
      </c>
    </row>
    <row r="333" customFormat="false" ht="15" hidden="false" customHeight="false" outlineLevel="0" collapsed="false">
      <c r="A333" s="18" t="n">
        <v>182526149</v>
      </c>
      <c r="B333" s="10" t="n">
        <v>643</v>
      </c>
      <c r="C333" s="18" t="s">
        <v>43</v>
      </c>
      <c r="D333" s="9" t="s">
        <v>1387</v>
      </c>
      <c r="E333" s="9" t="s">
        <v>1388</v>
      </c>
      <c r="F333" s="9" t="s">
        <v>184</v>
      </c>
      <c r="G333" s="10" t="n">
        <v>2026</v>
      </c>
      <c r="H333" s="10" t="n">
        <v>0</v>
      </c>
      <c r="I333" s="19" t="n">
        <v>22000</v>
      </c>
      <c r="J333" s="19" t="n">
        <v>22000</v>
      </c>
      <c r="K333" s="10" t="n">
        <v>0</v>
      </c>
      <c r="L333" s="10" t="n">
        <v>660</v>
      </c>
      <c r="M333" s="10" t="n">
        <v>15</v>
      </c>
      <c r="N333" s="11" t="n">
        <v>9.6</v>
      </c>
      <c r="O333" s="18" t="s">
        <v>46</v>
      </c>
    </row>
    <row r="334" customFormat="false" ht="15" hidden="false" customHeight="false" outlineLevel="0" collapsed="false">
      <c r="A334" s="18" t="n">
        <v>182476796</v>
      </c>
      <c r="B334" s="10" t="n">
        <v>644</v>
      </c>
      <c r="C334" s="18" t="s">
        <v>43</v>
      </c>
      <c r="D334" s="9" t="s">
        <v>1389</v>
      </c>
      <c r="E334" s="9" t="s">
        <v>1390</v>
      </c>
      <c r="F334" s="9" t="s">
        <v>25</v>
      </c>
      <c r="G334" s="10" t="n">
        <v>2026</v>
      </c>
      <c r="H334" s="10" t="n">
        <v>0</v>
      </c>
      <c r="I334" s="19" t="n">
        <v>12000</v>
      </c>
      <c r="J334" s="19" t="n">
        <v>12000</v>
      </c>
      <c r="K334" s="10" t="n">
        <v>0</v>
      </c>
      <c r="L334" s="10" t="n">
        <v>264</v>
      </c>
      <c r="M334" s="10" t="n">
        <v>0</v>
      </c>
      <c r="N334" s="11" t="n">
        <v>0</v>
      </c>
      <c r="O334" s="18" t="s">
        <v>56</v>
      </c>
    </row>
    <row r="335" customFormat="false" ht="15" hidden="false" customHeight="false" outlineLevel="0" collapsed="false">
      <c r="A335" s="18" t="n">
        <v>182233280</v>
      </c>
      <c r="B335" s="10" t="n">
        <v>646</v>
      </c>
      <c r="C335" s="18" t="s">
        <v>43</v>
      </c>
      <c r="D335" s="15" t="s">
        <v>1393</v>
      </c>
      <c r="E335" s="9" t="s">
        <v>1394</v>
      </c>
      <c r="F335" s="9" t="s">
        <v>25</v>
      </c>
      <c r="G335" s="10" t="n">
        <v>2026</v>
      </c>
      <c r="H335" s="10" t="n">
        <v>0</v>
      </c>
      <c r="I335" s="19" t="n">
        <v>12000</v>
      </c>
      <c r="J335" s="19" t="n">
        <v>12000</v>
      </c>
      <c r="K335" s="10" t="n">
        <v>0</v>
      </c>
      <c r="L335" s="10" t="n">
        <v>192</v>
      </c>
      <c r="M335" s="10" t="n">
        <v>0</v>
      </c>
      <c r="N335" s="11" t="n">
        <v>0</v>
      </c>
      <c r="O335" s="18" t="s">
        <v>56</v>
      </c>
    </row>
    <row r="336" customFormat="false" ht="15" hidden="false" customHeight="false" outlineLevel="0" collapsed="false">
      <c r="A336" s="18" t="n">
        <v>182116268</v>
      </c>
      <c r="B336" s="10" t="n">
        <v>647</v>
      </c>
      <c r="C336" s="18" t="s">
        <v>43</v>
      </c>
      <c r="D336" s="9" t="s">
        <v>1395</v>
      </c>
      <c r="E336" s="9" t="s">
        <v>393</v>
      </c>
      <c r="F336" s="9" t="s">
        <v>116</v>
      </c>
      <c r="G336" s="10" t="n">
        <v>2026</v>
      </c>
      <c r="H336" s="10" t="n">
        <v>10</v>
      </c>
      <c r="I336" s="19" t="n">
        <v>16920</v>
      </c>
      <c r="J336" s="19" t="n">
        <v>18800</v>
      </c>
      <c r="K336" s="10" t="n">
        <v>940</v>
      </c>
      <c r="L336" s="10" t="n">
        <v>1974</v>
      </c>
      <c r="M336" s="10" t="n">
        <v>21</v>
      </c>
      <c r="N336" s="11" t="n">
        <v>10</v>
      </c>
      <c r="O336" s="18" t="s">
        <v>56</v>
      </c>
    </row>
    <row r="337" customFormat="false" ht="15" hidden="false" customHeight="false" outlineLevel="0" collapsed="false">
      <c r="A337" s="18" t="n">
        <v>181819691</v>
      </c>
      <c r="B337" s="10" t="n">
        <v>648</v>
      </c>
      <c r="C337" s="18" t="s">
        <v>43</v>
      </c>
      <c r="D337" s="9" t="s">
        <v>1396</v>
      </c>
      <c r="E337" s="9" t="s">
        <v>1345</v>
      </c>
      <c r="F337" s="9" t="s">
        <v>1346</v>
      </c>
      <c r="G337" s="10" t="n">
        <v>2026</v>
      </c>
      <c r="H337" s="10" t="n">
        <v>10</v>
      </c>
      <c r="I337" s="19" t="n">
        <v>29700</v>
      </c>
      <c r="J337" s="19" t="n">
        <v>33000</v>
      </c>
      <c r="K337" s="10" t="n">
        <v>330</v>
      </c>
      <c r="L337" s="10" t="n">
        <v>330</v>
      </c>
      <c r="M337" s="10" t="n">
        <v>0</v>
      </c>
      <c r="N337" s="11" t="n">
        <v>0</v>
      </c>
      <c r="O337" s="18" t="s">
        <v>56</v>
      </c>
    </row>
    <row r="338" customFormat="false" ht="15" hidden="false" customHeight="false" outlineLevel="0" collapsed="false">
      <c r="A338" s="18" t="n">
        <v>181125288</v>
      </c>
      <c r="B338" s="10" t="n">
        <v>649</v>
      </c>
      <c r="C338" s="18" t="s">
        <v>43</v>
      </c>
      <c r="D338" s="9" t="s">
        <v>1397</v>
      </c>
      <c r="E338" s="9" t="s">
        <v>1398</v>
      </c>
      <c r="F338" s="15" t="s">
        <v>561</v>
      </c>
      <c r="G338" s="10" t="n">
        <v>2026</v>
      </c>
      <c r="H338" s="10" t="n">
        <v>0</v>
      </c>
      <c r="I338" s="19" t="n">
        <v>24000</v>
      </c>
      <c r="J338" s="19" t="n">
        <v>24000</v>
      </c>
      <c r="K338" s="10" t="n">
        <v>0</v>
      </c>
      <c r="L338" s="10" t="n">
        <v>60</v>
      </c>
      <c r="M338" s="10" t="n">
        <v>0</v>
      </c>
      <c r="N338" s="11" t="n">
        <v>0</v>
      </c>
      <c r="O338" s="18" t="s">
        <v>56</v>
      </c>
    </row>
    <row r="339" customFormat="false" ht="15" hidden="false" customHeight="false" outlineLevel="0" collapsed="false">
      <c r="A339" s="18" t="n">
        <v>181125214</v>
      </c>
      <c r="B339" s="10" t="n">
        <v>650</v>
      </c>
      <c r="C339" s="18" t="s">
        <v>43</v>
      </c>
      <c r="D339" s="9" t="s">
        <v>1399</v>
      </c>
      <c r="E339" s="9" t="s">
        <v>1400</v>
      </c>
      <c r="F339" s="15" t="s">
        <v>561</v>
      </c>
      <c r="G339" s="10" t="n">
        <v>2026</v>
      </c>
      <c r="H339" s="10" t="n">
        <v>0</v>
      </c>
      <c r="I339" s="19" t="n">
        <v>20000</v>
      </c>
      <c r="J339" s="19" t="n">
        <v>20000</v>
      </c>
      <c r="K339" s="10" t="n">
        <v>0</v>
      </c>
      <c r="L339" s="10" t="n">
        <v>114</v>
      </c>
      <c r="M339" s="10" t="n">
        <v>1</v>
      </c>
      <c r="N339" s="11" t="n">
        <v>10</v>
      </c>
      <c r="O339" s="18" t="s">
        <v>56</v>
      </c>
    </row>
    <row r="340" customFormat="false" ht="15" hidden="false" customHeight="false" outlineLevel="0" collapsed="false">
      <c r="A340" s="18" t="n">
        <v>181105549</v>
      </c>
      <c r="B340" s="10" t="n">
        <v>652</v>
      </c>
      <c r="C340" s="18" t="s">
        <v>43</v>
      </c>
      <c r="D340" s="15" t="s">
        <v>1402</v>
      </c>
      <c r="E340" s="9" t="s">
        <v>1403</v>
      </c>
      <c r="F340" s="9" t="s">
        <v>25</v>
      </c>
      <c r="G340" s="10" t="n">
        <v>2026</v>
      </c>
      <c r="H340" s="10" t="n">
        <v>0</v>
      </c>
      <c r="I340" s="19" t="n">
        <v>12000</v>
      </c>
      <c r="J340" s="19" t="n">
        <v>12000</v>
      </c>
      <c r="K340" s="10" t="n">
        <v>0</v>
      </c>
      <c r="L340" s="10" t="n">
        <v>252</v>
      </c>
      <c r="M340" s="10" t="n">
        <v>0</v>
      </c>
      <c r="N340" s="11" t="n">
        <v>0</v>
      </c>
      <c r="O340" s="18" t="s">
        <v>56</v>
      </c>
    </row>
    <row r="341" customFormat="false" ht="15" hidden="false" customHeight="false" outlineLevel="0" collapsed="false">
      <c r="A341" s="18" t="n">
        <v>181016086</v>
      </c>
      <c r="B341" s="10" t="n">
        <v>653</v>
      </c>
      <c r="C341" s="18" t="s">
        <v>43</v>
      </c>
      <c r="D341" s="9" t="s">
        <v>1404</v>
      </c>
      <c r="E341" s="9" t="s">
        <v>1405</v>
      </c>
      <c r="F341" s="9" t="s">
        <v>573</v>
      </c>
      <c r="G341" s="10" t="n">
        <v>2026</v>
      </c>
      <c r="H341" s="10" t="n">
        <v>10</v>
      </c>
      <c r="I341" s="19" t="n">
        <v>27000</v>
      </c>
      <c r="J341" s="19" t="n">
        <v>30000</v>
      </c>
      <c r="K341" s="10" t="n">
        <v>1500</v>
      </c>
      <c r="L341" s="10" t="n">
        <v>522</v>
      </c>
      <c r="M341" s="10" t="n">
        <v>0</v>
      </c>
      <c r="N341" s="11" t="n">
        <v>0</v>
      </c>
      <c r="O341" s="18" t="s">
        <v>56</v>
      </c>
    </row>
    <row r="342" customFormat="false" ht="15" hidden="false" customHeight="false" outlineLevel="0" collapsed="false">
      <c r="A342" s="18" t="n">
        <v>180937512</v>
      </c>
      <c r="B342" s="10" t="n">
        <v>654</v>
      </c>
      <c r="C342" s="18" t="s">
        <v>43</v>
      </c>
      <c r="D342" s="15" t="s">
        <v>1406</v>
      </c>
      <c r="E342" s="9" t="s">
        <v>1407</v>
      </c>
      <c r="F342" s="9" t="s">
        <v>1408</v>
      </c>
      <c r="G342" s="10" t="n">
        <v>2026</v>
      </c>
      <c r="H342" s="10" t="n">
        <v>10</v>
      </c>
      <c r="I342" s="19" t="n">
        <v>15300</v>
      </c>
      <c r="J342" s="19" t="n">
        <v>17000</v>
      </c>
      <c r="K342" s="10" t="n">
        <v>850</v>
      </c>
      <c r="L342" s="10" t="n">
        <v>204</v>
      </c>
      <c r="M342" s="10" t="n">
        <v>19</v>
      </c>
      <c r="N342" s="11" t="n">
        <v>10</v>
      </c>
      <c r="O342" s="18" t="s">
        <v>56</v>
      </c>
    </row>
    <row r="343" customFormat="false" ht="15" hidden="false" customHeight="false" outlineLevel="0" collapsed="false">
      <c r="A343" s="18" t="n">
        <v>180517806</v>
      </c>
      <c r="B343" s="10" t="n">
        <v>655</v>
      </c>
      <c r="C343" s="18" t="s">
        <v>43</v>
      </c>
      <c r="D343" s="15" t="s">
        <v>1409</v>
      </c>
      <c r="E343" s="9" t="s">
        <v>1410</v>
      </c>
      <c r="F343" s="9" t="s">
        <v>514</v>
      </c>
      <c r="G343" s="10" t="n">
        <v>2026</v>
      </c>
      <c r="H343" s="10" t="n">
        <v>0</v>
      </c>
      <c r="I343" s="19" t="n">
        <v>36000</v>
      </c>
      <c r="J343" s="19" t="n">
        <v>36000</v>
      </c>
      <c r="K343" s="10" t="n">
        <v>0</v>
      </c>
      <c r="L343" s="10" t="n">
        <v>78</v>
      </c>
      <c r="M343" s="10" t="n">
        <v>0</v>
      </c>
      <c r="N343" s="11" t="n">
        <v>0</v>
      </c>
      <c r="O343" s="18" t="s">
        <v>56</v>
      </c>
    </row>
    <row r="344" customFormat="false" ht="15" hidden="false" customHeight="false" outlineLevel="0" collapsed="false">
      <c r="A344" s="18" t="n">
        <v>180491274</v>
      </c>
      <c r="B344" s="10" t="n">
        <v>656</v>
      </c>
      <c r="C344" s="18" t="s">
        <v>43</v>
      </c>
      <c r="D344" s="9" t="s">
        <v>1411</v>
      </c>
      <c r="E344" s="9" t="s">
        <v>1412</v>
      </c>
      <c r="F344" s="9" t="s">
        <v>211</v>
      </c>
      <c r="G344" s="10" t="n">
        <v>2026</v>
      </c>
      <c r="H344" s="10" t="n">
        <v>10</v>
      </c>
      <c r="I344" s="19" t="n">
        <v>24300</v>
      </c>
      <c r="J344" s="19" t="n">
        <v>27000</v>
      </c>
      <c r="K344" s="10" t="n">
        <v>1350</v>
      </c>
      <c r="L344" s="10" t="n">
        <v>420</v>
      </c>
      <c r="M344" s="10" t="n">
        <v>2</v>
      </c>
      <c r="N344" s="11" t="n">
        <v>10</v>
      </c>
      <c r="O344" s="18" t="s">
        <v>56</v>
      </c>
    </row>
    <row r="345" customFormat="false" ht="15" hidden="false" customHeight="false" outlineLevel="0" collapsed="false">
      <c r="A345" s="18" t="n">
        <v>180143954</v>
      </c>
      <c r="B345" s="10" t="n">
        <v>657</v>
      </c>
      <c r="C345" s="18" t="s">
        <v>43</v>
      </c>
      <c r="D345" s="15" t="s">
        <v>1413</v>
      </c>
      <c r="E345" s="9" t="s">
        <v>1414</v>
      </c>
      <c r="F345" s="9" t="s">
        <v>1415</v>
      </c>
      <c r="G345" s="10" t="n">
        <v>2026</v>
      </c>
      <c r="H345" s="10" t="n">
        <v>0</v>
      </c>
      <c r="I345" s="19" t="n">
        <v>35000</v>
      </c>
      <c r="J345" s="19" t="n">
        <v>35000</v>
      </c>
      <c r="K345" s="10" t="n">
        <v>1050</v>
      </c>
      <c r="L345" s="10" t="n">
        <v>120</v>
      </c>
      <c r="M345" s="10" t="n">
        <v>0</v>
      </c>
      <c r="N345" s="11" t="n">
        <v>0</v>
      </c>
      <c r="O345" s="18" t="s">
        <v>56</v>
      </c>
    </row>
    <row r="346" customFormat="false" ht="15" hidden="false" customHeight="false" outlineLevel="0" collapsed="false">
      <c r="A346" s="18" t="n">
        <v>180135717</v>
      </c>
      <c r="B346" s="10" t="n">
        <v>658</v>
      </c>
      <c r="C346" s="18" t="s">
        <v>43</v>
      </c>
      <c r="D346" s="15" t="s">
        <v>1416</v>
      </c>
      <c r="E346" s="9" t="s">
        <v>1417</v>
      </c>
      <c r="F346" s="9" t="s">
        <v>25</v>
      </c>
      <c r="G346" s="10" t="n">
        <v>2026</v>
      </c>
      <c r="H346" s="10" t="n">
        <v>0</v>
      </c>
      <c r="I346" s="19" t="n">
        <v>12000</v>
      </c>
      <c r="J346" s="19" t="n">
        <v>12000</v>
      </c>
      <c r="K346" s="10" t="n">
        <v>0</v>
      </c>
      <c r="L346" s="10" t="n">
        <v>60</v>
      </c>
      <c r="M346" s="10" t="n">
        <v>0</v>
      </c>
      <c r="N346" s="11" t="n">
        <v>0</v>
      </c>
      <c r="O346" s="18" t="s">
        <v>56</v>
      </c>
    </row>
    <row r="347" customFormat="false" ht="15" hidden="false" customHeight="false" outlineLevel="0" collapsed="false">
      <c r="A347" s="18" t="n">
        <v>179717384</v>
      </c>
      <c r="B347" s="10" t="n">
        <v>659</v>
      </c>
      <c r="C347" s="18" t="s">
        <v>43</v>
      </c>
      <c r="D347" s="9" t="s">
        <v>1418</v>
      </c>
      <c r="E347" s="9" t="s">
        <v>1419</v>
      </c>
      <c r="F347" s="9" t="s">
        <v>311</v>
      </c>
      <c r="G347" s="10" t="n">
        <v>2026</v>
      </c>
      <c r="H347" s="10" t="n">
        <v>10</v>
      </c>
      <c r="I347" s="19" t="n">
        <v>28800</v>
      </c>
      <c r="J347" s="19" t="n">
        <v>32000</v>
      </c>
      <c r="K347" s="10" t="n">
        <v>1600</v>
      </c>
      <c r="L347" s="10" t="n">
        <v>234</v>
      </c>
      <c r="M347" s="10" t="n">
        <v>0</v>
      </c>
      <c r="N347" s="11" t="n">
        <v>0</v>
      </c>
      <c r="O347" s="18" t="s">
        <v>56</v>
      </c>
    </row>
    <row r="348" customFormat="false" ht="15" hidden="false" customHeight="false" outlineLevel="0" collapsed="false">
      <c r="A348" s="18" t="n">
        <v>179716972</v>
      </c>
      <c r="B348" s="10" t="n">
        <v>660</v>
      </c>
      <c r="C348" s="18" t="s">
        <v>43</v>
      </c>
      <c r="D348" s="9" t="s">
        <v>1420</v>
      </c>
      <c r="E348" s="15" t="s">
        <v>1421</v>
      </c>
      <c r="F348" s="9" t="s">
        <v>88</v>
      </c>
      <c r="G348" s="10" t="n">
        <v>2026</v>
      </c>
      <c r="H348" s="10" t="n">
        <v>10</v>
      </c>
      <c r="I348" s="19" t="n">
        <v>29700</v>
      </c>
      <c r="J348" s="19" t="n">
        <v>33000</v>
      </c>
      <c r="K348" s="10" t="n">
        <v>1650</v>
      </c>
      <c r="L348" s="10" t="n">
        <v>1950</v>
      </c>
      <c r="M348" s="10" t="n">
        <v>1</v>
      </c>
      <c r="N348" s="11" t="n">
        <v>10</v>
      </c>
      <c r="O348" s="18" t="s">
        <v>56</v>
      </c>
    </row>
    <row r="349" customFormat="false" ht="15" hidden="false" customHeight="false" outlineLevel="0" collapsed="false">
      <c r="A349" s="18" t="n">
        <v>179619201</v>
      </c>
      <c r="B349" s="10" t="n">
        <v>662</v>
      </c>
      <c r="C349" s="18" t="s">
        <v>43</v>
      </c>
      <c r="D349" s="9" t="s">
        <v>1423</v>
      </c>
      <c r="E349" s="9" t="s">
        <v>1424</v>
      </c>
      <c r="F349" s="9" t="s">
        <v>1425</v>
      </c>
      <c r="G349" s="10" t="n">
        <v>2026</v>
      </c>
      <c r="H349" s="10" t="n">
        <v>5</v>
      </c>
      <c r="I349" s="19" t="n">
        <v>20900</v>
      </c>
      <c r="J349" s="19" t="n">
        <v>22000</v>
      </c>
      <c r="K349" s="10" t="n">
        <v>660</v>
      </c>
      <c r="L349" s="10" t="n">
        <v>2352</v>
      </c>
      <c r="M349" s="10" t="n">
        <v>10</v>
      </c>
      <c r="N349" s="11" t="n">
        <v>10</v>
      </c>
      <c r="O349" s="18" t="s">
        <v>56</v>
      </c>
    </row>
    <row r="350" customFormat="false" ht="15" hidden="false" customHeight="false" outlineLevel="0" collapsed="false">
      <c r="A350" s="18" t="n">
        <v>178728913</v>
      </c>
      <c r="B350" s="10" t="n">
        <v>663</v>
      </c>
      <c r="C350" s="18" t="s">
        <v>43</v>
      </c>
      <c r="D350" s="9" t="s">
        <v>1426</v>
      </c>
      <c r="E350" s="9" t="s">
        <v>809</v>
      </c>
      <c r="F350" s="9" t="s">
        <v>810</v>
      </c>
      <c r="G350" s="10" t="n">
        <v>2026</v>
      </c>
      <c r="H350" s="10" t="n">
        <v>10</v>
      </c>
      <c r="I350" s="19" t="n">
        <v>13500</v>
      </c>
      <c r="J350" s="19" t="n">
        <v>15000</v>
      </c>
      <c r="K350" s="10" t="n">
        <v>750</v>
      </c>
      <c r="L350" s="10" t="n">
        <v>414</v>
      </c>
      <c r="M350" s="10" t="n">
        <v>2</v>
      </c>
      <c r="N350" s="11" t="n">
        <v>2</v>
      </c>
      <c r="O350" s="18" t="s">
        <v>56</v>
      </c>
    </row>
    <row r="351" customFormat="false" ht="15" hidden="false" customHeight="false" outlineLevel="0" collapsed="false">
      <c r="A351" s="18" t="n">
        <v>178728314</v>
      </c>
      <c r="B351" s="10" t="n">
        <v>664</v>
      </c>
      <c r="C351" s="18" t="s">
        <v>43</v>
      </c>
      <c r="D351" s="15" t="s">
        <v>1427</v>
      </c>
      <c r="E351" s="9" t="s">
        <v>1428</v>
      </c>
      <c r="F351" s="9" t="s">
        <v>211</v>
      </c>
      <c r="G351" s="10" t="n">
        <v>2026</v>
      </c>
      <c r="H351" s="10" t="n">
        <v>10</v>
      </c>
      <c r="I351" s="19" t="n">
        <v>25200</v>
      </c>
      <c r="J351" s="19" t="n">
        <v>28000</v>
      </c>
      <c r="K351" s="10" t="n">
        <v>1400</v>
      </c>
      <c r="L351" s="10" t="n">
        <v>1308</v>
      </c>
      <c r="M351" s="10" t="n">
        <v>1</v>
      </c>
      <c r="N351" s="11" t="n">
        <v>10</v>
      </c>
      <c r="O351" s="18" t="s">
        <v>56</v>
      </c>
    </row>
    <row r="352" customFormat="false" ht="15" hidden="false" customHeight="false" outlineLevel="0" collapsed="false">
      <c r="A352" s="18" t="n">
        <v>178064014</v>
      </c>
      <c r="B352" s="10" t="n">
        <v>667</v>
      </c>
      <c r="C352" s="18" t="s">
        <v>43</v>
      </c>
      <c r="D352" s="9" t="s">
        <v>1433</v>
      </c>
      <c r="E352" s="9" t="s">
        <v>1434</v>
      </c>
      <c r="F352" s="9" t="s">
        <v>64</v>
      </c>
      <c r="G352" s="10" t="n">
        <v>2026</v>
      </c>
      <c r="H352" s="10" t="n">
        <v>10</v>
      </c>
      <c r="I352" s="19" t="n">
        <v>17820</v>
      </c>
      <c r="J352" s="19" t="n">
        <v>19800</v>
      </c>
      <c r="K352" s="10" t="n">
        <v>990</v>
      </c>
      <c r="L352" s="10" t="n">
        <v>846</v>
      </c>
      <c r="M352" s="10" t="n">
        <v>43</v>
      </c>
      <c r="N352" s="11" t="n">
        <v>9.8</v>
      </c>
      <c r="O352" s="18" t="s">
        <v>56</v>
      </c>
    </row>
    <row r="353" customFormat="false" ht="15" hidden="false" customHeight="false" outlineLevel="0" collapsed="false">
      <c r="A353" s="18" t="n">
        <v>177894445</v>
      </c>
      <c r="B353" s="10" t="n">
        <v>668</v>
      </c>
      <c r="C353" s="18" t="s">
        <v>43</v>
      </c>
      <c r="D353" s="9" t="s">
        <v>1435</v>
      </c>
      <c r="E353" s="9" t="s">
        <v>1436</v>
      </c>
      <c r="F353" s="9" t="s">
        <v>422</v>
      </c>
      <c r="G353" s="10" t="n">
        <v>2026</v>
      </c>
      <c r="H353" s="10" t="n">
        <v>10</v>
      </c>
      <c r="I353" s="19" t="n">
        <v>34200</v>
      </c>
      <c r="J353" s="19" t="n">
        <v>38000</v>
      </c>
      <c r="K353" s="10" t="n">
        <v>0</v>
      </c>
      <c r="L353" s="10" t="n">
        <v>486</v>
      </c>
      <c r="M353" s="10" t="n">
        <v>0</v>
      </c>
      <c r="N353" s="11" t="n">
        <v>0</v>
      </c>
      <c r="O353" s="18" t="s">
        <v>56</v>
      </c>
    </row>
    <row r="354" customFormat="false" ht="15" hidden="false" customHeight="false" outlineLevel="0" collapsed="false">
      <c r="A354" s="18" t="n">
        <v>177864378</v>
      </c>
      <c r="B354" s="10" t="n">
        <v>669</v>
      </c>
      <c r="C354" s="18" t="s">
        <v>43</v>
      </c>
      <c r="D354" s="15" t="s">
        <v>1437</v>
      </c>
      <c r="E354" s="9" t="s">
        <v>1438</v>
      </c>
      <c r="F354" s="15" t="s">
        <v>561</v>
      </c>
      <c r="G354" s="10" t="n">
        <v>2026</v>
      </c>
      <c r="H354" s="10" t="n">
        <v>0</v>
      </c>
      <c r="I354" s="19" t="n">
        <v>19000</v>
      </c>
      <c r="J354" s="19" t="n">
        <v>19000</v>
      </c>
      <c r="K354" s="10" t="n">
        <v>0</v>
      </c>
      <c r="L354" s="10" t="n">
        <v>240</v>
      </c>
      <c r="M354" s="10" t="n">
        <v>0</v>
      </c>
      <c r="N354" s="11" t="n">
        <v>0</v>
      </c>
      <c r="O354" s="18" t="s">
        <v>56</v>
      </c>
    </row>
    <row r="355" customFormat="false" ht="15" hidden="false" customHeight="false" outlineLevel="0" collapsed="false">
      <c r="A355" s="18" t="n">
        <v>177863774</v>
      </c>
      <c r="B355" s="10" t="n">
        <v>670</v>
      </c>
      <c r="C355" s="18" t="s">
        <v>43</v>
      </c>
      <c r="D355" s="9" t="s">
        <v>1439</v>
      </c>
      <c r="E355" s="9" t="s">
        <v>1440</v>
      </c>
      <c r="F355" s="9" t="s">
        <v>422</v>
      </c>
      <c r="G355" s="10" t="n">
        <v>2026</v>
      </c>
      <c r="H355" s="10" t="n">
        <v>10</v>
      </c>
      <c r="I355" s="19" t="n">
        <v>40500</v>
      </c>
      <c r="J355" s="19" t="n">
        <v>45000</v>
      </c>
      <c r="K355" s="10" t="n">
        <v>0</v>
      </c>
      <c r="L355" s="10" t="n">
        <v>321</v>
      </c>
      <c r="M355" s="10" t="n">
        <v>0</v>
      </c>
      <c r="N355" s="11" t="n">
        <v>0</v>
      </c>
      <c r="O355" s="18" t="s">
        <v>56</v>
      </c>
    </row>
    <row r="356" customFormat="false" ht="15" hidden="false" customHeight="false" outlineLevel="0" collapsed="false">
      <c r="A356" s="18" t="n">
        <v>177808924</v>
      </c>
      <c r="B356" s="10" t="n">
        <v>671</v>
      </c>
      <c r="C356" s="18" t="s">
        <v>43</v>
      </c>
      <c r="D356" s="9" t="s">
        <v>1441</v>
      </c>
      <c r="E356" s="9" t="s">
        <v>1442</v>
      </c>
      <c r="F356" s="9" t="s">
        <v>279</v>
      </c>
      <c r="G356" s="10" t="n">
        <v>2026</v>
      </c>
      <c r="H356" s="10" t="n">
        <v>10</v>
      </c>
      <c r="I356" s="19" t="n">
        <v>19800</v>
      </c>
      <c r="J356" s="19" t="n">
        <v>22000</v>
      </c>
      <c r="K356" s="10" t="n">
        <v>1100</v>
      </c>
      <c r="L356" s="10" t="n">
        <v>4971</v>
      </c>
      <c r="M356" s="10" t="n">
        <v>13</v>
      </c>
      <c r="N356" s="11" t="n">
        <v>10</v>
      </c>
      <c r="O356" s="18" t="s">
        <v>56</v>
      </c>
    </row>
    <row r="357" customFormat="false" ht="15" hidden="false" customHeight="false" outlineLevel="0" collapsed="false">
      <c r="A357" s="18" t="n">
        <v>177772931</v>
      </c>
      <c r="B357" s="10" t="n">
        <v>672</v>
      </c>
      <c r="C357" s="18" t="s">
        <v>43</v>
      </c>
      <c r="D357" s="15" t="s">
        <v>1443</v>
      </c>
      <c r="E357" s="9" t="s">
        <v>1444</v>
      </c>
      <c r="F357" s="9" t="s">
        <v>1445</v>
      </c>
      <c r="G357" s="10" t="n">
        <v>2026</v>
      </c>
      <c r="H357" s="10" t="n">
        <v>10</v>
      </c>
      <c r="I357" s="19" t="n">
        <v>24750</v>
      </c>
      <c r="J357" s="19" t="n">
        <v>27500</v>
      </c>
      <c r="K357" s="10" t="n">
        <v>1370</v>
      </c>
      <c r="L357" s="10" t="n">
        <v>84</v>
      </c>
      <c r="M357" s="10" t="n">
        <v>0</v>
      </c>
      <c r="N357" s="11" t="n">
        <v>0</v>
      </c>
      <c r="O357" s="18" t="s">
        <v>56</v>
      </c>
    </row>
    <row r="358" customFormat="false" ht="15" hidden="false" customHeight="false" outlineLevel="0" collapsed="false">
      <c r="A358" s="18" t="n">
        <v>177702125</v>
      </c>
      <c r="B358" s="10" t="n">
        <v>673</v>
      </c>
      <c r="C358" s="18" t="s">
        <v>43</v>
      </c>
      <c r="D358" s="9" t="s">
        <v>1446</v>
      </c>
      <c r="E358" s="9" t="s">
        <v>1447</v>
      </c>
      <c r="F358" s="9" t="s">
        <v>1274</v>
      </c>
      <c r="G358" s="10" t="n">
        <v>2026</v>
      </c>
      <c r="H358" s="10" t="n">
        <v>0</v>
      </c>
      <c r="I358" s="19" t="n">
        <v>33000</v>
      </c>
      <c r="J358" s="19" t="n">
        <v>33000</v>
      </c>
      <c r="K358" s="10" t="n">
        <v>990</v>
      </c>
      <c r="L358" s="10" t="n">
        <v>366</v>
      </c>
      <c r="M358" s="10" t="n">
        <v>0</v>
      </c>
      <c r="N358" s="11" t="n">
        <v>0</v>
      </c>
      <c r="O358" s="18" t="s">
        <v>56</v>
      </c>
    </row>
    <row r="359" customFormat="false" ht="15" hidden="false" customHeight="false" outlineLevel="0" collapsed="false">
      <c r="A359" s="18" t="n">
        <v>177127585</v>
      </c>
      <c r="B359" s="10" t="n">
        <v>674</v>
      </c>
      <c r="C359" s="18" t="s">
        <v>43</v>
      </c>
      <c r="D359" s="9" t="s">
        <v>1448</v>
      </c>
      <c r="E359" s="9" t="s">
        <v>1449</v>
      </c>
      <c r="F359" s="9" t="s">
        <v>982</v>
      </c>
      <c r="G359" s="10" t="n">
        <v>2026</v>
      </c>
      <c r="H359" s="10" t="n">
        <v>10</v>
      </c>
      <c r="I359" s="19" t="n">
        <v>19800</v>
      </c>
      <c r="J359" s="19" t="n">
        <v>22000</v>
      </c>
      <c r="K359" s="10" t="n">
        <v>1100</v>
      </c>
      <c r="L359" s="10" t="n">
        <v>312</v>
      </c>
      <c r="M359" s="10" t="n">
        <v>0</v>
      </c>
      <c r="N359" s="11" t="n">
        <v>0</v>
      </c>
      <c r="O359" s="18" t="s">
        <v>56</v>
      </c>
    </row>
    <row r="360" customFormat="false" ht="15" hidden="false" customHeight="false" outlineLevel="0" collapsed="false">
      <c r="A360" s="18" t="n">
        <v>177077802</v>
      </c>
      <c r="B360" s="10" t="n">
        <v>676</v>
      </c>
      <c r="C360" s="18" t="s">
        <v>43</v>
      </c>
      <c r="D360" s="9" t="s">
        <v>1452</v>
      </c>
      <c r="E360" s="9" t="s">
        <v>1453</v>
      </c>
      <c r="F360" s="9" t="s">
        <v>100</v>
      </c>
      <c r="G360" s="10" t="n">
        <v>2026</v>
      </c>
      <c r="H360" s="10" t="n">
        <v>10</v>
      </c>
      <c r="I360" s="19" t="n">
        <v>27000</v>
      </c>
      <c r="J360" s="19" t="n">
        <v>30000</v>
      </c>
      <c r="K360" s="10" t="n">
        <v>1500</v>
      </c>
      <c r="L360" s="10" t="n">
        <v>1182</v>
      </c>
      <c r="M360" s="10" t="n">
        <v>1</v>
      </c>
      <c r="N360" s="11" t="n">
        <v>10</v>
      </c>
      <c r="O360" s="18" t="s">
        <v>46</v>
      </c>
    </row>
    <row r="361" customFormat="false" ht="15" hidden="false" customHeight="false" outlineLevel="0" collapsed="false">
      <c r="A361" s="18" t="n">
        <v>177059661</v>
      </c>
      <c r="B361" s="10" t="n">
        <v>677</v>
      </c>
      <c r="C361" s="18" t="s">
        <v>43</v>
      </c>
      <c r="D361" s="9" t="s">
        <v>1454</v>
      </c>
      <c r="E361" s="9" t="s">
        <v>1455</v>
      </c>
      <c r="F361" s="9" t="s">
        <v>100</v>
      </c>
      <c r="G361" s="10" t="n">
        <v>2026</v>
      </c>
      <c r="H361" s="10" t="n">
        <v>10</v>
      </c>
      <c r="I361" s="19" t="n">
        <v>19800</v>
      </c>
      <c r="J361" s="19" t="n">
        <v>22000</v>
      </c>
      <c r="K361" s="10" t="n">
        <v>1100</v>
      </c>
      <c r="L361" s="10" t="n">
        <v>282</v>
      </c>
      <c r="M361" s="10" t="n">
        <v>2</v>
      </c>
      <c r="N361" s="11" t="n">
        <v>10</v>
      </c>
      <c r="O361" s="18" t="s">
        <v>56</v>
      </c>
    </row>
    <row r="362" customFormat="false" ht="15" hidden="false" customHeight="false" outlineLevel="0" collapsed="false">
      <c r="A362" s="18" t="n">
        <v>176921045</v>
      </c>
      <c r="B362" s="10" t="n">
        <v>678</v>
      </c>
      <c r="C362" s="18" t="s">
        <v>43</v>
      </c>
      <c r="D362" s="9" t="s">
        <v>1456</v>
      </c>
      <c r="E362" s="9" t="s">
        <v>1457</v>
      </c>
      <c r="F362" s="9" t="s">
        <v>1458</v>
      </c>
      <c r="G362" s="10" t="n">
        <v>2026</v>
      </c>
      <c r="H362" s="10" t="n">
        <v>10</v>
      </c>
      <c r="I362" s="19" t="n">
        <v>41130</v>
      </c>
      <c r="J362" s="19" t="n">
        <v>45700</v>
      </c>
      <c r="K362" s="10" t="n">
        <v>2280</v>
      </c>
      <c r="L362" s="10" t="n">
        <v>132</v>
      </c>
      <c r="M362" s="10" t="n">
        <v>1</v>
      </c>
      <c r="N362" s="11" t="n">
        <v>10</v>
      </c>
      <c r="O362" s="18" t="s">
        <v>56</v>
      </c>
    </row>
    <row r="363" customFormat="false" ht="15" hidden="false" customHeight="false" outlineLevel="0" collapsed="false">
      <c r="A363" s="18" t="n">
        <v>176920892</v>
      </c>
      <c r="B363" s="10" t="n">
        <v>679</v>
      </c>
      <c r="C363" s="18" t="s">
        <v>43</v>
      </c>
      <c r="D363" s="9" t="s">
        <v>1459</v>
      </c>
      <c r="E363" s="9" t="s">
        <v>194</v>
      </c>
      <c r="F363" s="9" t="s">
        <v>195</v>
      </c>
      <c r="G363" s="10" t="n">
        <v>2026</v>
      </c>
      <c r="H363" s="10" t="n">
        <v>0</v>
      </c>
      <c r="I363" s="19" t="n">
        <v>39000</v>
      </c>
      <c r="J363" s="19" t="n">
        <v>39000</v>
      </c>
      <c r="K363" s="10" t="n">
        <v>0</v>
      </c>
      <c r="L363" s="10" t="n">
        <v>108</v>
      </c>
      <c r="M363" s="10" t="n">
        <v>0</v>
      </c>
      <c r="N363" s="11" t="n">
        <v>0</v>
      </c>
      <c r="O363" s="18" t="s">
        <v>56</v>
      </c>
    </row>
    <row r="364" customFormat="false" ht="15" hidden="false" customHeight="false" outlineLevel="0" collapsed="false">
      <c r="A364" s="18" t="n">
        <v>176914164</v>
      </c>
      <c r="B364" s="10" t="n">
        <v>681</v>
      </c>
      <c r="C364" s="18" t="s">
        <v>43</v>
      </c>
      <c r="D364" s="9" t="s">
        <v>1462</v>
      </c>
      <c r="E364" s="9" t="s">
        <v>1463</v>
      </c>
      <c r="F364" s="9" t="s">
        <v>311</v>
      </c>
      <c r="G364" s="10" t="n">
        <v>2026</v>
      </c>
      <c r="H364" s="10" t="n">
        <v>10</v>
      </c>
      <c r="I364" s="19" t="n">
        <v>29700</v>
      </c>
      <c r="J364" s="19" t="n">
        <v>33000</v>
      </c>
      <c r="K364" s="10" t="n">
        <v>1650</v>
      </c>
      <c r="L364" s="10" t="n">
        <v>222</v>
      </c>
      <c r="M364" s="10" t="n">
        <v>0</v>
      </c>
      <c r="N364" s="11" t="n">
        <v>0</v>
      </c>
      <c r="O364" s="18" t="s">
        <v>56</v>
      </c>
    </row>
    <row r="365" customFormat="false" ht="15" hidden="false" customHeight="false" outlineLevel="0" collapsed="false">
      <c r="A365" s="18" t="n">
        <v>176506241</v>
      </c>
      <c r="B365" s="10" t="n">
        <v>683</v>
      </c>
      <c r="C365" s="18" t="s">
        <v>43</v>
      </c>
      <c r="D365" s="15" t="s">
        <v>1466</v>
      </c>
      <c r="E365" s="9" t="s">
        <v>1467</v>
      </c>
      <c r="F365" s="9" t="s">
        <v>1468</v>
      </c>
      <c r="G365" s="10" t="n">
        <v>2026</v>
      </c>
      <c r="H365" s="10" t="n">
        <v>10</v>
      </c>
      <c r="I365" s="19" t="n">
        <v>17820</v>
      </c>
      <c r="J365" s="19" t="n">
        <v>19800</v>
      </c>
      <c r="K365" s="10" t="n">
        <v>990</v>
      </c>
      <c r="L365" s="10" t="n">
        <v>420</v>
      </c>
      <c r="M365" s="10" t="n">
        <v>13</v>
      </c>
      <c r="N365" s="11" t="n">
        <v>9.7</v>
      </c>
      <c r="O365" s="18" t="s">
        <v>56</v>
      </c>
    </row>
    <row r="366" customFormat="false" ht="15" hidden="false" customHeight="false" outlineLevel="0" collapsed="false">
      <c r="A366" s="18" t="n">
        <v>176448355</v>
      </c>
      <c r="B366" s="10" t="n">
        <v>684</v>
      </c>
      <c r="C366" s="18" t="s">
        <v>43</v>
      </c>
      <c r="D366" s="9" t="s">
        <v>1469</v>
      </c>
      <c r="E366" s="9" t="s">
        <v>1470</v>
      </c>
      <c r="F366" s="9" t="s">
        <v>259</v>
      </c>
      <c r="G366" s="10" t="n">
        <v>2026</v>
      </c>
      <c r="H366" s="10" t="n">
        <v>10</v>
      </c>
      <c r="I366" s="19" t="n">
        <v>22500</v>
      </c>
      <c r="J366" s="19" t="n">
        <v>25000</v>
      </c>
      <c r="K366" s="10" t="n">
        <v>250</v>
      </c>
      <c r="L366" s="10" t="n">
        <v>390</v>
      </c>
      <c r="M366" s="10" t="n">
        <v>2</v>
      </c>
      <c r="N366" s="11" t="n">
        <v>10</v>
      </c>
      <c r="O366" s="18" t="s">
        <v>56</v>
      </c>
    </row>
    <row r="367" customFormat="false" ht="15" hidden="false" customHeight="false" outlineLevel="0" collapsed="false">
      <c r="A367" s="18" t="n">
        <v>176445563</v>
      </c>
      <c r="B367" s="10" t="n">
        <v>685</v>
      </c>
      <c r="C367" s="18" t="s">
        <v>43</v>
      </c>
      <c r="D367" s="9" t="s">
        <v>1471</v>
      </c>
      <c r="E367" s="9" t="s">
        <v>588</v>
      </c>
      <c r="F367" s="9" t="s">
        <v>589</v>
      </c>
      <c r="G367" s="10" t="n">
        <v>2026</v>
      </c>
      <c r="H367" s="10" t="n">
        <v>10</v>
      </c>
      <c r="I367" s="19" t="n">
        <v>15300</v>
      </c>
      <c r="J367" s="19" t="n">
        <v>17000</v>
      </c>
      <c r="K367" s="10" t="n">
        <v>0</v>
      </c>
      <c r="L367" s="10" t="n">
        <v>1860</v>
      </c>
      <c r="M367" s="10" t="n">
        <v>3</v>
      </c>
      <c r="N367" s="11" t="n">
        <v>10</v>
      </c>
      <c r="O367" s="18" t="s">
        <v>56</v>
      </c>
    </row>
    <row r="368" customFormat="false" ht="15" hidden="false" customHeight="false" outlineLevel="0" collapsed="false">
      <c r="A368" s="18" t="n">
        <v>176445532</v>
      </c>
      <c r="B368" s="10" t="n">
        <v>686</v>
      </c>
      <c r="C368" s="18" t="s">
        <v>43</v>
      </c>
      <c r="D368" s="9" t="s">
        <v>1472</v>
      </c>
      <c r="E368" s="9" t="s">
        <v>588</v>
      </c>
      <c r="F368" s="9" t="s">
        <v>589</v>
      </c>
      <c r="G368" s="10" t="n">
        <v>2026</v>
      </c>
      <c r="H368" s="10" t="n">
        <v>10</v>
      </c>
      <c r="I368" s="19" t="n">
        <v>15300</v>
      </c>
      <c r="J368" s="19" t="n">
        <v>17000</v>
      </c>
      <c r="K368" s="10" t="n">
        <v>0</v>
      </c>
      <c r="L368" s="10" t="n">
        <v>1716</v>
      </c>
      <c r="M368" s="10" t="n">
        <v>3</v>
      </c>
      <c r="N368" s="11" t="n">
        <v>10</v>
      </c>
      <c r="O368" s="18" t="s">
        <v>56</v>
      </c>
    </row>
    <row r="369" customFormat="false" ht="15" hidden="false" customHeight="false" outlineLevel="0" collapsed="false">
      <c r="A369" s="18" t="n">
        <v>176088101</v>
      </c>
      <c r="B369" s="10" t="n">
        <v>687</v>
      </c>
      <c r="C369" s="18" t="s">
        <v>43</v>
      </c>
      <c r="D369" s="15" t="s">
        <v>1473</v>
      </c>
      <c r="E369" s="9" t="s">
        <v>1474</v>
      </c>
      <c r="F369" s="9" t="s">
        <v>422</v>
      </c>
      <c r="G369" s="10" t="n">
        <v>2026</v>
      </c>
      <c r="H369" s="10" t="n">
        <v>10</v>
      </c>
      <c r="I369" s="19" t="n">
        <v>34200</v>
      </c>
      <c r="J369" s="19" t="n">
        <v>38000</v>
      </c>
      <c r="K369" s="10" t="n">
        <v>0</v>
      </c>
      <c r="L369" s="10" t="n">
        <v>258</v>
      </c>
      <c r="M369" s="10" t="n">
        <v>17</v>
      </c>
      <c r="N369" s="11" t="n">
        <v>10</v>
      </c>
      <c r="O369" s="18" t="s">
        <v>56</v>
      </c>
    </row>
    <row r="370" customFormat="false" ht="15" hidden="false" customHeight="false" outlineLevel="0" collapsed="false">
      <c r="A370" s="18" t="n">
        <v>176049282</v>
      </c>
      <c r="B370" s="10" t="n">
        <v>688</v>
      </c>
      <c r="C370" s="18" t="s">
        <v>43</v>
      </c>
      <c r="D370" s="15" t="s">
        <v>1475</v>
      </c>
      <c r="E370" s="9" t="s">
        <v>815</v>
      </c>
      <c r="F370" s="9" t="s">
        <v>511</v>
      </c>
      <c r="G370" s="10" t="n">
        <v>2026</v>
      </c>
      <c r="H370" s="10" t="n">
        <v>10</v>
      </c>
      <c r="I370" s="19" t="n">
        <v>22500</v>
      </c>
      <c r="J370" s="19" t="n">
        <v>25000</v>
      </c>
      <c r="K370" s="10" t="n">
        <v>1250</v>
      </c>
      <c r="L370" s="10" t="n">
        <v>354</v>
      </c>
      <c r="M370" s="10" t="n">
        <v>26</v>
      </c>
      <c r="N370" s="11" t="n">
        <v>10</v>
      </c>
      <c r="O370" s="18" t="s">
        <v>56</v>
      </c>
    </row>
    <row r="371" customFormat="false" ht="15" hidden="false" customHeight="false" outlineLevel="0" collapsed="false">
      <c r="A371" s="18" t="n">
        <v>175912211</v>
      </c>
      <c r="B371" s="10" t="n">
        <v>689</v>
      </c>
      <c r="C371" s="18" t="s">
        <v>43</v>
      </c>
      <c r="D371" s="9" t="s">
        <v>1476</v>
      </c>
      <c r="E371" s="9" t="s">
        <v>601</v>
      </c>
      <c r="F371" s="9" t="s">
        <v>184</v>
      </c>
      <c r="G371" s="10" t="n">
        <v>2026</v>
      </c>
      <c r="H371" s="10" t="n">
        <v>0</v>
      </c>
      <c r="I371" s="19" t="n">
        <v>30000</v>
      </c>
      <c r="J371" s="19" t="n">
        <v>30000</v>
      </c>
      <c r="K371" s="10" t="n">
        <v>0</v>
      </c>
      <c r="L371" s="10" t="n">
        <v>354</v>
      </c>
      <c r="M371" s="10" t="n">
        <v>0</v>
      </c>
      <c r="N371" s="11" t="n">
        <v>0</v>
      </c>
      <c r="O371" s="18" t="s">
        <v>56</v>
      </c>
    </row>
    <row r="372" customFormat="false" ht="15" hidden="false" customHeight="false" outlineLevel="0" collapsed="false">
      <c r="A372" s="18" t="n">
        <v>175268869</v>
      </c>
      <c r="B372" s="10" t="n">
        <v>694</v>
      </c>
      <c r="C372" s="18" t="s">
        <v>43</v>
      </c>
      <c r="D372" s="15" t="s">
        <v>1484</v>
      </c>
      <c r="E372" s="9" t="s">
        <v>1485</v>
      </c>
      <c r="F372" s="9" t="s">
        <v>311</v>
      </c>
      <c r="G372" s="10" t="n">
        <v>2026</v>
      </c>
      <c r="H372" s="10" t="n">
        <v>10</v>
      </c>
      <c r="I372" s="19" t="n">
        <v>40500</v>
      </c>
      <c r="J372" s="19" t="n">
        <v>45000</v>
      </c>
      <c r="K372" s="10" t="n">
        <v>2250</v>
      </c>
      <c r="L372" s="10" t="n">
        <v>216</v>
      </c>
      <c r="M372" s="10" t="n">
        <v>3</v>
      </c>
      <c r="N372" s="11" t="n">
        <v>10</v>
      </c>
      <c r="O372" s="18" t="s">
        <v>56</v>
      </c>
    </row>
    <row r="373" customFormat="false" ht="15" hidden="false" customHeight="false" outlineLevel="0" collapsed="false">
      <c r="A373" s="18" t="n">
        <v>175226781</v>
      </c>
      <c r="B373" s="10" t="n">
        <v>695</v>
      </c>
      <c r="C373" s="18" t="s">
        <v>43</v>
      </c>
      <c r="D373" s="9" t="s">
        <v>1486</v>
      </c>
      <c r="E373" s="9" t="s">
        <v>1487</v>
      </c>
      <c r="F373" s="9" t="s">
        <v>51</v>
      </c>
      <c r="G373" s="10" t="n">
        <v>2026</v>
      </c>
      <c r="H373" s="10" t="n">
        <v>10</v>
      </c>
      <c r="I373" s="19" t="n">
        <v>19800</v>
      </c>
      <c r="J373" s="19" t="n">
        <v>22000</v>
      </c>
      <c r="K373" s="10" t="n">
        <v>1100</v>
      </c>
      <c r="L373" s="10" t="n">
        <v>1365</v>
      </c>
      <c r="M373" s="10" t="n">
        <v>0</v>
      </c>
      <c r="N373" s="11" t="n">
        <v>0</v>
      </c>
      <c r="O373" s="18" t="s">
        <v>56</v>
      </c>
    </row>
    <row r="374" customFormat="false" ht="15" hidden="false" customHeight="false" outlineLevel="0" collapsed="false">
      <c r="A374" s="18" t="n">
        <v>175122536</v>
      </c>
      <c r="B374" s="10" t="n">
        <v>696</v>
      </c>
      <c r="C374" s="18" t="s">
        <v>43</v>
      </c>
      <c r="D374" s="9" t="s">
        <v>1488</v>
      </c>
      <c r="E374" s="9" t="s">
        <v>1489</v>
      </c>
      <c r="F374" s="9" t="s">
        <v>514</v>
      </c>
      <c r="G374" s="10" t="n">
        <v>2026</v>
      </c>
      <c r="H374" s="10" t="n">
        <v>0</v>
      </c>
      <c r="I374" s="19" t="n">
        <v>38000</v>
      </c>
      <c r="J374" s="19" t="n">
        <v>38000</v>
      </c>
      <c r="K374" s="10" t="n">
        <v>0</v>
      </c>
      <c r="L374" s="10" t="n">
        <v>276</v>
      </c>
      <c r="M374" s="10" t="n">
        <v>0</v>
      </c>
      <c r="N374" s="11" t="n">
        <v>0</v>
      </c>
      <c r="O374" s="18" t="s">
        <v>56</v>
      </c>
    </row>
    <row r="375" customFormat="false" ht="15" hidden="false" customHeight="false" outlineLevel="0" collapsed="false">
      <c r="A375" s="18" t="n">
        <v>174965851</v>
      </c>
      <c r="B375" s="10" t="n">
        <v>697</v>
      </c>
      <c r="C375" s="18" t="s">
        <v>43</v>
      </c>
      <c r="D375" s="15" t="s">
        <v>1490</v>
      </c>
      <c r="E375" s="9" t="s">
        <v>1491</v>
      </c>
      <c r="F375" s="9" t="s">
        <v>336</v>
      </c>
      <c r="G375" s="10" t="n">
        <v>2026</v>
      </c>
      <c r="H375" s="10" t="n">
        <v>10</v>
      </c>
      <c r="I375" s="19" t="n">
        <v>22500</v>
      </c>
      <c r="J375" s="19" t="n">
        <v>25000</v>
      </c>
      <c r="K375" s="10" t="n">
        <v>1250</v>
      </c>
      <c r="L375" s="10" t="n">
        <v>708</v>
      </c>
      <c r="M375" s="10" t="n">
        <v>16</v>
      </c>
      <c r="N375" s="11" t="n">
        <v>9.8</v>
      </c>
      <c r="O375" s="18" t="s">
        <v>56</v>
      </c>
    </row>
    <row r="376" customFormat="false" ht="15" hidden="false" customHeight="false" outlineLevel="0" collapsed="false">
      <c r="A376" s="18" t="n">
        <v>174707316</v>
      </c>
      <c r="B376" s="10" t="n">
        <v>698</v>
      </c>
      <c r="C376" s="18" t="s">
        <v>43</v>
      </c>
      <c r="D376" s="9" t="s">
        <v>1492</v>
      </c>
      <c r="E376" s="9" t="s">
        <v>1493</v>
      </c>
      <c r="F376" s="9" t="s">
        <v>259</v>
      </c>
      <c r="G376" s="10" t="n">
        <v>2026</v>
      </c>
      <c r="H376" s="10" t="n">
        <v>10</v>
      </c>
      <c r="I376" s="19" t="n">
        <v>15120</v>
      </c>
      <c r="J376" s="19" t="n">
        <v>16800</v>
      </c>
      <c r="K376" s="10" t="n">
        <v>840</v>
      </c>
      <c r="L376" s="10" t="n">
        <v>2004</v>
      </c>
      <c r="M376" s="10" t="n">
        <v>40</v>
      </c>
      <c r="N376" s="11" t="n">
        <v>9.8</v>
      </c>
      <c r="O376" s="18" t="s">
        <v>56</v>
      </c>
    </row>
    <row r="377" customFormat="false" ht="15" hidden="false" customHeight="false" outlineLevel="0" collapsed="false">
      <c r="A377" s="18" t="n">
        <v>174304314</v>
      </c>
      <c r="B377" s="10" t="n">
        <v>699</v>
      </c>
      <c r="C377" s="18" t="s">
        <v>43</v>
      </c>
      <c r="D377" s="9" t="s">
        <v>1494</v>
      </c>
      <c r="E377" s="9" t="s">
        <v>580</v>
      </c>
      <c r="F377" s="9" t="s">
        <v>231</v>
      </c>
      <c r="G377" s="10" t="n">
        <v>2026</v>
      </c>
      <c r="H377" s="10" t="n">
        <v>10</v>
      </c>
      <c r="I377" s="19" t="n">
        <v>27000</v>
      </c>
      <c r="J377" s="19" t="n">
        <v>30000</v>
      </c>
      <c r="K377" s="10" t="n">
        <v>1500</v>
      </c>
      <c r="L377" s="10" t="n">
        <v>876</v>
      </c>
      <c r="M377" s="10" t="n">
        <v>1</v>
      </c>
      <c r="N377" s="11" t="n">
        <v>10</v>
      </c>
      <c r="O377" s="18" t="s">
        <v>56</v>
      </c>
    </row>
    <row r="378" customFormat="false" ht="15" hidden="false" customHeight="false" outlineLevel="0" collapsed="false">
      <c r="A378" s="18" t="n">
        <v>174197933</v>
      </c>
      <c r="B378" s="10" t="n">
        <v>700</v>
      </c>
      <c r="C378" s="18" t="s">
        <v>43</v>
      </c>
      <c r="D378" s="9" t="s">
        <v>1495</v>
      </c>
      <c r="E378" s="9" t="s">
        <v>1496</v>
      </c>
      <c r="F378" s="9" t="s">
        <v>1497</v>
      </c>
      <c r="G378" s="10" t="n">
        <v>2026</v>
      </c>
      <c r="H378" s="10" t="n">
        <v>10</v>
      </c>
      <c r="I378" s="19" t="n">
        <v>22950</v>
      </c>
      <c r="J378" s="19" t="n">
        <v>25500</v>
      </c>
      <c r="K378" s="10" t="n">
        <v>1270</v>
      </c>
      <c r="L378" s="10" t="n">
        <v>2337</v>
      </c>
      <c r="M378" s="10" t="n">
        <v>9</v>
      </c>
      <c r="N378" s="11" t="n">
        <v>10</v>
      </c>
      <c r="O378" s="18" t="s">
        <v>56</v>
      </c>
    </row>
    <row r="379" customFormat="false" ht="15" hidden="false" customHeight="false" outlineLevel="0" collapsed="false">
      <c r="A379" s="18" t="n">
        <v>173941742</v>
      </c>
      <c r="B379" s="10" t="n">
        <v>701</v>
      </c>
      <c r="C379" s="18" t="s">
        <v>43</v>
      </c>
      <c r="D379" s="9" t="s">
        <v>1498</v>
      </c>
      <c r="E379" s="9" t="s">
        <v>1247</v>
      </c>
      <c r="F379" s="9" t="s">
        <v>1248</v>
      </c>
      <c r="G379" s="10" t="n">
        <v>2026</v>
      </c>
      <c r="H379" s="10" t="n">
        <v>10</v>
      </c>
      <c r="I379" s="19" t="n">
        <v>21420</v>
      </c>
      <c r="J379" s="19" t="n">
        <v>23800</v>
      </c>
      <c r="K379" s="10" t="n">
        <v>1190</v>
      </c>
      <c r="L379" s="10" t="n">
        <v>426</v>
      </c>
      <c r="M379" s="10" t="n">
        <v>1</v>
      </c>
      <c r="N379" s="11" t="n">
        <v>10</v>
      </c>
      <c r="O379" s="18" t="s">
        <v>56</v>
      </c>
    </row>
    <row r="380" customFormat="false" ht="15" hidden="false" customHeight="false" outlineLevel="0" collapsed="false">
      <c r="A380" s="18" t="n">
        <v>173650021</v>
      </c>
      <c r="B380" s="10" t="n">
        <v>702</v>
      </c>
      <c r="C380" s="18" t="s">
        <v>43</v>
      </c>
      <c r="D380" s="15" t="s">
        <v>1499</v>
      </c>
      <c r="E380" s="9" t="s">
        <v>1500</v>
      </c>
      <c r="F380" s="9" t="s">
        <v>25</v>
      </c>
      <c r="G380" s="10" t="n">
        <v>2026</v>
      </c>
      <c r="H380" s="10" t="n">
        <v>0</v>
      </c>
      <c r="I380" s="19" t="n">
        <v>12000</v>
      </c>
      <c r="J380" s="19" t="n">
        <v>12000</v>
      </c>
      <c r="K380" s="10" t="n">
        <v>0</v>
      </c>
      <c r="L380" s="10" t="n">
        <v>150</v>
      </c>
      <c r="M380" s="10" t="n">
        <v>0</v>
      </c>
      <c r="N380" s="11" t="n">
        <v>0</v>
      </c>
      <c r="O380" s="18" t="s">
        <v>56</v>
      </c>
    </row>
    <row r="381" customFormat="false" ht="15" hidden="false" customHeight="false" outlineLevel="0" collapsed="false">
      <c r="A381" s="18" t="n">
        <v>173235066</v>
      </c>
      <c r="B381" s="10" t="n">
        <v>703</v>
      </c>
      <c r="C381" s="18" t="s">
        <v>43</v>
      </c>
      <c r="D381" s="9" t="s">
        <v>1501</v>
      </c>
      <c r="E381" s="9" t="s">
        <v>1502</v>
      </c>
      <c r="F381" s="9" t="s">
        <v>184</v>
      </c>
      <c r="G381" s="10" t="n">
        <v>2026</v>
      </c>
      <c r="H381" s="10" t="n">
        <v>5</v>
      </c>
      <c r="I381" s="19" t="n">
        <v>18050</v>
      </c>
      <c r="J381" s="19" t="n">
        <v>19000</v>
      </c>
      <c r="K381" s="10" t="n">
        <v>570</v>
      </c>
      <c r="L381" s="10" t="n">
        <v>1572</v>
      </c>
      <c r="M381" s="10" t="n">
        <v>64</v>
      </c>
      <c r="N381" s="11" t="n">
        <v>9.8</v>
      </c>
      <c r="O381" s="18" t="s">
        <v>56</v>
      </c>
    </row>
    <row r="382" customFormat="false" ht="15" hidden="false" customHeight="false" outlineLevel="0" collapsed="false">
      <c r="A382" s="18" t="n">
        <v>172551312</v>
      </c>
      <c r="B382" s="10" t="n">
        <v>705</v>
      </c>
      <c r="C382" s="18" t="s">
        <v>43</v>
      </c>
      <c r="D382" s="9" t="s">
        <v>1505</v>
      </c>
      <c r="E382" s="9" t="s">
        <v>1506</v>
      </c>
      <c r="F382" s="9" t="s">
        <v>552</v>
      </c>
      <c r="G382" s="10" t="n">
        <v>2026</v>
      </c>
      <c r="H382" s="10" t="n">
        <v>10</v>
      </c>
      <c r="I382" s="19" t="n">
        <v>21600</v>
      </c>
      <c r="J382" s="19" t="n">
        <v>24000</v>
      </c>
      <c r="K382" s="10" t="n">
        <v>1200</v>
      </c>
      <c r="L382" s="10" t="n">
        <v>276</v>
      </c>
      <c r="M382" s="10" t="n">
        <v>9</v>
      </c>
      <c r="N382" s="11" t="n">
        <v>10</v>
      </c>
      <c r="O382" s="18" t="s">
        <v>56</v>
      </c>
    </row>
    <row r="383" customFormat="false" ht="15" hidden="false" customHeight="false" outlineLevel="0" collapsed="false">
      <c r="A383" s="18" t="n">
        <v>171532472</v>
      </c>
      <c r="B383" s="10" t="n">
        <v>706</v>
      </c>
      <c r="C383" s="18" t="s">
        <v>43</v>
      </c>
      <c r="D383" s="15" t="s">
        <v>1507</v>
      </c>
      <c r="E383" s="9" t="s">
        <v>1508</v>
      </c>
      <c r="F383" s="9" t="s">
        <v>1509</v>
      </c>
      <c r="G383" s="10" t="n">
        <v>2026</v>
      </c>
      <c r="H383" s="10" t="n">
        <v>10</v>
      </c>
      <c r="I383" s="19" t="n">
        <v>17100</v>
      </c>
      <c r="J383" s="19" t="n">
        <v>19000</v>
      </c>
      <c r="K383" s="10" t="n">
        <v>950</v>
      </c>
      <c r="L383" s="10" t="n">
        <v>828</v>
      </c>
      <c r="M383" s="10" t="n">
        <v>0</v>
      </c>
      <c r="N383" s="11" t="n">
        <v>0</v>
      </c>
      <c r="O383" s="18" t="s">
        <v>56</v>
      </c>
    </row>
    <row r="384" customFormat="false" ht="15" hidden="false" customHeight="false" outlineLevel="0" collapsed="false">
      <c r="A384" s="18" t="n">
        <v>171428416</v>
      </c>
      <c r="B384" s="10" t="n">
        <v>707</v>
      </c>
      <c r="C384" s="18" t="s">
        <v>43</v>
      </c>
      <c r="D384" s="15" t="s">
        <v>1510</v>
      </c>
      <c r="E384" s="9" t="s">
        <v>1511</v>
      </c>
      <c r="F384" s="9" t="s">
        <v>1512</v>
      </c>
      <c r="G384" s="10" t="n">
        <v>2026</v>
      </c>
      <c r="H384" s="10" t="n">
        <v>10</v>
      </c>
      <c r="I384" s="19" t="n">
        <v>17100</v>
      </c>
      <c r="J384" s="19" t="n">
        <v>19000</v>
      </c>
      <c r="K384" s="10" t="n">
        <v>950</v>
      </c>
      <c r="L384" s="10" t="n">
        <v>1455</v>
      </c>
      <c r="M384" s="10" t="n">
        <v>12</v>
      </c>
      <c r="N384" s="11" t="n">
        <v>9.5</v>
      </c>
      <c r="O384" s="18" t="s">
        <v>56</v>
      </c>
    </row>
    <row r="385" customFormat="false" ht="15" hidden="false" customHeight="false" outlineLevel="0" collapsed="false">
      <c r="A385" s="18" t="n">
        <v>170473312</v>
      </c>
      <c r="B385" s="10" t="n">
        <v>709</v>
      </c>
      <c r="C385" s="18" t="s">
        <v>43</v>
      </c>
      <c r="D385" s="9" t="s">
        <v>1515</v>
      </c>
      <c r="E385" s="9" t="s">
        <v>1516</v>
      </c>
      <c r="F385" s="9" t="s">
        <v>1517</v>
      </c>
      <c r="G385" s="10" t="n">
        <v>2025</v>
      </c>
      <c r="H385" s="10" t="n">
        <v>10</v>
      </c>
      <c r="I385" s="19" t="n">
        <v>16200</v>
      </c>
      <c r="J385" s="19" t="n">
        <v>18000</v>
      </c>
      <c r="K385" s="10" t="n">
        <v>900</v>
      </c>
      <c r="L385" s="10" t="n">
        <v>366</v>
      </c>
      <c r="M385" s="10" t="n">
        <v>2</v>
      </c>
      <c r="N385" s="11" t="n">
        <v>10</v>
      </c>
      <c r="O385" s="18" t="s">
        <v>56</v>
      </c>
    </row>
    <row r="386" customFormat="false" ht="15" hidden="false" customHeight="false" outlineLevel="0" collapsed="false">
      <c r="A386" s="18" t="n">
        <v>170430984</v>
      </c>
      <c r="B386" s="10" t="n">
        <v>710</v>
      </c>
      <c r="C386" s="18" t="s">
        <v>43</v>
      </c>
      <c r="D386" s="9" t="s">
        <v>1518</v>
      </c>
      <c r="E386" s="9" t="s">
        <v>1519</v>
      </c>
      <c r="F386" s="9" t="s">
        <v>747</v>
      </c>
      <c r="G386" s="10" t="n">
        <v>2026</v>
      </c>
      <c r="H386" s="10" t="n">
        <v>10</v>
      </c>
      <c r="I386" s="19" t="n">
        <v>30600</v>
      </c>
      <c r="J386" s="19" t="n">
        <v>34000</v>
      </c>
      <c r="K386" s="10" t="n">
        <v>1700</v>
      </c>
      <c r="L386" s="10" t="n">
        <v>636</v>
      </c>
      <c r="M386" s="10" t="n">
        <v>0</v>
      </c>
      <c r="N386" s="11" t="n">
        <v>0</v>
      </c>
      <c r="O386" s="18" t="s">
        <v>56</v>
      </c>
    </row>
    <row r="387" customFormat="false" ht="15" hidden="false" customHeight="false" outlineLevel="0" collapsed="false">
      <c r="A387" s="18" t="n">
        <v>168840675</v>
      </c>
      <c r="B387" s="10" t="n">
        <v>713</v>
      </c>
      <c r="C387" s="18" t="s">
        <v>43</v>
      </c>
      <c r="D387" s="9" t="s">
        <v>1524</v>
      </c>
      <c r="E387" s="9" t="s">
        <v>1525</v>
      </c>
      <c r="F387" s="9" t="s">
        <v>511</v>
      </c>
      <c r="G387" s="10" t="n">
        <v>2025</v>
      </c>
      <c r="H387" s="10" t="n">
        <v>10</v>
      </c>
      <c r="I387" s="19" t="n">
        <v>17100</v>
      </c>
      <c r="J387" s="19" t="n">
        <v>19000</v>
      </c>
      <c r="K387" s="10" t="n">
        <v>950</v>
      </c>
      <c r="L387" s="10" t="n">
        <v>450</v>
      </c>
      <c r="M387" s="10" t="n">
        <v>31</v>
      </c>
      <c r="N387" s="11" t="n">
        <v>9.9</v>
      </c>
      <c r="O387" s="18" t="s">
        <v>56</v>
      </c>
    </row>
    <row r="388" customFormat="false" ht="15" hidden="false" customHeight="false" outlineLevel="0" collapsed="false">
      <c r="A388" s="18" t="n">
        <v>168648560</v>
      </c>
      <c r="B388" s="10" t="n">
        <v>714</v>
      </c>
      <c r="C388" s="18" t="s">
        <v>43</v>
      </c>
      <c r="D388" s="9" t="s">
        <v>1526</v>
      </c>
      <c r="E388" s="9" t="s">
        <v>895</v>
      </c>
      <c r="F388" s="9" t="s">
        <v>322</v>
      </c>
      <c r="G388" s="10" t="n">
        <v>2025</v>
      </c>
      <c r="H388" s="10" t="n">
        <v>10</v>
      </c>
      <c r="I388" s="19" t="n">
        <v>11700</v>
      </c>
      <c r="J388" s="19" t="n">
        <v>13000</v>
      </c>
      <c r="K388" s="10" t="n">
        <v>0</v>
      </c>
      <c r="L388" s="10" t="n">
        <v>402</v>
      </c>
      <c r="M388" s="10" t="n">
        <v>10</v>
      </c>
      <c r="N388" s="11" t="n">
        <v>10</v>
      </c>
      <c r="O388" s="18" t="s">
        <v>56</v>
      </c>
    </row>
    <row r="389" customFormat="false" ht="15" hidden="false" customHeight="false" outlineLevel="0" collapsed="false">
      <c r="A389" s="18" t="n">
        <v>168635560</v>
      </c>
      <c r="B389" s="10" t="n">
        <v>715</v>
      </c>
      <c r="C389" s="18" t="s">
        <v>43</v>
      </c>
      <c r="D389" s="15" t="s">
        <v>1527</v>
      </c>
      <c r="E389" s="9" t="s">
        <v>1528</v>
      </c>
      <c r="F389" s="9" t="s">
        <v>25</v>
      </c>
      <c r="G389" s="10" t="n">
        <v>2025</v>
      </c>
      <c r="H389" s="10" t="n">
        <v>0</v>
      </c>
      <c r="I389" s="19" t="n">
        <v>12000</v>
      </c>
      <c r="J389" s="19" t="n">
        <v>12000</v>
      </c>
      <c r="K389" s="10" t="n">
        <v>0</v>
      </c>
      <c r="L389" s="10" t="n">
        <v>108</v>
      </c>
      <c r="M389" s="10" t="n">
        <v>0</v>
      </c>
      <c r="N389" s="11" t="n">
        <v>0</v>
      </c>
      <c r="O389" s="18" t="s">
        <v>56</v>
      </c>
    </row>
    <row r="390" customFormat="false" ht="15" hidden="false" customHeight="false" outlineLevel="0" collapsed="false">
      <c r="A390" s="18" t="n">
        <v>167649586</v>
      </c>
      <c r="B390" s="10" t="n">
        <v>720</v>
      </c>
      <c r="C390" s="18" t="s">
        <v>43</v>
      </c>
      <c r="D390" s="9" t="s">
        <v>1536</v>
      </c>
      <c r="E390" s="9" t="s">
        <v>1537</v>
      </c>
      <c r="F390" s="9" t="s">
        <v>1538</v>
      </c>
      <c r="G390" s="10" t="n">
        <v>2026</v>
      </c>
      <c r="H390" s="10" t="n">
        <v>0</v>
      </c>
      <c r="I390" s="19" t="n">
        <v>36000</v>
      </c>
      <c r="J390" s="19" t="n">
        <v>36000</v>
      </c>
      <c r="K390" s="10" t="n">
        <v>0</v>
      </c>
      <c r="L390" s="10" t="n">
        <v>426</v>
      </c>
      <c r="M390" s="10" t="n">
        <v>0</v>
      </c>
      <c r="N390" s="11" t="n">
        <v>0</v>
      </c>
      <c r="O390" s="18" t="s">
        <v>56</v>
      </c>
    </row>
    <row r="391" customFormat="false" ht="15" hidden="false" customHeight="false" outlineLevel="0" collapsed="false">
      <c r="A391" s="18" t="n">
        <v>167550771</v>
      </c>
      <c r="B391" s="10" t="n">
        <v>723</v>
      </c>
      <c r="C391" s="18" t="s">
        <v>43</v>
      </c>
      <c r="D391" s="9" t="s">
        <v>1542</v>
      </c>
      <c r="E391" s="9" t="s">
        <v>1543</v>
      </c>
      <c r="F391" s="9" t="s">
        <v>1544</v>
      </c>
      <c r="G391" s="10" t="n">
        <v>2025</v>
      </c>
      <c r="H391" s="10" t="n">
        <v>10</v>
      </c>
      <c r="I391" s="19" t="n">
        <v>16200</v>
      </c>
      <c r="J391" s="19" t="n">
        <v>18000</v>
      </c>
      <c r="K391" s="10" t="n">
        <v>900</v>
      </c>
      <c r="L391" s="10" t="n">
        <v>2382</v>
      </c>
      <c r="M391" s="10" t="n">
        <v>22</v>
      </c>
      <c r="N391" s="11" t="n">
        <v>9.5</v>
      </c>
      <c r="O391" s="18" t="s">
        <v>56</v>
      </c>
    </row>
    <row r="392" customFormat="false" ht="15" hidden="false" customHeight="false" outlineLevel="0" collapsed="false">
      <c r="A392" s="18" t="n">
        <v>167548416</v>
      </c>
      <c r="B392" s="10" t="n">
        <v>724</v>
      </c>
      <c r="C392" s="18" t="s">
        <v>43</v>
      </c>
      <c r="D392" s="15" t="s">
        <v>1545</v>
      </c>
      <c r="E392" s="9" t="s">
        <v>1546</v>
      </c>
      <c r="F392" s="9" t="s">
        <v>544</v>
      </c>
      <c r="G392" s="10" t="n">
        <v>2025</v>
      </c>
      <c r="H392" s="10" t="n">
        <v>10</v>
      </c>
      <c r="I392" s="19" t="n">
        <v>10800</v>
      </c>
      <c r="J392" s="19" t="n">
        <v>12000</v>
      </c>
      <c r="K392" s="10" t="n">
        <v>600</v>
      </c>
      <c r="L392" s="10" t="n">
        <v>702</v>
      </c>
      <c r="M392" s="10" t="n">
        <v>12</v>
      </c>
      <c r="N392" s="11" t="n">
        <v>10</v>
      </c>
      <c r="O392" s="18" t="s">
        <v>56</v>
      </c>
    </row>
    <row r="393" customFormat="false" ht="15" hidden="false" customHeight="false" outlineLevel="0" collapsed="false">
      <c r="A393" s="18" t="n">
        <v>167465671</v>
      </c>
      <c r="B393" s="10" t="n">
        <v>727</v>
      </c>
      <c r="C393" s="18" t="s">
        <v>43</v>
      </c>
      <c r="D393" s="15" t="s">
        <v>1550</v>
      </c>
      <c r="E393" s="9" t="s">
        <v>1551</v>
      </c>
      <c r="F393" s="9" t="s">
        <v>1552</v>
      </c>
      <c r="G393" s="10" t="n">
        <v>2025</v>
      </c>
      <c r="H393" s="10" t="n">
        <v>10</v>
      </c>
      <c r="I393" s="19" t="n">
        <v>22320</v>
      </c>
      <c r="J393" s="19" t="n">
        <v>24800</v>
      </c>
      <c r="K393" s="10" t="n">
        <v>1240</v>
      </c>
      <c r="L393" s="10" t="n">
        <v>9108</v>
      </c>
      <c r="M393" s="10" t="n">
        <v>49</v>
      </c>
      <c r="N393" s="11" t="n">
        <v>9.8</v>
      </c>
      <c r="O393" s="18" t="s">
        <v>56</v>
      </c>
    </row>
    <row r="394" customFormat="false" ht="15" hidden="false" customHeight="false" outlineLevel="0" collapsed="false">
      <c r="A394" s="18" t="n">
        <v>166394010</v>
      </c>
      <c r="B394" s="10" t="n">
        <v>730</v>
      </c>
      <c r="C394" s="18" t="s">
        <v>43</v>
      </c>
      <c r="D394" s="15" t="s">
        <v>1557</v>
      </c>
      <c r="E394" s="9" t="s">
        <v>1558</v>
      </c>
      <c r="F394" s="9" t="s">
        <v>422</v>
      </c>
      <c r="G394" s="10" t="n">
        <v>2025</v>
      </c>
      <c r="H394" s="10" t="n">
        <v>10</v>
      </c>
      <c r="I394" s="19" t="n">
        <v>37800</v>
      </c>
      <c r="J394" s="19" t="n">
        <v>42000</v>
      </c>
      <c r="K394" s="10" t="n">
        <v>2100</v>
      </c>
      <c r="L394" s="10" t="n">
        <v>576</v>
      </c>
      <c r="M394" s="10" t="n">
        <v>5</v>
      </c>
      <c r="N394" s="11" t="n">
        <v>6.4</v>
      </c>
      <c r="O394" s="18" t="s">
        <v>56</v>
      </c>
    </row>
    <row r="395" customFormat="false" ht="15" hidden="false" customHeight="false" outlineLevel="0" collapsed="false">
      <c r="A395" s="18" t="n">
        <v>166370769</v>
      </c>
      <c r="B395" s="10" t="n">
        <v>732</v>
      </c>
      <c r="C395" s="18" t="s">
        <v>43</v>
      </c>
      <c r="D395" s="9" t="s">
        <v>1561</v>
      </c>
      <c r="E395" s="9" t="s">
        <v>1562</v>
      </c>
      <c r="F395" s="9" t="s">
        <v>1563</v>
      </c>
      <c r="G395" s="10" t="n">
        <v>2025</v>
      </c>
      <c r="H395" s="10" t="n">
        <v>10</v>
      </c>
      <c r="I395" s="19" t="n">
        <v>15750</v>
      </c>
      <c r="J395" s="19" t="n">
        <v>17500</v>
      </c>
      <c r="K395" s="10" t="n">
        <v>870</v>
      </c>
      <c r="L395" s="10" t="n">
        <v>726</v>
      </c>
      <c r="M395" s="10" t="n">
        <v>10</v>
      </c>
      <c r="N395" s="11" t="n">
        <v>10</v>
      </c>
      <c r="O395" s="18" t="s">
        <v>56</v>
      </c>
    </row>
    <row r="396" customFormat="false" ht="15" hidden="false" customHeight="false" outlineLevel="0" collapsed="false">
      <c r="A396" s="18" t="n">
        <v>165600168</v>
      </c>
      <c r="B396" s="10" t="n">
        <v>733</v>
      </c>
      <c r="C396" s="18" t="s">
        <v>43</v>
      </c>
      <c r="D396" s="15" t="s">
        <v>1564</v>
      </c>
      <c r="E396" s="9" t="s">
        <v>1565</v>
      </c>
      <c r="F396" s="9" t="s">
        <v>25</v>
      </c>
      <c r="G396" s="10" t="n">
        <v>2025</v>
      </c>
      <c r="H396" s="10" t="n">
        <v>0</v>
      </c>
      <c r="I396" s="19" t="n">
        <v>12000</v>
      </c>
      <c r="J396" s="19" t="n">
        <v>12000</v>
      </c>
      <c r="K396" s="10" t="n">
        <v>0</v>
      </c>
      <c r="L396" s="10" t="n">
        <v>84</v>
      </c>
      <c r="M396" s="10" t="n">
        <v>0</v>
      </c>
      <c r="N396" s="11" t="n">
        <v>0</v>
      </c>
      <c r="O396" s="18" t="s">
        <v>56</v>
      </c>
    </row>
    <row r="397" customFormat="false" ht="15" hidden="false" customHeight="false" outlineLevel="0" collapsed="false">
      <c r="A397" s="18" t="n">
        <v>165275154</v>
      </c>
      <c r="B397" s="10" t="n">
        <v>735</v>
      </c>
      <c r="C397" s="18" t="s">
        <v>43</v>
      </c>
      <c r="D397" s="9" t="s">
        <v>1568</v>
      </c>
      <c r="E397" s="9" t="s">
        <v>1569</v>
      </c>
      <c r="F397" s="9" t="s">
        <v>511</v>
      </c>
      <c r="G397" s="10" t="n">
        <v>2025</v>
      </c>
      <c r="H397" s="10" t="n">
        <v>10</v>
      </c>
      <c r="I397" s="19" t="n">
        <v>16200</v>
      </c>
      <c r="J397" s="19" t="n">
        <v>18000</v>
      </c>
      <c r="K397" s="10" t="n">
        <v>900</v>
      </c>
      <c r="L397" s="10" t="n">
        <v>2136</v>
      </c>
      <c r="M397" s="10" t="n">
        <v>24</v>
      </c>
      <c r="N397" s="11" t="n">
        <v>10</v>
      </c>
      <c r="O397" s="18" t="s">
        <v>56</v>
      </c>
    </row>
    <row r="398" customFormat="false" ht="15" hidden="false" customHeight="false" outlineLevel="0" collapsed="false">
      <c r="A398" s="18" t="n">
        <v>163582447</v>
      </c>
      <c r="B398" s="10" t="n">
        <v>736</v>
      </c>
      <c r="C398" s="18" t="s">
        <v>43</v>
      </c>
      <c r="D398" s="15" t="s">
        <v>1570</v>
      </c>
      <c r="E398" s="9" t="s">
        <v>1571</v>
      </c>
      <c r="F398" s="9" t="s">
        <v>1572</v>
      </c>
      <c r="G398" s="10" t="n">
        <v>2025</v>
      </c>
      <c r="H398" s="10" t="n">
        <v>10</v>
      </c>
      <c r="I398" s="19" t="n">
        <v>16200</v>
      </c>
      <c r="J398" s="19" t="n">
        <v>18000</v>
      </c>
      <c r="K398" s="10" t="n">
        <v>900</v>
      </c>
      <c r="L398" s="10" t="n">
        <v>126</v>
      </c>
      <c r="M398" s="10" t="n">
        <v>45</v>
      </c>
      <c r="N398" s="11" t="n">
        <v>9.6</v>
      </c>
      <c r="O398" s="18" t="s">
        <v>56</v>
      </c>
    </row>
    <row r="399" customFormat="false" ht="15" hidden="false" customHeight="false" outlineLevel="0" collapsed="false">
      <c r="A399" s="18" t="n">
        <v>163108270</v>
      </c>
      <c r="B399" s="10" t="n">
        <v>737</v>
      </c>
      <c r="C399" s="18" t="s">
        <v>43</v>
      </c>
      <c r="D399" s="9" t="s">
        <v>1573</v>
      </c>
      <c r="E399" s="9" t="s">
        <v>1574</v>
      </c>
      <c r="F399" s="15" t="s">
        <v>680</v>
      </c>
      <c r="G399" s="10" t="n">
        <v>2025</v>
      </c>
      <c r="H399" s="10" t="n">
        <v>5</v>
      </c>
      <c r="I399" s="19" t="n">
        <v>27550</v>
      </c>
      <c r="J399" s="19" t="n">
        <v>29000</v>
      </c>
      <c r="K399" s="10" t="n">
        <v>0</v>
      </c>
      <c r="L399" s="10" t="n">
        <v>240</v>
      </c>
      <c r="M399" s="10" t="n">
        <v>0</v>
      </c>
      <c r="N399" s="11" t="n">
        <v>0</v>
      </c>
      <c r="O399" s="18" t="s">
        <v>56</v>
      </c>
    </row>
    <row r="400" customFormat="false" ht="15" hidden="false" customHeight="false" outlineLevel="0" collapsed="false">
      <c r="A400" s="18" t="n">
        <v>162993187</v>
      </c>
      <c r="B400" s="10" t="n">
        <v>738</v>
      </c>
      <c r="C400" s="18" t="s">
        <v>43</v>
      </c>
      <c r="D400" s="9" t="s">
        <v>1575</v>
      </c>
      <c r="E400" s="9" t="s">
        <v>333</v>
      </c>
      <c r="F400" s="9" t="s">
        <v>514</v>
      </c>
      <c r="G400" s="10" t="n">
        <v>2025</v>
      </c>
      <c r="H400" s="10" t="n">
        <v>0</v>
      </c>
      <c r="I400" s="19" t="n">
        <v>26000</v>
      </c>
      <c r="J400" s="19" t="n">
        <v>26000</v>
      </c>
      <c r="K400" s="10" t="n">
        <v>780</v>
      </c>
      <c r="L400" s="10" t="n">
        <v>2997</v>
      </c>
      <c r="M400" s="10" t="n">
        <v>2</v>
      </c>
      <c r="N400" s="11" t="n">
        <v>9</v>
      </c>
      <c r="O400" s="18" t="s">
        <v>56</v>
      </c>
    </row>
    <row r="401" customFormat="false" ht="15" hidden="false" customHeight="false" outlineLevel="0" collapsed="false">
      <c r="A401" s="18" t="n">
        <v>160217631</v>
      </c>
      <c r="B401" s="10" t="n">
        <v>744</v>
      </c>
      <c r="C401" s="18" t="s">
        <v>43</v>
      </c>
      <c r="D401" s="9" t="s">
        <v>1586</v>
      </c>
      <c r="E401" s="9" t="s">
        <v>1587</v>
      </c>
      <c r="F401" s="9" t="s">
        <v>1588</v>
      </c>
      <c r="G401" s="10" t="n">
        <v>2025</v>
      </c>
      <c r="H401" s="10" t="n">
        <v>10</v>
      </c>
      <c r="I401" s="19" t="n">
        <v>17820</v>
      </c>
      <c r="J401" s="19" t="n">
        <v>19800</v>
      </c>
      <c r="K401" s="10" t="n">
        <v>990</v>
      </c>
      <c r="L401" s="10" t="n">
        <v>8352</v>
      </c>
      <c r="M401" s="10" t="n">
        <v>270</v>
      </c>
      <c r="N401" s="11" t="n">
        <v>10</v>
      </c>
      <c r="O401" s="18" t="s">
        <v>56</v>
      </c>
    </row>
    <row r="402" customFormat="false" ht="15" hidden="false" customHeight="false" outlineLevel="0" collapsed="false">
      <c r="A402" s="18" t="n">
        <v>159636881</v>
      </c>
      <c r="B402" s="10" t="n">
        <v>746</v>
      </c>
      <c r="C402" s="18" t="s">
        <v>43</v>
      </c>
      <c r="D402" s="15" t="s">
        <v>1591</v>
      </c>
      <c r="E402" s="9" t="s">
        <v>1592</v>
      </c>
      <c r="F402" s="9" t="s">
        <v>25</v>
      </c>
      <c r="G402" s="10" t="n">
        <v>2025</v>
      </c>
      <c r="H402" s="10" t="n">
        <v>0</v>
      </c>
      <c r="I402" s="19" t="n">
        <v>12000</v>
      </c>
      <c r="J402" s="19" t="n">
        <v>12000</v>
      </c>
      <c r="K402" s="10" t="n">
        <v>0</v>
      </c>
      <c r="L402" s="10" t="n">
        <v>198</v>
      </c>
      <c r="M402" s="10" t="n">
        <v>0</v>
      </c>
      <c r="N402" s="11" t="n">
        <v>0</v>
      </c>
      <c r="O402" s="18" t="s">
        <v>56</v>
      </c>
    </row>
    <row r="403" customFormat="false" ht="15" hidden="false" customHeight="false" outlineLevel="0" collapsed="false">
      <c r="A403" s="18" t="n">
        <v>159566794</v>
      </c>
      <c r="B403" s="10" t="n">
        <v>747</v>
      </c>
      <c r="C403" s="18" t="s">
        <v>43</v>
      </c>
      <c r="D403" s="9" t="s">
        <v>1593</v>
      </c>
      <c r="E403" s="9" t="s">
        <v>1594</v>
      </c>
      <c r="F403" s="9" t="s">
        <v>311</v>
      </c>
      <c r="G403" s="10" t="n">
        <v>2025</v>
      </c>
      <c r="H403" s="10" t="n">
        <v>10</v>
      </c>
      <c r="I403" s="19" t="n">
        <v>21600</v>
      </c>
      <c r="J403" s="19" t="n">
        <v>24000</v>
      </c>
      <c r="K403" s="10" t="n">
        <v>1200</v>
      </c>
      <c r="L403" s="10" t="n">
        <v>990</v>
      </c>
      <c r="M403" s="10" t="n">
        <v>1</v>
      </c>
      <c r="N403" s="11" t="n">
        <v>10</v>
      </c>
      <c r="O403" s="18" t="s">
        <v>56</v>
      </c>
    </row>
    <row r="404" customFormat="false" ht="15" hidden="false" customHeight="false" outlineLevel="0" collapsed="false">
      <c r="A404" s="18" t="n">
        <v>159565758</v>
      </c>
      <c r="B404" s="10" t="n">
        <v>748</v>
      </c>
      <c r="C404" s="18" t="s">
        <v>43</v>
      </c>
      <c r="D404" s="9" t="s">
        <v>1595</v>
      </c>
      <c r="E404" s="9" t="s">
        <v>1596</v>
      </c>
      <c r="F404" s="9" t="s">
        <v>422</v>
      </c>
      <c r="G404" s="10" t="n">
        <v>2025</v>
      </c>
      <c r="H404" s="10" t="n">
        <v>10</v>
      </c>
      <c r="I404" s="19" t="n">
        <v>18000</v>
      </c>
      <c r="J404" s="19" t="n">
        <v>20000</v>
      </c>
      <c r="K404" s="10" t="n">
        <v>1000</v>
      </c>
      <c r="L404" s="10" t="n">
        <v>564</v>
      </c>
      <c r="M404" s="10" t="n">
        <v>0</v>
      </c>
      <c r="N404" s="11" t="n">
        <v>0</v>
      </c>
      <c r="O404" s="18" t="s">
        <v>56</v>
      </c>
    </row>
    <row r="405" customFormat="false" ht="15" hidden="false" customHeight="false" outlineLevel="0" collapsed="false">
      <c r="A405" s="18" t="n">
        <v>159499737</v>
      </c>
      <c r="B405" s="10" t="n">
        <v>749</v>
      </c>
      <c r="C405" s="18" t="s">
        <v>43</v>
      </c>
      <c r="D405" s="15" t="s">
        <v>1597</v>
      </c>
      <c r="E405" s="9" t="s">
        <v>1598</v>
      </c>
      <c r="F405" s="9" t="s">
        <v>25</v>
      </c>
      <c r="G405" s="10" t="n">
        <v>2025</v>
      </c>
      <c r="H405" s="10" t="n">
        <v>0</v>
      </c>
      <c r="I405" s="19" t="n">
        <v>12000</v>
      </c>
      <c r="J405" s="19" t="n">
        <v>12000</v>
      </c>
      <c r="K405" s="10" t="n">
        <v>0</v>
      </c>
      <c r="L405" s="10" t="n">
        <v>120</v>
      </c>
      <c r="M405" s="10" t="n">
        <v>0</v>
      </c>
      <c r="N405" s="11" t="n">
        <v>0</v>
      </c>
      <c r="O405" s="18" t="s">
        <v>56</v>
      </c>
    </row>
    <row r="406" customFormat="false" ht="15" hidden="false" customHeight="false" outlineLevel="0" collapsed="false">
      <c r="A406" s="18" t="n">
        <v>158925915</v>
      </c>
      <c r="B406" s="10" t="n">
        <v>750</v>
      </c>
      <c r="C406" s="18" t="s">
        <v>43</v>
      </c>
      <c r="D406" s="15" t="s">
        <v>1599</v>
      </c>
      <c r="E406" s="9" t="s">
        <v>1600</v>
      </c>
      <c r="F406" s="9" t="s">
        <v>25</v>
      </c>
      <c r="G406" s="10" t="n">
        <v>2025</v>
      </c>
      <c r="H406" s="10" t="n">
        <v>0</v>
      </c>
      <c r="I406" s="19" t="n">
        <v>12000</v>
      </c>
      <c r="J406" s="19" t="n">
        <v>12000</v>
      </c>
      <c r="K406" s="10" t="n">
        <v>0</v>
      </c>
      <c r="L406" s="10" t="n">
        <v>210</v>
      </c>
      <c r="M406" s="10" t="n">
        <v>0</v>
      </c>
      <c r="N406" s="11" t="n">
        <v>0</v>
      </c>
      <c r="O406" s="18" t="s">
        <v>56</v>
      </c>
    </row>
    <row r="407" customFormat="false" ht="15" hidden="false" customHeight="false" outlineLevel="0" collapsed="false">
      <c r="A407" s="18" t="n">
        <v>157808384</v>
      </c>
      <c r="B407" s="10" t="n">
        <v>752</v>
      </c>
      <c r="C407" s="18" t="s">
        <v>43</v>
      </c>
      <c r="D407" s="9" t="s">
        <v>1603</v>
      </c>
      <c r="E407" s="9" t="s">
        <v>1604</v>
      </c>
      <c r="F407" s="9" t="s">
        <v>1605</v>
      </c>
      <c r="G407" s="10" t="n">
        <v>2025</v>
      </c>
      <c r="H407" s="10" t="n">
        <v>0</v>
      </c>
      <c r="I407" s="19" t="n">
        <v>39000</v>
      </c>
      <c r="J407" s="19" t="n">
        <v>39000</v>
      </c>
      <c r="K407" s="10" t="n">
        <v>0</v>
      </c>
      <c r="L407" s="10" t="n">
        <v>204</v>
      </c>
      <c r="M407" s="10" t="n">
        <v>0</v>
      </c>
      <c r="N407" s="11" t="n">
        <v>0</v>
      </c>
      <c r="O407" s="18" t="s">
        <v>56</v>
      </c>
    </row>
    <row r="408" customFormat="false" ht="15" hidden="false" customHeight="false" outlineLevel="0" collapsed="false">
      <c r="A408" s="18" t="n">
        <v>157774663</v>
      </c>
      <c r="B408" s="10" t="n">
        <v>753</v>
      </c>
      <c r="C408" s="18" t="s">
        <v>43</v>
      </c>
      <c r="D408" s="9" t="s">
        <v>1606</v>
      </c>
      <c r="E408" s="9" t="s">
        <v>1607</v>
      </c>
      <c r="F408" s="9" t="s">
        <v>544</v>
      </c>
      <c r="G408" s="10" t="n">
        <v>2025</v>
      </c>
      <c r="H408" s="10" t="n">
        <v>10</v>
      </c>
      <c r="I408" s="19" t="n">
        <v>25200</v>
      </c>
      <c r="J408" s="19" t="n">
        <v>28000</v>
      </c>
      <c r="K408" s="10" t="n">
        <v>1400</v>
      </c>
      <c r="L408" s="10" t="n">
        <v>975</v>
      </c>
      <c r="M408" s="10" t="n">
        <v>13</v>
      </c>
      <c r="N408" s="11" t="n">
        <v>9.8</v>
      </c>
      <c r="O408" s="18" t="s">
        <v>56</v>
      </c>
    </row>
    <row r="409" customFormat="false" ht="15" hidden="false" customHeight="false" outlineLevel="0" collapsed="false">
      <c r="A409" s="18" t="n">
        <v>155310155</v>
      </c>
      <c r="B409" s="10" t="n">
        <v>754</v>
      </c>
      <c r="C409" s="18" t="s">
        <v>43</v>
      </c>
      <c r="D409" s="9" t="s">
        <v>1608</v>
      </c>
      <c r="E409" s="9" t="s">
        <v>793</v>
      </c>
      <c r="F409" s="9" t="s">
        <v>732</v>
      </c>
      <c r="G409" s="10" t="n">
        <v>2025</v>
      </c>
      <c r="H409" s="10" t="n">
        <v>0</v>
      </c>
      <c r="I409" s="19" t="n">
        <v>67000</v>
      </c>
      <c r="J409" s="19" t="n">
        <v>67000</v>
      </c>
      <c r="K409" s="10" t="n">
        <v>0</v>
      </c>
      <c r="L409" s="10" t="n">
        <v>96</v>
      </c>
      <c r="M409" s="10" t="n">
        <v>0</v>
      </c>
      <c r="N409" s="11" t="n">
        <v>0</v>
      </c>
      <c r="O409" s="18" t="s">
        <v>56</v>
      </c>
    </row>
    <row r="410" customFormat="false" ht="15" hidden="false" customHeight="false" outlineLevel="0" collapsed="false">
      <c r="A410" s="18" t="n">
        <v>154935866</v>
      </c>
      <c r="B410" s="10" t="n">
        <v>755</v>
      </c>
      <c r="C410" s="18" t="s">
        <v>43</v>
      </c>
      <c r="D410" s="15" t="s">
        <v>1609</v>
      </c>
      <c r="E410" s="9" t="s">
        <v>1610</v>
      </c>
      <c r="F410" s="9" t="s">
        <v>25</v>
      </c>
      <c r="G410" s="10" t="n">
        <v>2025</v>
      </c>
      <c r="H410" s="10" t="n">
        <v>0</v>
      </c>
      <c r="I410" s="19" t="n">
        <v>12000</v>
      </c>
      <c r="J410" s="19" t="n">
        <v>12000</v>
      </c>
      <c r="K410" s="10" t="n">
        <v>0</v>
      </c>
      <c r="L410" s="10" t="n">
        <v>108</v>
      </c>
      <c r="M410" s="10" t="n">
        <v>0</v>
      </c>
      <c r="N410" s="11" t="n">
        <v>0</v>
      </c>
      <c r="O410" s="18" t="s">
        <v>56</v>
      </c>
    </row>
    <row r="411" customFormat="false" ht="15" hidden="false" customHeight="false" outlineLevel="0" collapsed="false">
      <c r="A411" s="18" t="n">
        <v>154744705</v>
      </c>
      <c r="B411" s="10" t="n">
        <v>757</v>
      </c>
      <c r="C411" s="18" t="s">
        <v>43</v>
      </c>
      <c r="D411" s="9" t="s">
        <v>1613</v>
      </c>
      <c r="E411" s="9" t="s">
        <v>1614</v>
      </c>
      <c r="F411" s="9" t="s">
        <v>1615</v>
      </c>
      <c r="G411" s="10" t="n">
        <v>2025</v>
      </c>
      <c r="H411" s="10" t="n">
        <v>10</v>
      </c>
      <c r="I411" s="19" t="n">
        <v>30600</v>
      </c>
      <c r="J411" s="19" t="n">
        <v>34000</v>
      </c>
      <c r="K411" s="10" t="n">
        <v>1700</v>
      </c>
      <c r="L411" s="10" t="n">
        <v>744</v>
      </c>
      <c r="M411" s="10" t="n">
        <v>23</v>
      </c>
      <c r="N411" s="11" t="n">
        <v>9.9</v>
      </c>
      <c r="O411" s="18" t="s">
        <v>56</v>
      </c>
    </row>
    <row r="412" customFormat="false" ht="15" hidden="false" customHeight="false" outlineLevel="0" collapsed="false">
      <c r="A412" s="18" t="n">
        <v>154639992</v>
      </c>
      <c r="B412" s="10" t="n">
        <v>759</v>
      </c>
      <c r="C412" s="18" t="s">
        <v>43</v>
      </c>
      <c r="D412" s="9" t="s">
        <v>1618</v>
      </c>
      <c r="E412" s="9" t="s">
        <v>1619</v>
      </c>
      <c r="F412" s="9" t="s">
        <v>615</v>
      </c>
      <c r="G412" s="10" t="n">
        <v>2025</v>
      </c>
      <c r="H412" s="10" t="n">
        <v>10</v>
      </c>
      <c r="I412" s="19" t="n">
        <v>18000</v>
      </c>
      <c r="J412" s="19" t="n">
        <v>20000</v>
      </c>
      <c r="K412" s="10" t="n">
        <v>1000</v>
      </c>
      <c r="L412" s="10" t="n">
        <v>639</v>
      </c>
      <c r="M412" s="10" t="n">
        <v>0</v>
      </c>
      <c r="N412" s="11" t="n">
        <v>0</v>
      </c>
      <c r="O412" s="18" t="s">
        <v>56</v>
      </c>
    </row>
    <row r="413" customFormat="false" ht="15" hidden="false" customHeight="false" outlineLevel="0" collapsed="false">
      <c r="A413" s="18" t="n">
        <v>154367308</v>
      </c>
      <c r="B413" s="10" t="n">
        <v>760</v>
      </c>
      <c r="C413" s="18" t="s">
        <v>43</v>
      </c>
      <c r="D413" s="15" t="s">
        <v>1620</v>
      </c>
      <c r="E413" s="9" t="s">
        <v>1621</v>
      </c>
      <c r="F413" s="9" t="s">
        <v>25</v>
      </c>
      <c r="G413" s="10" t="n">
        <v>2025</v>
      </c>
      <c r="H413" s="10" t="n">
        <v>0</v>
      </c>
      <c r="I413" s="19" t="n">
        <v>12000</v>
      </c>
      <c r="J413" s="19" t="n">
        <v>12000</v>
      </c>
      <c r="K413" s="10" t="n">
        <v>0</v>
      </c>
      <c r="L413" s="10" t="n">
        <v>60</v>
      </c>
      <c r="M413" s="10" t="n">
        <v>0</v>
      </c>
      <c r="N413" s="11" t="n">
        <v>0</v>
      </c>
      <c r="O413" s="18" t="s">
        <v>56</v>
      </c>
    </row>
    <row r="414" customFormat="false" ht="15" hidden="false" customHeight="false" outlineLevel="0" collapsed="false">
      <c r="A414" s="18" t="n">
        <v>153842214</v>
      </c>
      <c r="B414" s="10" t="n">
        <v>765</v>
      </c>
      <c r="C414" s="18" t="s">
        <v>43</v>
      </c>
      <c r="D414" s="9" t="s">
        <v>1629</v>
      </c>
      <c r="E414" s="9" t="s">
        <v>1630</v>
      </c>
      <c r="F414" s="15" t="s">
        <v>1631</v>
      </c>
      <c r="G414" s="10" t="n">
        <v>2025</v>
      </c>
      <c r="H414" s="10" t="n">
        <v>10</v>
      </c>
      <c r="I414" s="19" t="n">
        <v>12600</v>
      </c>
      <c r="J414" s="19" t="n">
        <v>14000</v>
      </c>
      <c r="K414" s="10" t="n">
        <v>700</v>
      </c>
      <c r="L414" s="10" t="n">
        <v>162</v>
      </c>
      <c r="M414" s="10" t="n">
        <v>0</v>
      </c>
      <c r="N414" s="11" t="n">
        <v>0</v>
      </c>
      <c r="O414" s="18" t="s">
        <v>56</v>
      </c>
    </row>
    <row r="415" customFormat="false" ht="15" hidden="false" customHeight="false" outlineLevel="0" collapsed="false">
      <c r="A415" s="18" t="n">
        <v>153085270</v>
      </c>
      <c r="B415" s="10" t="n">
        <v>769</v>
      </c>
      <c r="C415" s="18" t="s">
        <v>43</v>
      </c>
      <c r="D415" s="15" t="s">
        <v>1638</v>
      </c>
      <c r="E415" s="9" t="s">
        <v>1639</v>
      </c>
      <c r="F415" s="9" t="s">
        <v>1640</v>
      </c>
      <c r="G415" s="10" t="n">
        <v>2025</v>
      </c>
      <c r="H415" s="10" t="n">
        <v>10</v>
      </c>
      <c r="I415" s="19" t="n">
        <v>16200</v>
      </c>
      <c r="J415" s="19" t="n">
        <v>18000</v>
      </c>
      <c r="K415" s="10" t="n">
        <v>0</v>
      </c>
      <c r="L415" s="10" t="n">
        <v>786</v>
      </c>
      <c r="M415" s="10" t="n">
        <v>0</v>
      </c>
      <c r="N415" s="11" t="n">
        <v>0</v>
      </c>
      <c r="O415" s="18" t="s">
        <v>56</v>
      </c>
    </row>
    <row r="416" customFormat="false" ht="15" hidden="false" customHeight="false" outlineLevel="0" collapsed="false">
      <c r="A416" s="18" t="n">
        <v>153061112</v>
      </c>
      <c r="B416" s="10" t="n">
        <v>771</v>
      </c>
      <c r="C416" s="18" t="s">
        <v>43</v>
      </c>
      <c r="D416" s="9" t="s">
        <v>1643</v>
      </c>
      <c r="E416" s="9" t="s">
        <v>471</v>
      </c>
      <c r="F416" s="9" t="s">
        <v>64</v>
      </c>
      <c r="G416" s="10" t="n">
        <v>2025</v>
      </c>
      <c r="H416" s="10" t="n">
        <v>10</v>
      </c>
      <c r="I416" s="19" t="n">
        <v>18900</v>
      </c>
      <c r="J416" s="19" t="n">
        <v>21000</v>
      </c>
      <c r="K416" s="10" t="n">
        <v>1050</v>
      </c>
      <c r="L416" s="10" t="n">
        <v>2991</v>
      </c>
      <c r="M416" s="10" t="n">
        <v>11</v>
      </c>
      <c r="N416" s="11" t="n">
        <v>10</v>
      </c>
      <c r="O416" s="18" t="s">
        <v>56</v>
      </c>
    </row>
    <row r="417" customFormat="false" ht="15" hidden="false" customHeight="false" outlineLevel="0" collapsed="false">
      <c r="A417" s="18" t="n">
        <v>153044896</v>
      </c>
      <c r="B417" s="10" t="n">
        <v>772</v>
      </c>
      <c r="C417" s="18" t="s">
        <v>43</v>
      </c>
      <c r="D417" s="9" t="s">
        <v>1644</v>
      </c>
      <c r="E417" s="9" t="s">
        <v>1645</v>
      </c>
      <c r="F417" s="9" t="s">
        <v>100</v>
      </c>
      <c r="G417" s="10" t="n">
        <v>2025</v>
      </c>
      <c r="H417" s="10" t="n">
        <v>10</v>
      </c>
      <c r="I417" s="19" t="n">
        <v>22500</v>
      </c>
      <c r="J417" s="19" t="n">
        <v>25000</v>
      </c>
      <c r="K417" s="10" t="n">
        <v>1250</v>
      </c>
      <c r="L417" s="10" t="n">
        <v>270</v>
      </c>
      <c r="M417" s="10" t="n">
        <v>0</v>
      </c>
      <c r="N417" s="11" t="n">
        <v>0</v>
      </c>
      <c r="O417" s="18" t="s">
        <v>56</v>
      </c>
    </row>
    <row r="418" customFormat="false" ht="15" hidden="false" customHeight="false" outlineLevel="0" collapsed="false">
      <c r="A418" s="18" t="n">
        <v>152814420</v>
      </c>
      <c r="B418" s="10" t="n">
        <v>773</v>
      </c>
      <c r="C418" s="18" t="s">
        <v>43</v>
      </c>
      <c r="D418" s="9" t="s">
        <v>1646</v>
      </c>
      <c r="E418" s="9" t="s">
        <v>92</v>
      </c>
      <c r="F418" s="9" t="s">
        <v>93</v>
      </c>
      <c r="G418" s="10" t="n">
        <v>2025</v>
      </c>
      <c r="H418" s="10" t="n">
        <v>10</v>
      </c>
      <c r="I418" s="19" t="n">
        <v>24300</v>
      </c>
      <c r="J418" s="19" t="n">
        <v>27000</v>
      </c>
      <c r="K418" s="10" t="n">
        <v>1350</v>
      </c>
      <c r="L418" s="10" t="n">
        <v>3906</v>
      </c>
      <c r="M418" s="10" t="n">
        <v>24</v>
      </c>
      <c r="N418" s="11" t="n">
        <v>10</v>
      </c>
      <c r="O418" s="18" t="s">
        <v>56</v>
      </c>
    </row>
    <row r="419" customFormat="false" ht="15" hidden="false" customHeight="false" outlineLevel="0" collapsed="false">
      <c r="A419" s="18" t="n">
        <v>152649327</v>
      </c>
      <c r="B419" s="10" t="n">
        <v>774</v>
      </c>
      <c r="C419" s="18" t="s">
        <v>43</v>
      </c>
      <c r="D419" s="9" t="s">
        <v>1647</v>
      </c>
      <c r="E419" s="9" t="s">
        <v>1648</v>
      </c>
      <c r="F419" s="9" t="s">
        <v>109</v>
      </c>
      <c r="G419" s="10" t="n">
        <v>2025</v>
      </c>
      <c r="H419" s="10" t="n">
        <v>10</v>
      </c>
      <c r="I419" s="19" t="n">
        <v>29700</v>
      </c>
      <c r="J419" s="19" t="n">
        <v>33000</v>
      </c>
      <c r="K419" s="10" t="n">
        <v>1650</v>
      </c>
      <c r="L419" s="10" t="n">
        <v>2154</v>
      </c>
      <c r="M419" s="10" t="n">
        <v>2</v>
      </c>
      <c r="N419" s="11" t="n">
        <v>10</v>
      </c>
      <c r="O419" s="18" t="s">
        <v>56</v>
      </c>
    </row>
    <row r="420" customFormat="false" ht="15" hidden="false" customHeight="false" outlineLevel="0" collapsed="false">
      <c r="A420" s="18" t="n">
        <v>152595587</v>
      </c>
      <c r="B420" s="10" t="n">
        <v>775</v>
      </c>
      <c r="C420" s="18" t="s">
        <v>43</v>
      </c>
      <c r="D420" s="15" t="s">
        <v>1649</v>
      </c>
      <c r="E420" s="15" t="s">
        <v>1650</v>
      </c>
      <c r="F420" s="9" t="s">
        <v>1651</v>
      </c>
      <c r="G420" s="10" t="n">
        <v>2025</v>
      </c>
      <c r="H420" s="10" t="n">
        <v>10</v>
      </c>
      <c r="I420" s="19" t="n">
        <v>17820</v>
      </c>
      <c r="J420" s="19" t="n">
        <v>19800</v>
      </c>
      <c r="K420" s="10" t="n">
        <v>990</v>
      </c>
      <c r="L420" s="10" t="n">
        <v>216</v>
      </c>
      <c r="M420" s="10" t="n">
        <v>0</v>
      </c>
      <c r="N420" s="11" t="n">
        <v>0</v>
      </c>
      <c r="O420" s="18" t="s">
        <v>56</v>
      </c>
    </row>
    <row r="421" customFormat="false" ht="15" hidden="false" customHeight="false" outlineLevel="0" collapsed="false">
      <c r="A421" s="18" t="n">
        <v>152573276</v>
      </c>
      <c r="B421" s="10" t="n">
        <v>776</v>
      </c>
      <c r="C421" s="18" t="s">
        <v>43</v>
      </c>
      <c r="D421" s="9" t="s">
        <v>1652</v>
      </c>
      <c r="E421" s="15" t="s">
        <v>1653</v>
      </c>
      <c r="F421" s="9" t="s">
        <v>1654</v>
      </c>
      <c r="G421" s="10" t="n">
        <v>2025</v>
      </c>
      <c r="H421" s="10" t="n">
        <v>10</v>
      </c>
      <c r="I421" s="19" t="n">
        <v>12600</v>
      </c>
      <c r="J421" s="19" t="n">
        <v>14000</v>
      </c>
      <c r="K421" s="10" t="n">
        <v>700</v>
      </c>
      <c r="L421" s="10" t="n">
        <v>492</v>
      </c>
      <c r="M421" s="10" t="n">
        <v>0</v>
      </c>
      <c r="N421" s="11" t="n">
        <v>0</v>
      </c>
      <c r="O421" s="18" t="s">
        <v>56</v>
      </c>
    </row>
    <row r="422" customFormat="false" ht="15" hidden="false" customHeight="false" outlineLevel="0" collapsed="false">
      <c r="A422" s="18" t="n">
        <v>152572637</v>
      </c>
      <c r="B422" s="10" t="n">
        <v>777</v>
      </c>
      <c r="C422" s="18" t="s">
        <v>43</v>
      </c>
      <c r="D422" s="9" t="s">
        <v>1655</v>
      </c>
      <c r="E422" s="15" t="s">
        <v>1653</v>
      </c>
      <c r="F422" s="9" t="s">
        <v>1654</v>
      </c>
      <c r="G422" s="10" t="n">
        <v>2025</v>
      </c>
      <c r="H422" s="10" t="n">
        <v>10</v>
      </c>
      <c r="I422" s="19" t="n">
        <v>12600</v>
      </c>
      <c r="J422" s="19" t="n">
        <v>14000</v>
      </c>
      <c r="K422" s="10" t="n">
        <v>700</v>
      </c>
      <c r="L422" s="10" t="n">
        <v>330</v>
      </c>
      <c r="M422" s="10" t="n">
        <v>1</v>
      </c>
      <c r="N422" s="11" t="n">
        <v>10</v>
      </c>
      <c r="O422" s="18" t="s">
        <v>56</v>
      </c>
    </row>
    <row r="423" customFormat="false" ht="15" hidden="false" customHeight="false" outlineLevel="0" collapsed="false">
      <c r="A423" s="18" t="n">
        <v>152498115</v>
      </c>
      <c r="B423" s="10" t="n">
        <v>778</v>
      </c>
      <c r="C423" s="18" t="s">
        <v>43</v>
      </c>
      <c r="D423" s="15" t="s">
        <v>1656</v>
      </c>
      <c r="E423" s="9" t="s">
        <v>1585</v>
      </c>
      <c r="F423" s="9" t="s">
        <v>552</v>
      </c>
      <c r="G423" s="10" t="n">
        <v>2025</v>
      </c>
      <c r="H423" s="10" t="n">
        <v>10</v>
      </c>
      <c r="I423" s="19" t="n">
        <v>21600</v>
      </c>
      <c r="J423" s="19" t="n">
        <v>24000</v>
      </c>
      <c r="K423" s="10" t="n">
        <v>0</v>
      </c>
      <c r="L423" s="10" t="n">
        <v>450</v>
      </c>
      <c r="M423" s="10" t="n">
        <v>18</v>
      </c>
      <c r="N423" s="11" t="n">
        <v>10</v>
      </c>
      <c r="O423" s="18" t="s">
        <v>56</v>
      </c>
    </row>
    <row r="424" customFormat="false" ht="15" hidden="false" customHeight="false" outlineLevel="0" collapsed="false">
      <c r="A424" s="18" t="n">
        <v>152369808</v>
      </c>
      <c r="B424" s="10" t="n">
        <v>779</v>
      </c>
      <c r="C424" s="18" t="s">
        <v>43</v>
      </c>
      <c r="D424" s="15" t="s">
        <v>1657</v>
      </c>
      <c r="E424" s="9" t="s">
        <v>817</v>
      </c>
      <c r="F424" s="9" t="s">
        <v>259</v>
      </c>
      <c r="G424" s="10" t="n">
        <v>2025</v>
      </c>
      <c r="H424" s="10" t="n">
        <v>10</v>
      </c>
      <c r="I424" s="19" t="n">
        <v>23400</v>
      </c>
      <c r="J424" s="19" t="n">
        <v>26000</v>
      </c>
      <c r="K424" s="10" t="n">
        <v>1300</v>
      </c>
      <c r="L424" s="10" t="n">
        <v>8586</v>
      </c>
      <c r="M424" s="10" t="n">
        <v>41</v>
      </c>
      <c r="N424" s="11" t="n">
        <v>9.9</v>
      </c>
      <c r="O424" s="18" t="s">
        <v>46</v>
      </c>
    </row>
    <row r="425" customFormat="false" ht="15" hidden="false" customHeight="false" outlineLevel="0" collapsed="false">
      <c r="A425" s="18" t="n">
        <v>152352105</v>
      </c>
      <c r="B425" s="10" t="n">
        <v>780</v>
      </c>
      <c r="C425" s="18" t="s">
        <v>43</v>
      </c>
      <c r="D425" s="9" t="s">
        <v>1658</v>
      </c>
      <c r="E425" s="9" t="s">
        <v>1659</v>
      </c>
      <c r="F425" s="9" t="s">
        <v>1660</v>
      </c>
      <c r="G425" s="10" t="n">
        <v>2025</v>
      </c>
      <c r="H425" s="10" t="n">
        <v>0</v>
      </c>
      <c r="I425" s="19" t="n">
        <v>9000</v>
      </c>
      <c r="J425" s="19" t="n">
        <v>9000</v>
      </c>
      <c r="K425" s="10" t="n">
        <v>0</v>
      </c>
      <c r="L425" s="10" t="n">
        <v>390</v>
      </c>
      <c r="M425" s="10" t="n">
        <v>0</v>
      </c>
      <c r="N425" s="11" t="n">
        <v>0</v>
      </c>
      <c r="O425" s="18" t="s">
        <v>56</v>
      </c>
    </row>
    <row r="426" customFormat="false" ht="15" hidden="false" customHeight="false" outlineLevel="0" collapsed="false">
      <c r="A426" s="18" t="n">
        <v>151871280</v>
      </c>
      <c r="B426" s="10" t="n">
        <v>783</v>
      </c>
      <c r="C426" s="18" t="s">
        <v>43</v>
      </c>
      <c r="D426" s="9" t="s">
        <v>1665</v>
      </c>
      <c r="E426" s="9" t="s">
        <v>1666</v>
      </c>
      <c r="F426" s="9" t="s">
        <v>1654</v>
      </c>
      <c r="G426" s="10" t="n">
        <v>2025</v>
      </c>
      <c r="H426" s="10" t="n">
        <v>10</v>
      </c>
      <c r="I426" s="19" t="n">
        <v>12600</v>
      </c>
      <c r="J426" s="19" t="n">
        <v>14000</v>
      </c>
      <c r="K426" s="10" t="n">
        <v>700</v>
      </c>
      <c r="L426" s="10" t="n">
        <v>60</v>
      </c>
      <c r="M426" s="10" t="n">
        <v>0</v>
      </c>
      <c r="N426" s="11" t="n">
        <v>0</v>
      </c>
      <c r="O426" s="18" t="s">
        <v>56</v>
      </c>
    </row>
    <row r="427" customFormat="false" ht="15" hidden="false" customHeight="false" outlineLevel="0" collapsed="false">
      <c r="A427" s="18" t="n">
        <v>151794835</v>
      </c>
      <c r="B427" s="10" t="n">
        <v>784</v>
      </c>
      <c r="C427" s="18" t="s">
        <v>43</v>
      </c>
      <c r="D427" s="15" t="s">
        <v>1667</v>
      </c>
      <c r="E427" s="9" t="s">
        <v>1668</v>
      </c>
      <c r="F427" s="9" t="s">
        <v>1669</v>
      </c>
      <c r="G427" s="10" t="n">
        <v>2025</v>
      </c>
      <c r="H427" s="10" t="n">
        <v>10</v>
      </c>
      <c r="I427" s="19" t="n">
        <v>33300</v>
      </c>
      <c r="J427" s="19" t="n">
        <v>37000</v>
      </c>
      <c r="K427" s="10" t="n">
        <v>370</v>
      </c>
      <c r="L427" s="10" t="n">
        <v>264</v>
      </c>
      <c r="M427" s="10" t="n">
        <v>0</v>
      </c>
      <c r="N427" s="11" t="n">
        <v>0</v>
      </c>
      <c r="O427" s="18" t="s">
        <v>56</v>
      </c>
    </row>
    <row r="428" customFormat="false" ht="15" hidden="false" customHeight="false" outlineLevel="0" collapsed="false">
      <c r="A428" s="18" t="n">
        <v>151686248</v>
      </c>
      <c r="B428" s="10" t="n">
        <v>785</v>
      </c>
      <c r="C428" s="18" t="s">
        <v>43</v>
      </c>
      <c r="D428" s="9" t="s">
        <v>1670</v>
      </c>
      <c r="E428" s="9" t="s">
        <v>1671</v>
      </c>
      <c r="F428" s="9" t="s">
        <v>879</v>
      </c>
      <c r="G428" s="10" t="n">
        <v>2025</v>
      </c>
      <c r="H428" s="10" t="n">
        <v>10</v>
      </c>
      <c r="I428" s="19" t="n">
        <v>22500</v>
      </c>
      <c r="J428" s="19" t="n">
        <v>25000</v>
      </c>
      <c r="K428" s="10" t="n">
        <v>1250</v>
      </c>
      <c r="L428" s="10" t="n">
        <v>666</v>
      </c>
      <c r="M428" s="10" t="n">
        <v>16</v>
      </c>
      <c r="N428" s="11" t="n">
        <v>9.8</v>
      </c>
      <c r="O428" s="18" t="s">
        <v>56</v>
      </c>
    </row>
    <row r="429" customFormat="false" ht="15" hidden="false" customHeight="false" outlineLevel="0" collapsed="false">
      <c r="A429" s="18" t="n">
        <v>151379311</v>
      </c>
      <c r="B429" s="10" t="n">
        <v>788</v>
      </c>
      <c r="C429" s="18" t="s">
        <v>43</v>
      </c>
      <c r="D429" s="9" t="s">
        <v>1676</v>
      </c>
      <c r="E429" s="15" t="s">
        <v>1653</v>
      </c>
      <c r="F429" s="9" t="s">
        <v>1654</v>
      </c>
      <c r="G429" s="10" t="n">
        <v>2025</v>
      </c>
      <c r="H429" s="10" t="n">
        <v>10</v>
      </c>
      <c r="I429" s="19" t="n">
        <v>12600</v>
      </c>
      <c r="J429" s="19" t="n">
        <v>14000</v>
      </c>
      <c r="K429" s="10" t="n">
        <v>700</v>
      </c>
      <c r="L429" s="10" t="n">
        <v>1272</v>
      </c>
      <c r="M429" s="10" t="n">
        <v>0</v>
      </c>
      <c r="N429" s="11" t="n">
        <v>0</v>
      </c>
      <c r="O429" s="18" t="s">
        <v>56</v>
      </c>
    </row>
    <row r="430" customFormat="false" ht="15" hidden="false" customHeight="false" outlineLevel="0" collapsed="false">
      <c r="A430" s="18" t="n">
        <v>151378811</v>
      </c>
      <c r="B430" s="10" t="n">
        <v>789</v>
      </c>
      <c r="C430" s="18" t="s">
        <v>43</v>
      </c>
      <c r="D430" s="9" t="s">
        <v>1677</v>
      </c>
      <c r="E430" s="15" t="s">
        <v>1678</v>
      </c>
      <c r="F430" s="9" t="s">
        <v>1654</v>
      </c>
      <c r="G430" s="10" t="n">
        <v>2025</v>
      </c>
      <c r="H430" s="10" t="n">
        <v>10</v>
      </c>
      <c r="I430" s="19" t="n">
        <v>12600</v>
      </c>
      <c r="J430" s="19" t="n">
        <v>14000</v>
      </c>
      <c r="K430" s="10" t="n">
        <v>700</v>
      </c>
      <c r="L430" s="10" t="n">
        <v>840</v>
      </c>
      <c r="M430" s="10" t="n">
        <v>0</v>
      </c>
      <c r="N430" s="11" t="n">
        <v>0</v>
      </c>
      <c r="O430" s="18" t="s">
        <v>56</v>
      </c>
    </row>
    <row r="431" customFormat="false" ht="15" hidden="false" customHeight="false" outlineLevel="0" collapsed="false">
      <c r="A431" s="18" t="n">
        <v>151291357</v>
      </c>
      <c r="B431" s="10" t="n">
        <v>790</v>
      </c>
      <c r="C431" s="18" t="s">
        <v>43</v>
      </c>
      <c r="D431" s="9" t="s">
        <v>1679</v>
      </c>
      <c r="E431" s="9" t="s">
        <v>1680</v>
      </c>
      <c r="F431" s="9" t="s">
        <v>1681</v>
      </c>
      <c r="G431" s="10" t="n">
        <v>2025</v>
      </c>
      <c r="H431" s="10" t="n">
        <v>10</v>
      </c>
      <c r="I431" s="19" t="n">
        <v>17100</v>
      </c>
      <c r="J431" s="19" t="n">
        <v>19000</v>
      </c>
      <c r="K431" s="10" t="n">
        <v>950</v>
      </c>
      <c r="L431" s="10" t="n">
        <v>342</v>
      </c>
      <c r="M431" s="10" t="n">
        <v>0</v>
      </c>
      <c r="N431" s="11" t="n">
        <v>0</v>
      </c>
      <c r="O431" s="18" t="s">
        <v>56</v>
      </c>
    </row>
    <row r="432" customFormat="false" ht="15" hidden="false" customHeight="false" outlineLevel="0" collapsed="false">
      <c r="A432" s="18" t="n">
        <v>151270068</v>
      </c>
      <c r="B432" s="10" t="n">
        <v>791</v>
      </c>
      <c r="C432" s="18" t="s">
        <v>43</v>
      </c>
      <c r="D432" s="15" t="s">
        <v>1682</v>
      </c>
      <c r="E432" s="9" t="s">
        <v>1683</v>
      </c>
      <c r="F432" s="9" t="s">
        <v>967</v>
      </c>
      <c r="G432" s="10" t="n">
        <v>2025</v>
      </c>
      <c r="H432" s="10" t="n">
        <v>10</v>
      </c>
      <c r="I432" s="19" t="n">
        <v>18900</v>
      </c>
      <c r="J432" s="19" t="n">
        <v>21000</v>
      </c>
      <c r="K432" s="10" t="n">
        <v>1050</v>
      </c>
      <c r="L432" s="10" t="n">
        <v>2160</v>
      </c>
      <c r="M432" s="10" t="n">
        <v>4</v>
      </c>
      <c r="N432" s="11" t="n">
        <v>10</v>
      </c>
      <c r="O432" s="18" t="s">
        <v>56</v>
      </c>
    </row>
    <row r="433" customFormat="false" ht="15" hidden="false" customHeight="false" outlineLevel="0" collapsed="false">
      <c r="A433" s="18" t="n">
        <v>151260269</v>
      </c>
      <c r="B433" s="10" t="n">
        <v>792</v>
      </c>
      <c r="C433" s="18" t="s">
        <v>43</v>
      </c>
      <c r="D433" s="15" t="s">
        <v>1684</v>
      </c>
      <c r="E433" s="9" t="s">
        <v>1685</v>
      </c>
      <c r="F433" s="9" t="s">
        <v>511</v>
      </c>
      <c r="G433" s="10" t="n">
        <v>2025</v>
      </c>
      <c r="H433" s="10" t="n">
        <v>10</v>
      </c>
      <c r="I433" s="19" t="n">
        <v>22500</v>
      </c>
      <c r="J433" s="19" t="n">
        <v>25000</v>
      </c>
      <c r="K433" s="10" t="n">
        <v>1250</v>
      </c>
      <c r="L433" s="10" t="n">
        <v>354</v>
      </c>
      <c r="M433" s="10" t="n">
        <v>33</v>
      </c>
      <c r="N433" s="11" t="n">
        <v>9.7</v>
      </c>
      <c r="O433" s="18" t="s">
        <v>56</v>
      </c>
    </row>
    <row r="434" customFormat="false" ht="15" hidden="false" customHeight="false" outlineLevel="0" collapsed="false">
      <c r="A434" s="18" t="n">
        <v>151253343</v>
      </c>
      <c r="B434" s="10" t="n">
        <v>793</v>
      </c>
      <c r="C434" s="18" t="s">
        <v>43</v>
      </c>
      <c r="D434" s="9" t="s">
        <v>1686</v>
      </c>
      <c r="E434" s="9" t="s">
        <v>1687</v>
      </c>
      <c r="F434" s="9" t="s">
        <v>311</v>
      </c>
      <c r="G434" s="10" t="n">
        <v>2025</v>
      </c>
      <c r="H434" s="10" t="n">
        <v>10</v>
      </c>
      <c r="I434" s="19" t="n">
        <v>34200</v>
      </c>
      <c r="J434" s="19" t="n">
        <v>38000</v>
      </c>
      <c r="K434" s="10" t="n">
        <v>1900</v>
      </c>
      <c r="L434" s="10" t="n">
        <v>360</v>
      </c>
      <c r="M434" s="10" t="n">
        <v>0</v>
      </c>
      <c r="N434" s="11" t="n">
        <v>0</v>
      </c>
      <c r="O434" s="18" t="s">
        <v>56</v>
      </c>
    </row>
    <row r="435" customFormat="false" ht="15" hidden="false" customHeight="false" outlineLevel="0" collapsed="false">
      <c r="A435" s="18" t="n">
        <v>151171136</v>
      </c>
      <c r="B435" s="10" t="n">
        <v>794</v>
      </c>
      <c r="C435" s="18" t="s">
        <v>43</v>
      </c>
      <c r="D435" s="9" t="s">
        <v>1688</v>
      </c>
      <c r="E435" s="9" t="s">
        <v>1689</v>
      </c>
      <c r="F435" s="9" t="s">
        <v>1690</v>
      </c>
      <c r="G435" s="10" t="n">
        <v>2025</v>
      </c>
      <c r="H435" s="10" t="n">
        <v>0</v>
      </c>
      <c r="I435" s="19" t="n">
        <v>18000</v>
      </c>
      <c r="J435" s="19" t="n">
        <v>18000</v>
      </c>
      <c r="K435" s="10" t="n">
        <v>0</v>
      </c>
      <c r="L435" s="10" t="n">
        <v>186</v>
      </c>
      <c r="M435" s="10" t="n">
        <v>0</v>
      </c>
      <c r="N435" s="11" t="n">
        <v>0</v>
      </c>
      <c r="O435" s="18" t="s">
        <v>56</v>
      </c>
    </row>
    <row r="436" customFormat="false" ht="15" hidden="false" customHeight="false" outlineLevel="0" collapsed="false">
      <c r="A436" s="18" t="n">
        <v>151041989</v>
      </c>
      <c r="B436" s="10" t="n">
        <v>797</v>
      </c>
      <c r="C436" s="18" t="s">
        <v>43</v>
      </c>
      <c r="D436" s="9" t="s">
        <v>1695</v>
      </c>
      <c r="E436" s="9" t="s">
        <v>1696</v>
      </c>
      <c r="F436" s="9" t="s">
        <v>259</v>
      </c>
      <c r="G436" s="10" t="n">
        <v>2025</v>
      </c>
      <c r="H436" s="10" t="n">
        <v>10</v>
      </c>
      <c r="I436" s="19" t="n">
        <v>22500</v>
      </c>
      <c r="J436" s="19" t="n">
        <v>25000</v>
      </c>
      <c r="K436" s="10" t="n">
        <v>250</v>
      </c>
      <c r="L436" s="10" t="n">
        <v>1776</v>
      </c>
      <c r="M436" s="10" t="n">
        <v>3</v>
      </c>
      <c r="N436" s="11" t="n">
        <v>9.3</v>
      </c>
      <c r="O436" s="18" t="s">
        <v>56</v>
      </c>
    </row>
    <row r="437" customFormat="false" ht="15" hidden="false" customHeight="false" outlineLevel="0" collapsed="false">
      <c r="A437" s="18" t="n">
        <v>150709449</v>
      </c>
      <c r="B437" s="10" t="n">
        <v>799</v>
      </c>
      <c r="C437" s="18" t="s">
        <v>43</v>
      </c>
      <c r="D437" s="9" t="s">
        <v>1699</v>
      </c>
      <c r="E437" s="9" t="s">
        <v>1700</v>
      </c>
      <c r="F437" s="9" t="s">
        <v>64</v>
      </c>
      <c r="G437" s="10" t="n">
        <v>2025</v>
      </c>
      <c r="H437" s="10" t="n">
        <v>10</v>
      </c>
      <c r="I437" s="19" t="n">
        <v>15930</v>
      </c>
      <c r="J437" s="19" t="n">
        <v>17700</v>
      </c>
      <c r="K437" s="10" t="n">
        <v>880</v>
      </c>
      <c r="L437" s="10" t="n">
        <v>2988</v>
      </c>
      <c r="M437" s="10" t="n">
        <v>19</v>
      </c>
      <c r="N437" s="11" t="n">
        <v>9.8</v>
      </c>
      <c r="O437" s="18" t="s">
        <v>56</v>
      </c>
    </row>
    <row r="438" customFormat="false" ht="15" hidden="false" customHeight="false" outlineLevel="0" collapsed="false">
      <c r="A438" s="18" t="n">
        <v>150698238</v>
      </c>
      <c r="B438" s="10" t="n">
        <v>800</v>
      </c>
      <c r="C438" s="18" t="s">
        <v>43</v>
      </c>
      <c r="D438" s="9" t="s">
        <v>1701</v>
      </c>
      <c r="E438" s="9" t="s">
        <v>432</v>
      </c>
      <c r="F438" s="9" t="s">
        <v>1274</v>
      </c>
      <c r="G438" s="10" t="n">
        <v>2025</v>
      </c>
      <c r="H438" s="10" t="n">
        <v>0</v>
      </c>
      <c r="I438" s="19" t="n">
        <v>27000</v>
      </c>
      <c r="J438" s="19" t="n">
        <v>27000</v>
      </c>
      <c r="K438" s="10" t="n">
        <v>0</v>
      </c>
      <c r="L438" s="10" t="n">
        <v>888</v>
      </c>
      <c r="M438" s="10" t="n">
        <v>4</v>
      </c>
      <c r="N438" s="11" t="n">
        <v>10</v>
      </c>
      <c r="O438" s="18" t="s">
        <v>56</v>
      </c>
    </row>
    <row r="439" customFormat="false" ht="15" hidden="false" customHeight="false" outlineLevel="0" collapsed="false">
      <c r="A439" s="18" t="n">
        <v>150389633</v>
      </c>
      <c r="B439" s="10" t="n">
        <v>801</v>
      </c>
      <c r="C439" s="18" t="s">
        <v>43</v>
      </c>
      <c r="D439" s="15" t="s">
        <v>1702</v>
      </c>
      <c r="E439" s="9" t="s">
        <v>1703</v>
      </c>
      <c r="F439" s="15" t="s">
        <v>561</v>
      </c>
      <c r="G439" s="10" t="n">
        <v>2025</v>
      </c>
      <c r="H439" s="10" t="n">
        <v>0</v>
      </c>
      <c r="I439" s="19" t="n">
        <v>18400</v>
      </c>
      <c r="J439" s="19" t="n">
        <v>18400</v>
      </c>
      <c r="K439" s="10" t="n">
        <v>0</v>
      </c>
      <c r="L439" s="10" t="n">
        <v>132</v>
      </c>
      <c r="M439" s="10" t="n">
        <v>0</v>
      </c>
      <c r="N439" s="11" t="n">
        <v>0</v>
      </c>
      <c r="O439" s="18" t="s">
        <v>56</v>
      </c>
    </row>
    <row r="440" customFormat="false" ht="15" hidden="false" customHeight="false" outlineLevel="0" collapsed="false">
      <c r="A440" s="18" t="n">
        <v>150321457</v>
      </c>
      <c r="B440" s="10" t="n">
        <v>802</v>
      </c>
      <c r="C440" s="18" t="s">
        <v>43</v>
      </c>
      <c r="D440" s="15" t="s">
        <v>1704</v>
      </c>
      <c r="E440" s="9" t="s">
        <v>1703</v>
      </c>
      <c r="F440" s="15" t="s">
        <v>561</v>
      </c>
      <c r="G440" s="10" t="n">
        <v>2025</v>
      </c>
      <c r="H440" s="10" t="n">
        <v>0</v>
      </c>
      <c r="I440" s="19" t="n">
        <v>28900</v>
      </c>
      <c r="J440" s="19" t="n">
        <v>28900</v>
      </c>
      <c r="K440" s="10" t="n">
        <v>0</v>
      </c>
      <c r="L440" s="10" t="n">
        <v>192</v>
      </c>
      <c r="M440" s="10" t="n">
        <v>0</v>
      </c>
      <c r="N440" s="11" t="n">
        <v>0</v>
      </c>
      <c r="O440" s="18" t="s">
        <v>56</v>
      </c>
    </row>
    <row r="441" customFormat="false" ht="15" hidden="false" customHeight="false" outlineLevel="0" collapsed="false">
      <c r="A441" s="18" t="n">
        <v>150118066</v>
      </c>
      <c r="B441" s="10" t="n">
        <v>804</v>
      </c>
      <c r="C441" s="18" t="s">
        <v>43</v>
      </c>
      <c r="D441" s="9" t="s">
        <v>1707</v>
      </c>
      <c r="E441" s="9" t="s">
        <v>1708</v>
      </c>
      <c r="F441" s="9" t="s">
        <v>1274</v>
      </c>
      <c r="G441" s="10" t="n">
        <v>2025</v>
      </c>
      <c r="H441" s="10" t="n">
        <v>0</v>
      </c>
      <c r="I441" s="19" t="n">
        <v>38000</v>
      </c>
      <c r="J441" s="19" t="n">
        <v>38000</v>
      </c>
      <c r="K441" s="10" t="n">
        <v>0</v>
      </c>
      <c r="L441" s="10" t="n">
        <v>540</v>
      </c>
      <c r="M441" s="10" t="n">
        <v>1</v>
      </c>
      <c r="N441" s="11" t="n">
        <v>4</v>
      </c>
      <c r="O441" s="18" t="s">
        <v>56</v>
      </c>
    </row>
    <row r="442" customFormat="false" ht="15" hidden="false" customHeight="false" outlineLevel="0" collapsed="false">
      <c r="A442" s="18" t="n">
        <v>150030416</v>
      </c>
      <c r="B442" s="10" t="n">
        <v>805</v>
      </c>
      <c r="C442" s="18" t="s">
        <v>43</v>
      </c>
      <c r="D442" s="15" t="s">
        <v>1709</v>
      </c>
      <c r="E442" s="9" t="s">
        <v>1343</v>
      </c>
      <c r="F442" s="9" t="s">
        <v>544</v>
      </c>
      <c r="G442" s="10" t="n">
        <v>2025</v>
      </c>
      <c r="H442" s="10" t="n">
        <v>10</v>
      </c>
      <c r="I442" s="19" t="n">
        <v>10800</v>
      </c>
      <c r="J442" s="19" t="n">
        <v>12000</v>
      </c>
      <c r="K442" s="10" t="n">
        <v>600</v>
      </c>
      <c r="L442" s="10" t="n">
        <v>297</v>
      </c>
      <c r="M442" s="10" t="n">
        <v>8</v>
      </c>
      <c r="N442" s="11" t="n">
        <v>9.8</v>
      </c>
      <c r="O442" s="18" t="s">
        <v>56</v>
      </c>
    </row>
    <row r="443" customFormat="false" ht="15" hidden="false" customHeight="false" outlineLevel="0" collapsed="false">
      <c r="A443" s="18" t="n">
        <v>150027797</v>
      </c>
      <c r="B443" s="10" t="n">
        <v>806</v>
      </c>
      <c r="C443" s="18" t="s">
        <v>43</v>
      </c>
      <c r="D443" s="9" t="s">
        <v>1710</v>
      </c>
      <c r="E443" s="9" t="s">
        <v>1711</v>
      </c>
      <c r="F443" s="9" t="s">
        <v>88</v>
      </c>
      <c r="G443" s="10" t="n">
        <v>2025</v>
      </c>
      <c r="H443" s="10" t="n">
        <v>10</v>
      </c>
      <c r="I443" s="19" t="n">
        <v>29700</v>
      </c>
      <c r="J443" s="19" t="n">
        <v>33000</v>
      </c>
      <c r="K443" s="10" t="n">
        <v>1650</v>
      </c>
      <c r="L443" s="10" t="n">
        <v>2022</v>
      </c>
      <c r="M443" s="10" t="n">
        <v>6</v>
      </c>
      <c r="N443" s="11" t="n">
        <v>10</v>
      </c>
      <c r="O443" s="18" t="s">
        <v>56</v>
      </c>
    </row>
    <row r="444" customFormat="false" ht="15" hidden="false" customHeight="false" outlineLevel="0" collapsed="false">
      <c r="A444" s="18" t="n">
        <v>149677992</v>
      </c>
      <c r="B444" s="10" t="n">
        <v>809</v>
      </c>
      <c r="C444" s="18" t="s">
        <v>43</v>
      </c>
      <c r="D444" s="9" t="s">
        <v>1716</v>
      </c>
      <c r="E444" s="9" t="s">
        <v>717</v>
      </c>
      <c r="F444" s="9" t="s">
        <v>514</v>
      </c>
      <c r="G444" s="10" t="n">
        <v>2025</v>
      </c>
      <c r="H444" s="10" t="n">
        <v>0</v>
      </c>
      <c r="I444" s="19" t="n">
        <v>38000</v>
      </c>
      <c r="J444" s="19" t="n">
        <v>38000</v>
      </c>
      <c r="K444" s="10" t="n">
        <v>0</v>
      </c>
      <c r="L444" s="10" t="n">
        <v>660</v>
      </c>
      <c r="M444" s="10" t="n">
        <v>0</v>
      </c>
      <c r="N444" s="11" t="n">
        <v>0</v>
      </c>
      <c r="O444" s="18" t="s">
        <v>56</v>
      </c>
    </row>
    <row r="445" customFormat="false" ht="15" hidden="false" customHeight="false" outlineLevel="0" collapsed="false">
      <c r="A445" s="18" t="n">
        <v>149659316</v>
      </c>
      <c r="B445" s="10" t="n">
        <v>810</v>
      </c>
      <c r="C445" s="18" t="s">
        <v>43</v>
      </c>
      <c r="D445" s="9" t="s">
        <v>1717</v>
      </c>
      <c r="E445" s="9" t="s">
        <v>1718</v>
      </c>
      <c r="F445" s="9" t="s">
        <v>735</v>
      </c>
      <c r="G445" s="10" t="n">
        <v>2025</v>
      </c>
      <c r="H445" s="10" t="n">
        <v>10</v>
      </c>
      <c r="I445" s="19" t="n">
        <v>24750</v>
      </c>
      <c r="J445" s="19" t="n">
        <v>27500</v>
      </c>
      <c r="K445" s="10" t="n">
        <v>1370</v>
      </c>
      <c r="L445" s="10" t="n">
        <v>1440</v>
      </c>
      <c r="M445" s="10" t="n">
        <v>23</v>
      </c>
      <c r="N445" s="11" t="n">
        <v>9.9</v>
      </c>
      <c r="O445" s="18" t="s">
        <v>56</v>
      </c>
    </row>
    <row r="446" customFormat="false" ht="15" hidden="false" customHeight="false" outlineLevel="0" collapsed="false">
      <c r="A446" s="18" t="n">
        <v>149607439</v>
      </c>
      <c r="B446" s="10" t="n">
        <v>811</v>
      </c>
      <c r="C446" s="18" t="s">
        <v>43</v>
      </c>
      <c r="D446" s="9" t="s">
        <v>1719</v>
      </c>
      <c r="E446" s="9" t="s">
        <v>1720</v>
      </c>
      <c r="F446" s="9" t="s">
        <v>747</v>
      </c>
      <c r="G446" s="10" t="n">
        <v>2025</v>
      </c>
      <c r="H446" s="10" t="n">
        <v>10</v>
      </c>
      <c r="I446" s="19" t="n">
        <v>13500</v>
      </c>
      <c r="J446" s="19" t="n">
        <v>15000</v>
      </c>
      <c r="K446" s="10" t="n">
        <v>750</v>
      </c>
      <c r="L446" s="10" t="n">
        <v>774</v>
      </c>
      <c r="M446" s="10" t="n">
        <v>2</v>
      </c>
      <c r="N446" s="11" t="n">
        <v>9</v>
      </c>
      <c r="O446" s="18" t="s">
        <v>56</v>
      </c>
    </row>
    <row r="447" customFormat="false" ht="15" hidden="false" customHeight="false" outlineLevel="0" collapsed="false">
      <c r="A447" s="18" t="n">
        <v>149597633</v>
      </c>
      <c r="B447" s="10" t="n">
        <v>812</v>
      </c>
      <c r="C447" s="18" t="s">
        <v>43</v>
      </c>
      <c r="D447" s="9" t="s">
        <v>1721</v>
      </c>
      <c r="E447" s="9" t="s">
        <v>1722</v>
      </c>
      <c r="F447" s="9" t="s">
        <v>322</v>
      </c>
      <c r="G447" s="10" t="n">
        <v>2025</v>
      </c>
      <c r="H447" s="10" t="n">
        <v>3</v>
      </c>
      <c r="I447" s="19" t="n">
        <v>32980</v>
      </c>
      <c r="J447" s="19" t="n">
        <v>34000</v>
      </c>
      <c r="K447" s="10" t="n">
        <v>0</v>
      </c>
      <c r="L447" s="10" t="n">
        <v>4110</v>
      </c>
      <c r="M447" s="10" t="n">
        <v>0</v>
      </c>
      <c r="N447" s="11" t="n">
        <v>0</v>
      </c>
      <c r="O447" s="18" t="s">
        <v>46</v>
      </c>
    </row>
    <row r="448" customFormat="false" ht="15" hidden="false" customHeight="false" outlineLevel="0" collapsed="false">
      <c r="A448" s="18" t="n">
        <v>149371895</v>
      </c>
      <c r="B448" s="10" t="n">
        <v>813</v>
      </c>
      <c r="C448" s="18" t="s">
        <v>43</v>
      </c>
      <c r="D448" s="15" t="s">
        <v>1723</v>
      </c>
      <c r="E448" s="9" t="s">
        <v>1724</v>
      </c>
      <c r="F448" s="9" t="s">
        <v>1725</v>
      </c>
      <c r="G448" s="10" t="n">
        <v>2025</v>
      </c>
      <c r="H448" s="10" t="n">
        <v>10</v>
      </c>
      <c r="I448" s="19" t="n">
        <v>16200</v>
      </c>
      <c r="J448" s="19" t="n">
        <v>18000</v>
      </c>
      <c r="K448" s="10" t="n">
        <v>900</v>
      </c>
      <c r="L448" s="10" t="n">
        <v>2040</v>
      </c>
      <c r="M448" s="10" t="n">
        <v>8</v>
      </c>
      <c r="N448" s="11" t="n">
        <v>10</v>
      </c>
      <c r="O448" s="18" t="s">
        <v>56</v>
      </c>
    </row>
    <row r="449" customFormat="false" ht="15" hidden="false" customHeight="false" outlineLevel="0" collapsed="false">
      <c r="A449" s="18" t="n">
        <v>149367930</v>
      </c>
      <c r="B449" s="10" t="n">
        <v>814</v>
      </c>
      <c r="C449" s="18" t="s">
        <v>43</v>
      </c>
      <c r="D449" s="9" t="s">
        <v>1726</v>
      </c>
      <c r="E449" s="9" t="s">
        <v>1727</v>
      </c>
      <c r="F449" s="9" t="s">
        <v>64</v>
      </c>
      <c r="G449" s="10" t="n">
        <v>2025</v>
      </c>
      <c r="H449" s="10" t="n">
        <v>10</v>
      </c>
      <c r="I449" s="19" t="n">
        <v>19800</v>
      </c>
      <c r="J449" s="19" t="n">
        <v>22000</v>
      </c>
      <c r="K449" s="10" t="n">
        <v>1100</v>
      </c>
      <c r="L449" s="10" t="n">
        <v>408</v>
      </c>
      <c r="M449" s="10" t="n">
        <v>0</v>
      </c>
      <c r="N449" s="11" t="n">
        <v>0</v>
      </c>
      <c r="O449" s="18" t="s">
        <v>56</v>
      </c>
    </row>
    <row r="450" customFormat="false" ht="15" hidden="false" customHeight="false" outlineLevel="0" collapsed="false">
      <c r="A450" s="18" t="n">
        <v>148696678</v>
      </c>
      <c r="B450" s="10" t="n">
        <v>816</v>
      </c>
      <c r="C450" s="18" t="s">
        <v>43</v>
      </c>
      <c r="D450" s="15" t="s">
        <v>1730</v>
      </c>
      <c r="E450" s="9" t="s">
        <v>1731</v>
      </c>
      <c r="F450" s="9" t="s">
        <v>25</v>
      </c>
      <c r="G450" s="10" t="n">
        <v>2025</v>
      </c>
      <c r="H450" s="10" t="n">
        <v>0</v>
      </c>
      <c r="I450" s="19" t="n">
        <v>12000</v>
      </c>
      <c r="J450" s="19" t="n">
        <v>12000</v>
      </c>
      <c r="K450" s="10" t="n">
        <v>0</v>
      </c>
      <c r="L450" s="10" t="n">
        <v>108</v>
      </c>
      <c r="M450" s="10" t="n">
        <v>0</v>
      </c>
      <c r="N450" s="11" t="n">
        <v>0</v>
      </c>
      <c r="O450" s="18" t="s">
        <v>56</v>
      </c>
    </row>
    <row r="451" customFormat="false" ht="15" hidden="false" customHeight="false" outlineLevel="0" collapsed="false">
      <c r="A451" s="18" t="n">
        <v>148412688</v>
      </c>
      <c r="B451" s="10" t="n">
        <v>819</v>
      </c>
      <c r="C451" s="18" t="s">
        <v>43</v>
      </c>
      <c r="D451" s="15" t="s">
        <v>1735</v>
      </c>
      <c r="E451" s="9" t="s">
        <v>1736</v>
      </c>
      <c r="F451" s="9" t="s">
        <v>25</v>
      </c>
      <c r="G451" s="10" t="n">
        <v>2025</v>
      </c>
      <c r="H451" s="10" t="n">
        <v>0</v>
      </c>
      <c r="I451" s="19" t="n">
        <v>12000</v>
      </c>
      <c r="J451" s="19" t="n">
        <v>12000</v>
      </c>
      <c r="K451" s="10" t="n">
        <v>0</v>
      </c>
      <c r="L451" s="10" t="n">
        <v>96</v>
      </c>
      <c r="M451" s="10" t="n">
        <v>0</v>
      </c>
      <c r="N451" s="11" t="n">
        <v>0</v>
      </c>
      <c r="O451" s="18" t="s">
        <v>56</v>
      </c>
    </row>
    <row r="452" customFormat="false" ht="15" hidden="false" customHeight="false" outlineLevel="0" collapsed="false">
      <c r="A452" s="18" t="n">
        <v>148346480</v>
      </c>
      <c r="B452" s="10" t="n">
        <v>821</v>
      </c>
      <c r="C452" s="18" t="s">
        <v>43</v>
      </c>
      <c r="D452" s="9" t="s">
        <v>1739</v>
      </c>
      <c r="E452" s="9" t="s">
        <v>426</v>
      </c>
      <c r="F452" s="9" t="s">
        <v>514</v>
      </c>
      <c r="G452" s="10" t="n">
        <v>2025</v>
      </c>
      <c r="H452" s="10" t="n">
        <v>0</v>
      </c>
      <c r="I452" s="19" t="n">
        <v>25000</v>
      </c>
      <c r="J452" s="19" t="n">
        <v>25000</v>
      </c>
      <c r="K452" s="10" t="n">
        <v>0</v>
      </c>
      <c r="L452" s="10" t="n">
        <v>3444</v>
      </c>
      <c r="M452" s="10" t="n">
        <v>0</v>
      </c>
      <c r="N452" s="11" t="n">
        <v>0</v>
      </c>
      <c r="O452" s="18" t="s">
        <v>46</v>
      </c>
    </row>
    <row r="453" customFormat="false" ht="15" hidden="false" customHeight="false" outlineLevel="0" collapsed="false">
      <c r="A453" s="18" t="n">
        <v>148343230</v>
      </c>
      <c r="B453" s="10" t="n">
        <v>822</v>
      </c>
      <c r="C453" s="18" t="s">
        <v>43</v>
      </c>
      <c r="D453" s="15" t="s">
        <v>1740</v>
      </c>
      <c r="E453" s="9" t="s">
        <v>1741</v>
      </c>
      <c r="F453" s="9" t="s">
        <v>25</v>
      </c>
      <c r="G453" s="10" t="n">
        <v>2025</v>
      </c>
      <c r="H453" s="10" t="n">
        <v>0</v>
      </c>
      <c r="I453" s="19" t="n">
        <v>25000</v>
      </c>
      <c r="J453" s="19" t="n">
        <v>25000</v>
      </c>
      <c r="K453" s="10" t="n">
        <v>0</v>
      </c>
      <c r="L453" s="10" t="n">
        <v>60</v>
      </c>
      <c r="M453" s="10" t="n">
        <v>0</v>
      </c>
      <c r="N453" s="11" t="n">
        <v>0</v>
      </c>
      <c r="O453" s="18" t="s">
        <v>56</v>
      </c>
    </row>
    <row r="454" customFormat="false" ht="15" hidden="false" customHeight="false" outlineLevel="0" collapsed="false">
      <c r="A454" s="18" t="n">
        <v>148195000</v>
      </c>
      <c r="B454" s="10" t="n">
        <v>823</v>
      </c>
      <c r="C454" s="18" t="s">
        <v>43</v>
      </c>
      <c r="D454" s="9" t="s">
        <v>1742</v>
      </c>
      <c r="E454" s="9" t="s">
        <v>1743</v>
      </c>
      <c r="F454" s="9" t="s">
        <v>1654</v>
      </c>
      <c r="G454" s="10" t="n">
        <v>2025</v>
      </c>
      <c r="H454" s="10" t="n">
        <v>10</v>
      </c>
      <c r="I454" s="19" t="n">
        <v>12600</v>
      </c>
      <c r="J454" s="19" t="n">
        <v>14000</v>
      </c>
      <c r="K454" s="10" t="n">
        <v>700</v>
      </c>
      <c r="L454" s="10" t="n">
        <v>645</v>
      </c>
      <c r="M454" s="10" t="n">
        <v>0</v>
      </c>
      <c r="N454" s="11" t="n">
        <v>0</v>
      </c>
      <c r="O454" s="18" t="s">
        <v>56</v>
      </c>
    </row>
    <row r="455" customFormat="false" ht="15" hidden="false" customHeight="false" outlineLevel="0" collapsed="false">
      <c r="A455" s="18" t="n">
        <v>148173979</v>
      </c>
      <c r="B455" s="10" t="n">
        <v>826</v>
      </c>
      <c r="C455" s="18" t="s">
        <v>43</v>
      </c>
      <c r="D455" s="15" t="s">
        <v>1748</v>
      </c>
      <c r="E455" s="9" t="s">
        <v>1749</v>
      </c>
      <c r="F455" s="9" t="s">
        <v>116</v>
      </c>
      <c r="G455" s="10" t="n">
        <v>2025</v>
      </c>
      <c r="H455" s="10" t="n">
        <v>10</v>
      </c>
      <c r="I455" s="19" t="n">
        <v>16920</v>
      </c>
      <c r="J455" s="19" t="n">
        <v>18800</v>
      </c>
      <c r="K455" s="10" t="n">
        <v>940</v>
      </c>
      <c r="L455" s="10" t="n">
        <v>2238</v>
      </c>
      <c r="M455" s="10" t="n">
        <v>2</v>
      </c>
      <c r="N455" s="11" t="n">
        <v>8</v>
      </c>
      <c r="O455" s="18" t="s">
        <v>56</v>
      </c>
    </row>
    <row r="456" customFormat="false" ht="15" hidden="false" customHeight="false" outlineLevel="0" collapsed="false">
      <c r="A456" s="18" t="n">
        <v>148082413</v>
      </c>
      <c r="B456" s="10" t="n">
        <v>827</v>
      </c>
      <c r="C456" s="18" t="s">
        <v>43</v>
      </c>
      <c r="D456" s="9" t="s">
        <v>1750</v>
      </c>
      <c r="E456" s="9" t="s">
        <v>1751</v>
      </c>
      <c r="F456" s="9" t="s">
        <v>615</v>
      </c>
      <c r="G456" s="10" t="n">
        <v>2025</v>
      </c>
      <c r="H456" s="10" t="n">
        <v>10</v>
      </c>
      <c r="I456" s="19" t="n">
        <v>22500</v>
      </c>
      <c r="J456" s="19" t="n">
        <v>25000</v>
      </c>
      <c r="K456" s="10" t="n">
        <v>1250</v>
      </c>
      <c r="L456" s="10" t="n">
        <v>3798</v>
      </c>
      <c r="M456" s="10" t="n">
        <v>52</v>
      </c>
      <c r="N456" s="11" t="n">
        <v>10</v>
      </c>
      <c r="O456" s="18" t="s">
        <v>56</v>
      </c>
    </row>
    <row r="457" customFormat="false" ht="15" hidden="false" customHeight="false" outlineLevel="0" collapsed="false">
      <c r="A457" s="18" t="n">
        <v>148080194</v>
      </c>
      <c r="B457" s="10" t="n">
        <v>828</v>
      </c>
      <c r="C457" s="18" t="s">
        <v>43</v>
      </c>
      <c r="D457" s="9" t="s">
        <v>1752</v>
      </c>
      <c r="E457" s="9" t="s">
        <v>1720</v>
      </c>
      <c r="F457" s="9" t="s">
        <v>747</v>
      </c>
      <c r="G457" s="10" t="n">
        <v>2025</v>
      </c>
      <c r="H457" s="10" t="n">
        <v>10</v>
      </c>
      <c r="I457" s="19" t="n">
        <v>13500</v>
      </c>
      <c r="J457" s="19" t="n">
        <v>15000</v>
      </c>
      <c r="K457" s="10" t="n">
        <v>750</v>
      </c>
      <c r="L457" s="10" t="n">
        <v>3312</v>
      </c>
      <c r="M457" s="10" t="n">
        <v>1</v>
      </c>
      <c r="N457" s="11" t="n">
        <v>10</v>
      </c>
      <c r="O457" s="18" t="s">
        <v>56</v>
      </c>
    </row>
    <row r="458" customFormat="false" ht="15" hidden="false" customHeight="false" outlineLevel="0" collapsed="false">
      <c r="A458" s="18" t="n">
        <v>147812860</v>
      </c>
      <c r="B458" s="10" t="n">
        <v>831</v>
      </c>
      <c r="C458" s="18" t="s">
        <v>43</v>
      </c>
      <c r="D458" s="9" t="s">
        <v>1757</v>
      </c>
      <c r="E458" s="15" t="s">
        <v>1758</v>
      </c>
      <c r="F458" s="15" t="s">
        <v>680</v>
      </c>
      <c r="G458" s="10" t="n">
        <v>2025</v>
      </c>
      <c r="H458" s="10" t="n">
        <v>5</v>
      </c>
      <c r="I458" s="19" t="n">
        <v>46450</v>
      </c>
      <c r="J458" s="19" t="n">
        <v>48900</v>
      </c>
      <c r="K458" s="10" t="n">
        <v>970</v>
      </c>
      <c r="L458" s="10" t="n">
        <v>276</v>
      </c>
      <c r="M458" s="10" t="n">
        <v>1</v>
      </c>
      <c r="N458" s="11" t="n">
        <v>10</v>
      </c>
      <c r="O458" s="18" t="s">
        <v>56</v>
      </c>
    </row>
    <row r="459" customFormat="false" ht="15" hidden="false" customHeight="false" outlineLevel="0" collapsed="false">
      <c r="A459" s="18" t="n">
        <v>147759656</v>
      </c>
      <c r="B459" s="10" t="n">
        <v>832</v>
      </c>
      <c r="C459" s="18" t="s">
        <v>43</v>
      </c>
      <c r="D459" s="9" t="s">
        <v>1759</v>
      </c>
      <c r="E459" s="9" t="s">
        <v>1760</v>
      </c>
      <c r="F459" s="9" t="s">
        <v>732</v>
      </c>
      <c r="G459" s="10" t="n">
        <v>2025</v>
      </c>
      <c r="H459" s="10" t="n">
        <v>0</v>
      </c>
      <c r="I459" s="19" t="n">
        <v>32000</v>
      </c>
      <c r="J459" s="19" t="n">
        <v>32000</v>
      </c>
      <c r="K459" s="10" t="n">
        <v>0</v>
      </c>
      <c r="L459" s="10" t="n">
        <v>420</v>
      </c>
      <c r="M459" s="10" t="n">
        <v>0</v>
      </c>
      <c r="N459" s="11" t="n">
        <v>0</v>
      </c>
      <c r="O459" s="18" t="s">
        <v>56</v>
      </c>
    </row>
    <row r="460" customFormat="false" ht="15" hidden="false" customHeight="false" outlineLevel="0" collapsed="false">
      <c r="A460" s="18" t="n">
        <v>147751339</v>
      </c>
      <c r="B460" s="10" t="n">
        <v>833</v>
      </c>
      <c r="C460" s="18" t="s">
        <v>43</v>
      </c>
      <c r="D460" s="9" t="s">
        <v>1761</v>
      </c>
      <c r="E460" s="9" t="s">
        <v>1762</v>
      </c>
      <c r="F460" s="9" t="s">
        <v>1654</v>
      </c>
      <c r="G460" s="10" t="n">
        <v>2025</v>
      </c>
      <c r="H460" s="10" t="n">
        <v>10</v>
      </c>
      <c r="I460" s="19" t="n">
        <v>13500</v>
      </c>
      <c r="J460" s="19" t="n">
        <v>15000</v>
      </c>
      <c r="K460" s="10" t="n">
        <v>750</v>
      </c>
      <c r="L460" s="10" t="n">
        <v>654</v>
      </c>
      <c r="M460" s="10" t="n">
        <v>0</v>
      </c>
      <c r="N460" s="11" t="n">
        <v>0</v>
      </c>
      <c r="O460" s="18" t="s">
        <v>56</v>
      </c>
    </row>
    <row r="461" customFormat="false" ht="15" hidden="false" customHeight="false" outlineLevel="0" collapsed="false">
      <c r="A461" s="18" t="n">
        <v>147561128</v>
      </c>
      <c r="B461" s="10" t="n">
        <v>837</v>
      </c>
      <c r="C461" s="18" t="s">
        <v>43</v>
      </c>
      <c r="D461" s="9" t="s">
        <v>1769</v>
      </c>
      <c r="E461" s="9" t="s">
        <v>1770</v>
      </c>
      <c r="F461" s="9" t="s">
        <v>1274</v>
      </c>
      <c r="G461" s="10" t="n">
        <v>2025</v>
      </c>
      <c r="H461" s="10" t="n">
        <v>0</v>
      </c>
      <c r="I461" s="19" t="n">
        <v>33000</v>
      </c>
      <c r="J461" s="19" t="n">
        <v>33000</v>
      </c>
      <c r="K461" s="10" t="n">
        <v>1650</v>
      </c>
      <c r="L461" s="10" t="n">
        <v>402</v>
      </c>
      <c r="M461" s="10" t="n">
        <v>1</v>
      </c>
      <c r="N461" s="11" t="n">
        <v>10</v>
      </c>
      <c r="O461" s="18" t="s">
        <v>56</v>
      </c>
    </row>
    <row r="462" customFormat="false" ht="15" hidden="false" customHeight="false" outlineLevel="0" collapsed="false">
      <c r="A462" s="18" t="n">
        <v>147346451</v>
      </c>
      <c r="B462" s="10" t="n">
        <v>838</v>
      </c>
      <c r="C462" s="18" t="s">
        <v>43</v>
      </c>
      <c r="D462" s="15" t="s">
        <v>1771</v>
      </c>
      <c r="E462" s="9" t="s">
        <v>1772</v>
      </c>
      <c r="F462" s="9" t="s">
        <v>1509</v>
      </c>
      <c r="G462" s="10" t="n">
        <v>2025</v>
      </c>
      <c r="H462" s="10" t="n">
        <v>10</v>
      </c>
      <c r="I462" s="19" t="n">
        <v>15300</v>
      </c>
      <c r="J462" s="19" t="n">
        <v>17000</v>
      </c>
      <c r="K462" s="10" t="n">
        <v>850</v>
      </c>
      <c r="L462" s="10" t="n">
        <v>504</v>
      </c>
      <c r="M462" s="10" t="n">
        <v>0</v>
      </c>
      <c r="N462" s="11" t="n">
        <v>0</v>
      </c>
      <c r="O462" s="18" t="s">
        <v>56</v>
      </c>
    </row>
    <row r="463" customFormat="false" ht="15" hidden="false" customHeight="false" outlineLevel="0" collapsed="false">
      <c r="A463" s="18" t="n">
        <v>147341992</v>
      </c>
      <c r="B463" s="10" t="n">
        <v>839</v>
      </c>
      <c r="C463" s="18" t="s">
        <v>43</v>
      </c>
      <c r="D463" s="9" t="s">
        <v>1773</v>
      </c>
      <c r="E463" s="9" t="s">
        <v>1774</v>
      </c>
      <c r="F463" s="9" t="s">
        <v>552</v>
      </c>
      <c r="G463" s="10" t="n">
        <v>2025</v>
      </c>
      <c r="H463" s="10" t="n">
        <v>10</v>
      </c>
      <c r="I463" s="19" t="n">
        <v>22500</v>
      </c>
      <c r="J463" s="19" t="n">
        <v>25000</v>
      </c>
      <c r="K463" s="10" t="n">
        <v>1250</v>
      </c>
      <c r="L463" s="10" t="n">
        <v>1266</v>
      </c>
      <c r="M463" s="10" t="n">
        <v>24</v>
      </c>
      <c r="N463" s="11" t="n">
        <v>9.8</v>
      </c>
      <c r="O463" s="18" t="s">
        <v>56</v>
      </c>
    </row>
    <row r="464" customFormat="false" ht="15" hidden="false" customHeight="false" outlineLevel="0" collapsed="false">
      <c r="A464" s="18" t="n">
        <v>147316336</v>
      </c>
      <c r="B464" s="10" t="n">
        <v>840</v>
      </c>
      <c r="C464" s="18" t="s">
        <v>43</v>
      </c>
      <c r="D464" s="9" t="s">
        <v>1775</v>
      </c>
      <c r="E464" s="9" t="s">
        <v>1776</v>
      </c>
      <c r="F464" s="9" t="s">
        <v>1777</v>
      </c>
      <c r="G464" s="10" t="n">
        <v>2025</v>
      </c>
      <c r="H464" s="10" t="n">
        <v>5</v>
      </c>
      <c r="I464" s="19" t="n">
        <v>15200</v>
      </c>
      <c r="J464" s="19" t="n">
        <v>16000</v>
      </c>
      <c r="K464" s="10" t="n">
        <v>320</v>
      </c>
      <c r="L464" s="10" t="n">
        <v>162</v>
      </c>
      <c r="M464" s="10" t="n">
        <v>0</v>
      </c>
      <c r="N464" s="11" t="n">
        <v>0</v>
      </c>
      <c r="O464" s="18" t="s">
        <v>56</v>
      </c>
    </row>
    <row r="465" customFormat="false" ht="15" hidden="false" customHeight="false" outlineLevel="0" collapsed="false">
      <c r="A465" s="18" t="n">
        <v>147132535</v>
      </c>
      <c r="B465" s="10" t="n">
        <v>841</v>
      </c>
      <c r="C465" s="18" t="s">
        <v>43</v>
      </c>
      <c r="D465" s="9" t="s">
        <v>1778</v>
      </c>
      <c r="E465" s="9" t="s">
        <v>1140</v>
      </c>
      <c r="F465" s="9" t="s">
        <v>161</v>
      </c>
      <c r="G465" s="10" t="n">
        <v>2025</v>
      </c>
      <c r="H465" s="10" t="n">
        <v>10</v>
      </c>
      <c r="I465" s="19" t="n">
        <v>13500</v>
      </c>
      <c r="J465" s="19" t="n">
        <v>15000</v>
      </c>
      <c r="K465" s="10" t="n">
        <v>750</v>
      </c>
      <c r="L465" s="10" t="n">
        <v>546</v>
      </c>
      <c r="M465" s="10" t="n">
        <v>0</v>
      </c>
      <c r="N465" s="11" t="n">
        <v>0</v>
      </c>
      <c r="O465" s="18" t="s">
        <v>56</v>
      </c>
    </row>
    <row r="466" customFormat="false" ht="15" hidden="false" customHeight="false" outlineLevel="0" collapsed="false">
      <c r="A466" s="18" t="n">
        <v>147049275</v>
      </c>
      <c r="B466" s="10" t="n">
        <v>848</v>
      </c>
      <c r="C466" s="18" t="s">
        <v>43</v>
      </c>
      <c r="D466" s="9" t="s">
        <v>1790</v>
      </c>
      <c r="E466" s="9" t="s">
        <v>403</v>
      </c>
      <c r="F466" s="9" t="s">
        <v>161</v>
      </c>
      <c r="G466" s="10" t="n">
        <v>2025</v>
      </c>
      <c r="H466" s="10" t="n">
        <v>10</v>
      </c>
      <c r="I466" s="19" t="n">
        <v>12600</v>
      </c>
      <c r="J466" s="19" t="n">
        <v>14000</v>
      </c>
      <c r="K466" s="10" t="n">
        <v>700</v>
      </c>
      <c r="L466" s="10" t="n">
        <v>450</v>
      </c>
      <c r="M466" s="10" t="n">
        <v>0</v>
      </c>
      <c r="N466" s="11" t="n">
        <v>0</v>
      </c>
      <c r="O466" s="18" t="s">
        <v>56</v>
      </c>
    </row>
    <row r="467" customFormat="false" ht="15" hidden="false" customHeight="false" outlineLevel="0" collapsed="false">
      <c r="A467" s="18" t="n">
        <v>146874665</v>
      </c>
      <c r="B467" s="10" t="n">
        <v>851</v>
      </c>
      <c r="C467" s="18" t="s">
        <v>43</v>
      </c>
      <c r="D467" s="9" t="s">
        <v>1794</v>
      </c>
      <c r="E467" s="9" t="s">
        <v>1795</v>
      </c>
      <c r="F467" s="9" t="s">
        <v>116</v>
      </c>
      <c r="G467" s="10" t="n">
        <v>2025</v>
      </c>
      <c r="H467" s="10" t="n">
        <v>10</v>
      </c>
      <c r="I467" s="19" t="n">
        <v>30600</v>
      </c>
      <c r="J467" s="19" t="n">
        <v>34000</v>
      </c>
      <c r="K467" s="10" t="n">
        <v>1700</v>
      </c>
      <c r="L467" s="10" t="n">
        <v>6228</v>
      </c>
      <c r="M467" s="10" t="n">
        <v>1</v>
      </c>
      <c r="N467" s="11" t="n">
        <v>10</v>
      </c>
      <c r="O467" s="18" t="s">
        <v>46</v>
      </c>
    </row>
    <row r="468" customFormat="false" ht="15" hidden="false" customHeight="false" outlineLevel="0" collapsed="false">
      <c r="A468" s="18" t="n">
        <v>146531275</v>
      </c>
      <c r="B468" s="10" t="n">
        <v>854</v>
      </c>
      <c r="C468" s="18" t="s">
        <v>43</v>
      </c>
      <c r="D468" s="9" t="s">
        <v>1800</v>
      </c>
      <c r="E468" s="9" t="s">
        <v>1801</v>
      </c>
      <c r="F468" s="9" t="s">
        <v>1802</v>
      </c>
      <c r="G468" s="10" t="n">
        <v>2025</v>
      </c>
      <c r="H468" s="10" t="n">
        <v>10</v>
      </c>
      <c r="I468" s="19" t="n">
        <v>25200</v>
      </c>
      <c r="J468" s="19" t="n">
        <v>28000</v>
      </c>
      <c r="K468" s="10" t="n">
        <v>1400</v>
      </c>
      <c r="L468" s="10" t="n">
        <v>5280</v>
      </c>
      <c r="M468" s="10" t="n">
        <v>34</v>
      </c>
      <c r="N468" s="11" t="n">
        <v>9.8</v>
      </c>
      <c r="O468" s="18" t="s">
        <v>56</v>
      </c>
    </row>
    <row r="469" customFormat="false" ht="15" hidden="false" customHeight="false" outlineLevel="0" collapsed="false">
      <c r="A469" s="18" t="n">
        <v>146529821</v>
      </c>
      <c r="B469" s="10" t="n">
        <v>855</v>
      </c>
      <c r="C469" s="18" t="s">
        <v>43</v>
      </c>
      <c r="D469" s="9" t="s">
        <v>1803</v>
      </c>
      <c r="E469" s="9" t="s">
        <v>1804</v>
      </c>
      <c r="F469" s="9" t="s">
        <v>1805</v>
      </c>
      <c r="G469" s="10" t="n">
        <v>2025</v>
      </c>
      <c r="H469" s="10" t="n">
        <v>10</v>
      </c>
      <c r="I469" s="19" t="n">
        <v>26100</v>
      </c>
      <c r="J469" s="19" t="n">
        <v>29000</v>
      </c>
      <c r="K469" s="10" t="n">
        <v>1450</v>
      </c>
      <c r="L469" s="10" t="n">
        <v>852</v>
      </c>
      <c r="M469" s="10" t="n">
        <v>2</v>
      </c>
      <c r="N469" s="11" t="n">
        <v>10</v>
      </c>
      <c r="O469" s="18" t="s">
        <v>56</v>
      </c>
    </row>
    <row r="470" customFormat="false" ht="15" hidden="false" customHeight="false" outlineLevel="0" collapsed="false">
      <c r="A470" s="18" t="n">
        <v>146509061</v>
      </c>
      <c r="B470" s="10" t="n">
        <v>856</v>
      </c>
      <c r="C470" s="18" t="s">
        <v>43</v>
      </c>
      <c r="D470" s="15" t="s">
        <v>1806</v>
      </c>
      <c r="E470" s="9" t="s">
        <v>1807</v>
      </c>
      <c r="F470" s="9" t="s">
        <v>25</v>
      </c>
      <c r="G470" s="10" t="n">
        <v>2025</v>
      </c>
      <c r="H470" s="10" t="n">
        <v>0</v>
      </c>
      <c r="I470" s="19" t="n">
        <v>12000</v>
      </c>
      <c r="J470" s="19" t="n">
        <v>12000</v>
      </c>
      <c r="K470" s="10" t="n">
        <v>0</v>
      </c>
      <c r="L470" s="10" t="n">
        <v>264</v>
      </c>
      <c r="M470" s="10" t="n">
        <v>0</v>
      </c>
      <c r="N470" s="11" t="n">
        <v>0</v>
      </c>
      <c r="O470" s="18" t="s">
        <v>56</v>
      </c>
    </row>
    <row r="471" customFormat="false" ht="15" hidden="false" customHeight="false" outlineLevel="0" collapsed="false">
      <c r="A471" s="18" t="n">
        <v>146504995</v>
      </c>
      <c r="B471" s="10" t="n">
        <v>857</v>
      </c>
      <c r="C471" s="18" t="s">
        <v>43</v>
      </c>
      <c r="D471" s="9" t="s">
        <v>1808</v>
      </c>
      <c r="E471" s="9" t="s">
        <v>1809</v>
      </c>
      <c r="F471" s="9" t="s">
        <v>1274</v>
      </c>
      <c r="G471" s="10" t="n">
        <v>2025</v>
      </c>
      <c r="H471" s="10" t="n">
        <v>0</v>
      </c>
      <c r="I471" s="19" t="n">
        <v>30000</v>
      </c>
      <c r="J471" s="19" t="n">
        <v>30000</v>
      </c>
      <c r="K471" s="10" t="n">
        <v>0</v>
      </c>
      <c r="L471" s="10" t="n">
        <v>624</v>
      </c>
      <c r="M471" s="10" t="n">
        <v>11</v>
      </c>
      <c r="N471" s="11" t="n">
        <v>9.8</v>
      </c>
      <c r="O471" s="18" t="s">
        <v>56</v>
      </c>
    </row>
    <row r="472" customFormat="false" ht="15" hidden="false" customHeight="false" outlineLevel="0" collapsed="false">
      <c r="A472" s="18" t="n">
        <v>146361202</v>
      </c>
      <c r="B472" s="10" t="n">
        <v>858</v>
      </c>
      <c r="C472" s="18" t="s">
        <v>43</v>
      </c>
      <c r="D472" s="15" t="s">
        <v>1810</v>
      </c>
      <c r="E472" s="9" t="s">
        <v>1811</v>
      </c>
      <c r="F472" s="9" t="s">
        <v>1812</v>
      </c>
      <c r="G472" s="10" t="n">
        <v>2025</v>
      </c>
      <c r="H472" s="10" t="n">
        <v>10</v>
      </c>
      <c r="I472" s="19" t="n">
        <v>16200</v>
      </c>
      <c r="J472" s="19" t="n">
        <v>18000</v>
      </c>
      <c r="K472" s="10" t="n">
        <v>900</v>
      </c>
      <c r="L472" s="10" t="n">
        <v>198</v>
      </c>
      <c r="M472" s="10" t="n">
        <v>0</v>
      </c>
      <c r="N472" s="11" t="n">
        <v>0</v>
      </c>
      <c r="O472" s="18" t="s">
        <v>56</v>
      </c>
    </row>
    <row r="473" customFormat="false" ht="15" hidden="false" customHeight="false" outlineLevel="0" collapsed="false">
      <c r="A473" s="18" t="n">
        <v>146309485</v>
      </c>
      <c r="B473" s="10" t="n">
        <v>861</v>
      </c>
      <c r="C473" s="18" t="s">
        <v>43</v>
      </c>
      <c r="D473" s="9" t="s">
        <v>1816</v>
      </c>
      <c r="E473" s="9" t="s">
        <v>1817</v>
      </c>
      <c r="F473" s="9" t="s">
        <v>25</v>
      </c>
      <c r="G473" s="10" t="n">
        <v>2025</v>
      </c>
      <c r="H473" s="10" t="n">
        <v>0</v>
      </c>
      <c r="I473" s="19" t="n">
        <v>12000</v>
      </c>
      <c r="J473" s="19" t="n">
        <v>12000</v>
      </c>
      <c r="K473" s="10" t="n">
        <v>0</v>
      </c>
      <c r="L473" s="10" t="n">
        <v>216</v>
      </c>
      <c r="M473" s="10" t="n">
        <v>1</v>
      </c>
      <c r="N473" s="11" t="n">
        <v>10</v>
      </c>
      <c r="O473" s="18" t="s">
        <v>56</v>
      </c>
    </row>
    <row r="474" customFormat="false" ht="15" hidden="false" customHeight="false" outlineLevel="0" collapsed="false">
      <c r="A474" s="18" t="n">
        <v>146140506</v>
      </c>
      <c r="B474" s="10" t="n">
        <v>863</v>
      </c>
      <c r="C474" s="18" t="s">
        <v>43</v>
      </c>
      <c r="D474" s="15" t="s">
        <v>1820</v>
      </c>
      <c r="E474" s="9" t="s">
        <v>1821</v>
      </c>
      <c r="F474" s="15" t="s">
        <v>561</v>
      </c>
      <c r="G474" s="10" t="n">
        <v>2025</v>
      </c>
      <c r="H474" s="10" t="n">
        <v>0</v>
      </c>
      <c r="I474" s="19" t="n">
        <v>15700</v>
      </c>
      <c r="J474" s="19" t="n">
        <v>15700</v>
      </c>
      <c r="K474" s="10" t="n">
        <v>0</v>
      </c>
      <c r="L474" s="10" t="n">
        <v>132</v>
      </c>
      <c r="M474" s="10" t="n">
        <v>0</v>
      </c>
      <c r="N474" s="11" t="n">
        <v>0</v>
      </c>
      <c r="O474" s="18" t="s">
        <v>56</v>
      </c>
    </row>
    <row r="475" customFormat="false" ht="15" hidden="false" customHeight="false" outlineLevel="0" collapsed="false">
      <c r="A475" s="18" t="n">
        <v>146122830</v>
      </c>
      <c r="B475" s="10" t="n">
        <v>864</v>
      </c>
      <c r="C475" s="18" t="s">
        <v>43</v>
      </c>
      <c r="D475" s="15" t="s">
        <v>1822</v>
      </c>
      <c r="E475" s="9" t="s">
        <v>1823</v>
      </c>
      <c r="F475" s="9" t="s">
        <v>25</v>
      </c>
      <c r="G475" s="10" t="n">
        <v>2025</v>
      </c>
      <c r="H475" s="10" t="n">
        <v>0</v>
      </c>
      <c r="I475" s="19" t="n">
        <v>12000</v>
      </c>
      <c r="J475" s="19" t="n">
        <v>12000</v>
      </c>
      <c r="K475" s="10" t="n">
        <v>0</v>
      </c>
      <c r="L475" s="10" t="n">
        <v>282</v>
      </c>
      <c r="M475" s="10" t="n">
        <v>0</v>
      </c>
      <c r="N475" s="11" t="n">
        <v>0</v>
      </c>
      <c r="O475" s="18" t="s">
        <v>56</v>
      </c>
    </row>
    <row r="476" customFormat="false" ht="15" hidden="false" customHeight="false" outlineLevel="0" collapsed="false">
      <c r="A476" s="18" t="n">
        <v>145967474</v>
      </c>
      <c r="B476" s="10" t="n">
        <v>867</v>
      </c>
      <c r="C476" s="18" t="s">
        <v>43</v>
      </c>
      <c r="D476" s="15" t="s">
        <v>1827</v>
      </c>
      <c r="E476" s="9" t="s">
        <v>1828</v>
      </c>
      <c r="F476" s="9" t="s">
        <v>1829</v>
      </c>
      <c r="G476" s="10" t="n">
        <v>2025</v>
      </c>
      <c r="H476" s="10" t="n">
        <v>10</v>
      </c>
      <c r="I476" s="19" t="n">
        <v>17820</v>
      </c>
      <c r="J476" s="19" t="n">
        <v>19800</v>
      </c>
      <c r="K476" s="10" t="n">
        <v>990</v>
      </c>
      <c r="L476" s="10" t="n">
        <v>456</v>
      </c>
      <c r="M476" s="10" t="n">
        <v>0</v>
      </c>
      <c r="N476" s="11" t="n">
        <v>0</v>
      </c>
      <c r="O476" s="18" t="s">
        <v>56</v>
      </c>
    </row>
    <row r="477" customFormat="false" ht="15" hidden="false" customHeight="false" outlineLevel="0" collapsed="false">
      <c r="A477" s="18" t="n">
        <v>145417424</v>
      </c>
      <c r="B477" s="10" t="n">
        <v>869</v>
      </c>
      <c r="C477" s="18" t="s">
        <v>43</v>
      </c>
      <c r="D477" s="15" t="s">
        <v>1831</v>
      </c>
      <c r="E477" s="9" t="s">
        <v>1832</v>
      </c>
      <c r="F477" s="9" t="s">
        <v>1509</v>
      </c>
      <c r="G477" s="10" t="n">
        <v>2025</v>
      </c>
      <c r="H477" s="10" t="n">
        <v>10</v>
      </c>
      <c r="I477" s="19" t="n">
        <v>15300</v>
      </c>
      <c r="J477" s="19" t="n">
        <v>17000</v>
      </c>
      <c r="K477" s="10" t="n">
        <v>850</v>
      </c>
      <c r="L477" s="10" t="n">
        <v>108</v>
      </c>
      <c r="M477" s="10" t="n">
        <v>0</v>
      </c>
      <c r="N477" s="11" t="n">
        <v>0</v>
      </c>
      <c r="O477" s="18" t="s">
        <v>56</v>
      </c>
    </row>
    <row r="478" customFormat="false" ht="15" hidden="false" customHeight="false" outlineLevel="0" collapsed="false">
      <c r="A478" s="18" t="n">
        <v>145383562</v>
      </c>
      <c r="B478" s="10" t="n">
        <v>870</v>
      </c>
      <c r="C478" s="18" t="s">
        <v>43</v>
      </c>
      <c r="D478" s="9" t="s">
        <v>1833</v>
      </c>
      <c r="E478" s="9" t="s">
        <v>1834</v>
      </c>
      <c r="F478" s="9" t="s">
        <v>184</v>
      </c>
      <c r="G478" s="10" t="n">
        <v>2025</v>
      </c>
      <c r="H478" s="10" t="n">
        <v>0</v>
      </c>
      <c r="I478" s="19" t="n">
        <v>15000</v>
      </c>
      <c r="J478" s="19" t="n">
        <v>15000</v>
      </c>
      <c r="K478" s="10" t="n">
        <v>0</v>
      </c>
      <c r="L478" s="10" t="n">
        <v>3117</v>
      </c>
      <c r="M478" s="10" t="n">
        <v>35</v>
      </c>
      <c r="N478" s="11" t="n">
        <v>9.9</v>
      </c>
      <c r="O478" s="18" t="s">
        <v>56</v>
      </c>
    </row>
    <row r="479" customFormat="false" ht="15" hidden="false" customHeight="false" outlineLevel="0" collapsed="false">
      <c r="A479" s="18" t="n">
        <v>145383089</v>
      </c>
      <c r="B479" s="10" t="n">
        <v>871</v>
      </c>
      <c r="C479" s="18" t="s">
        <v>43</v>
      </c>
      <c r="D479" s="9" t="s">
        <v>1835</v>
      </c>
      <c r="E479" s="9" t="s">
        <v>1836</v>
      </c>
      <c r="F479" s="9" t="s">
        <v>1837</v>
      </c>
      <c r="G479" s="10" t="n">
        <v>2025</v>
      </c>
      <c r="H479" s="10" t="n">
        <v>10</v>
      </c>
      <c r="I479" s="19" t="n">
        <v>16200</v>
      </c>
      <c r="J479" s="19" t="n">
        <v>18000</v>
      </c>
      <c r="K479" s="10" t="n">
        <v>900</v>
      </c>
      <c r="L479" s="10" t="n">
        <v>720</v>
      </c>
      <c r="M479" s="10" t="n">
        <v>14</v>
      </c>
      <c r="N479" s="11" t="n">
        <v>10</v>
      </c>
      <c r="O479" s="18" t="s">
        <v>56</v>
      </c>
    </row>
    <row r="480" customFormat="false" ht="15" hidden="false" customHeight="false" outlineLevel="0" collapsed="false">
      <c r="A480" s="18" t="n">
        <v>145215671</v>
      </c>
      <c r="B480" s="10" t="n">
        <v>874</v>
      </c>
      <c r="C480" s="18" t="s">
        <v>43</v>
      </c>
      <c r="D480" s="15" t="s">
        <v>1842</v>
      </c>
      <c r="E480" s="9" t="s">
        <v>1843</v>
      </c>
      <c r="F480" s="9" t="s">
        <v>64</v>
      </c>
      <c r="G480" s="10" t="n">
        <v>2025</v>
      </c>
      <c r="H480" s="10" t="n">
        <v>10</v>
      </c>
      <c r="I480" s="19" t="n">
        <v>22950</v>
      </c>
      <c r="J480" s="19" t="n">
        <v>25500</v>
      </c>
      <c r="K480" s="10" t="n">
        <v>1270</v>
      </c>
      <c r="L480" s="10" t="n">
        <v>204</v>
      </c>
      <c r="M480" s="10" t="n">
        <v>1</v>
      </c>
      <c r="N480" s="11" t="n">
        <v>10</v>
      </c>
      <c r="O480" s="18" t="s">
        <v>56</v>
      </c>
    </row>
    <row r="481" customFormat="false" ht="15" hidden="false" customHeight="false" outlineLevel="0" collapsed="false">
      <c r="A481" s="18" t="n">
        <v>144905251</v>
      </c>
      <c r="B481" s="10" t="n">
        <v>877</v>
      </c>
      <c r="C481" s="18" t="s">
        <v>43</v>
      </c>
      <c r="D481" s="15" t="s">
        <v>1848</v>
      </c>
      <c r="E481" s="9" t="s">
        <v>1849</v>
      </c>
      <c r="F481" s="9" t="s">
        <v>231</v>
      </c>
      <c r="G481" s="10" t="n">
        <v>2025</v>
      </c>
      <c r="H481" s="10" t="n">
        <v>10</v>
      </c>
      <c r="I481" s="19" t="n">
        <v>24300</v>
      </c>
      <c r="J481" s="19" t="n">
        <v>27000</v>
      </c>
      <c r="K481" s="10" t="n">
        <v>1350</v>
      </c>
      <c r="L481" s="10" t="n">
        <v>648</v>
      </c>
      <c r="M481" s="10" t="n">
        <v>3</v>
      </c>
      <c r="N481" s="11" t="n">
        <v>10</v>
      </c>
      <c r="O481" s="18" t="s">
        <v>56</v>
      </c>
    </row>
    <row r="482" customFormat="false" ht="15" hidden="false" customHeight="false" outlineLevel="0" collapsed="false">
      <c r="A482" s="18" t="n">
        <v>144692024</v>
      </c>
      <c r="B482" s="10" t="n">
        <v>879</v>
      </c>
      <c r="C482" s="18" t="s">
        <v>43</v>
      </c>
      <c r="D482" s="9" t="s">
        <v>1851</v>
      </c>
      <c r="E482" s="9" t="s">
        <v>1852</v>
      </c>
      <c r="F482" s="9" t="s">
        <v>1853</v>
      </c>
      <c r="G482" s="10" t="n">
        <v>2025</v>
      </c>
      <c r="H482" s="10" t="n">
        <v>10</v>
      </c>
      <c r="I482" s="19" t="n">
        <v>22500</v>
      </c>
      <c r="J482" s="19" t="n">
        <v>25000</v>
      </c>
      <c r="K482" s="10" t="n">
        <v>1250</v>
      </c>
      <c r="L482" s="10" t="n">
        <v>648</v>
      </c>
      <c r="M482" s="10" t="n">
        <v>21</v>
      </c>
      <c r="N482" s="11" t="n">
        <v>10</v>
      </c>
      <c r="O482" s="18" t="s">
        <v>56</v>
      </c>
    </row>
    <row r="483" customFormat="false" ht="15" hidden="false" customHeight="false" outlineLevel="0" collapsed="false">
      <c r="A483" s="18" t="n">
        <v>144688663</v>
      </c>
      <c r="B483" s="10" t="n">
        <v>880</v>
      </c>
      <c r="C483" s="18" t="s">
        <v>43</v>
      </c>
      <c r="D483" s="9" t="s">
        <v>1854</v>
      </c>
      <c r="E483" s="9" t="s">
        <v>1855</v>
      </c>
      <c r="F483" s="9" t="s">
        <v>25</v>
      </c>
      <c r="G483" s="10" t="n">
        <v>2025</v>
      </c>
      <c r="H483" s="10" t="n">
        <v>0</v>
      </c>
      <c r="I483" s="19" t="n">
        <v>12000</v>
      </c>
      <c r="J483" s="19" t="n">
        <v>12000</v>
      </c>
      <c r="K483" s="10" t="n">
        <v>0</v>
      </c>
      <c r="L483" s="10" t="n">
        <v>126</v>
      </c>
      <c r="M483" s="10" t="n">
        <v>0</v>
      </c>
      <c r="N483" s="11" t="n">
        <v>0</v>
      </c>
      <c r="O483" s="18" t="s">
        <v>56</v>
      </c>
    </row>
    <row r="484" customFormat="false" ht="15" hidden="false" customHeight="false" outlineLevel="0" collapsed="false">
      <c r="A484" s="18" t="n">
        <v>144688656</v>
      </c>
      <c r="B484" s="10" t="n">
        <v>881</v>
      </c>
      <c r="C484" s="18" t="s">
        <v>43</v>
      </c>
      <c r="D484" s="15" t="s">
        <v>1856</v>
      </c>
      <c r="E484" s="9" t="s">
        <v>1857</v>
      </c>
      <c r="F484" s="9" t="s">
        <v>25</v>
      </c>
      <c r="G484" s="10" t="n">
        <v>2025</v>
      </c>
      <c r="H484" s="10" t="n">
        <v>0</v>
      </c>
      <c r="I484" s="19" t="n">
        <v>12000</v>
      </c>
      <c r="J484" s="19" t="n">
        <v>12000</v>
      </c>
      <c r="K484" s="10" t="n">
        <v>0</v>
      </c>
      <c r="L484" s="10" t="n">
        <v>108</v>
      </c>
      <c r="M484" s="10" t="n">
        <v>0</v>
      </c>
      <c r="N484" s="11" t="n">
        <v>0</v>
      </c>
      <c r="O484" s="18" t="s">
        <v>56</v>
      </c>
    </row>
    <row r="485" customFormat="false" ht="15" hidden="false" customHeight="false" outlineLevel="0" collapsed="false">
      <c r="A485" s="18" t="n">
        <v>144594455</v>
      </c>
      <c r="B485" s="10" t="n">
        <v>882</v>
      </c>
      <c r="C485" s="18" t="s">
        <v>43</v>
      </c>
      <c r="D485" s="9" t="s">
        <v>1858</v>
      </c>
      <c r="E485" s="9" t="s">
        <v>1859</v>
      </c>
      <c r="F485" s="9" t="s">
        <v>1860</v>
      </c>
      <c r="G485" s="10" t="n">
        <v>2025</v>
      </c>
      <c r="H485" s="10" t="n">
        <v>10</v>
      </c>
      <c r="I485" s="19" t="n">
        <v>31500</v>
      </c>
      <c r="J485" s="19" t="n">
        <v>35000</v>
      </c>
      <c r="K485" s="10" t="n">
        <v>1750</v>
      </c>
      <c r="L485" s="10" t="n">
        <v>228</v>
      </c>
      <c r="M485" s="10" t="n">
        <v>0</v>
      </c>
      <c r="N485" s="11" t="n">
        <v>0</v>
      </c>
      <c r="O485" s="18" t="s">
        <v>56</v>
      </c>
    </row>
    <row r="486" customFormat="false" ht="15" hidden="false" customHeight="false" outlineLevel="0" collapsed="false">
      <c r="A486" s="18" t="n">
        <v>144048800</v>
      </c>
      <c r="B486" s="10" t="n">
        <v>884</v>
      </c>
      <c r="C486" s="18" t="s">
        <v>43</v>
      </c>
      <c r="D486" s="15" t="s">
        <v>1863</v>
      </c>
      <c r="E486" s="9" t="s">
        <v>1864</v>
      </c>
      <c r="F486" s="9" t="s">
        <v>1865</v>
      </c>
      <c r="G486" s="10" t="n">
        <v>2025</v>
      </c>
      <c r="H486" s="10" t="n">
        <v>10</v>
      </c>
      <c r="I486" s="19" t="n">
        <v>28800</v>
      </c>
      <c r="J486" s="19" t="n">
        <v>32000</v>
      </c>
      <c r="K486" s="10" t="n">
        <v>320</v>
      </c>
      <c r="L486" s="10" t="n">
        <v>1140</v>
      </c>
      <c r="M486" s="10" t="n">
        <v>0</v>
      </c>
      <c r="N486" s="11" t="n">
        <v>0</v>
      </c>
      <c r="O486" s="18" t="s">
        <v>56</v>
      </c>
    </row>
    <row r="487" customFormat="false" ht="15" hidden="false" customHeight="false" outlineLevel="0" collapsed="false">
      <c r="A487" s="18" t="n">
        <v>143973042</v>
      </c>
      <c r="B487" s="10" t="n">
        <v>885</v>
      </c>
      <c r="C487" s="18" t="s">
        <v>43</v>
      </c>
      <c r="D487" s="9" t="s">
        <v>1866</v>
      </c>
      <c r="E487" s="9" t="s">
        <v>1867</v>
      </c>
      <c r="F487" s="9" t="s">
        <v>100</v>
      </c>
      <c r="G487" s="10" t="n">
        <v>2025</v>
      </c>
      <c r="H487" s="10" t="n">
        <v>10</v>
      </c>
      <c r="I487" s="19" t="n">
        <v>19800</v>
      </c>
      <c r="J487" s="19" t="n">
        <v>22000</v>
      </c>
      <c r="K487" s="10" t="n">
        <v>1100</v>
      </c>
      <c r="L487" s="10" t="n">
        <v>750</v>
      </c>
      <c r="M487" s="10" t="n">
        <v>1</v>
      </c>
      <c r="N487" s="11" t="n">
        <v>4</v>
      </c>
      <c r="O487" s="18" t="s">
        <v>56</v>
      </c>
    </row>
    <row r="488" customFormat="false" ht="15" hidden="false" customHeight="false" outlineLevel="0" collapsed="false">
      <c r="A488" s="18" t="n">
        <v>143843519</v>
      </c>
      <c r="B488" s="10" t="n">
        <v>887</v>
      </c>
      <c r="C488" s="18" t="s">
        <v>43</v>
      </c>
      <c r="D488" s="9" t="s">
        <v>1870</v>
      </c>
      <c r="E488" s="9" t="s">
        <v>1500</v>
      </c>
      <c r="F488" s="9" t="s">
        <v>25</v>
      </c>
      <c r="G488" s="10" t="n">
        <v>2025</v>
      </c>
      <c r="H488" s="10" t="n">
        <v>0</v>
      </c>
      <c r="I488" s="19" t="n">
        <v>12000</v>
      </c>
      <c r="J488" s="19" t="n">
        <v>12000</v>
      </c>
      <c r="K488" s="10" t="n">
        <v>0</v>
      </c>
      <c r="L488" s="10" t="n">
        <v>276</v>
      </c>
      <c r="M488" s="10" t="n">
        <v>0</v>
      </c>
      <c r="N488" s="11" t="n">
        <v>0</v>
      </c>
      <c r="O488" s="18" t="s">
        <v>56</v>
      </c>
    </row>
    <row r="489" customFormat="false" ht="15" hidden="false" customHeight="false" outlineLevel="0" collapsed="false">
      <c r="A489" s="18" t="n">
        <v>143837563</v>
      </c>
      <c r="B489" s="10" t="n">
        <v>888</v>
      </c>
      <c r="C489" s="18" t="s">
        <v>43</v>
      </c>
      <c r="D489" s="9" t="s">
        <v>1871</v>
      </c>
      <c r="E489" s="9" t="s">
        <v>1872</v>
      </c>
      <c r="F489" s="9" t="s">
        <v>1034</v>
      </c>
      <c r="G489" s="10" t="n">
        <v>2025</v>
      </c>
      <c r="H489" s="10" t="n">
        <v>10</v>
      </c>
      <c r="I489" s="19" t="n">
        <v>16200</v>
      </c>
      <c r="J489" s="19" t="n">
        <v>18000</v>
      </c>
      <c r="K489" s="10" t="n">
        <v>900</v>
      </c>
      <c r="L489" s="10" t="n">
        <v>300</v>
      </c>
      <c r="M489" s="10" t="n">
        <v>0</v>
      </c>
      <c r="N489" s="11" t="n">
        <v>0</v>
      </c>
      <c r="O489" s="18" t="s">
        <v>56</v>
      </c>
    </row>
    <row r="490" customFormat="false" ht="15" hidden="false" customHeight="false" outlineLevel="0" collapsed="false">
      <c r="A490" s="18" t="n">
        <v>143791593</v>
      </c>
      <c r="B490" s="10" t="n">
        <v>891</v>
      </c>
      <c r="C490" s="18" t="s">
        <v>43</v>
      </c>
      <c r="D490" s="9" t="s">
        <v>1876</v>
      </c>
      <c r="E490" s="9" t="s">
        <v>1877</v>
      </c>
      <c r="F490" s="9" t="s">
        <v>25</v>
      </c>
      <c r="G490" s="10" t="n">
        <v>2025</v>
      </c>
      <c r="H490" s="10" t="n">
        <v>0</v>
      </c>
      <c r="I490" s="19" t="n">
        <v>12000</v>
      </c>
      <c r="J490" s="19" t="n">
        <v>12000</v>
      </c>
      <c r="K490" s="10" t="n">
        <v>0</v>
      </c>
      <c r="L490" s="10" t="n">
        <v>228</v>
      </c>
      <c r="M490" s="10" t="n">
        <v>0</v>
      </c>
      <c r="N490" s="11" t="n">
        <v>0</v>
      </c>
      <c r="O490" s="18" t="s">
        <v>56</v>
      </c>
    </row>
    <row r="491" customFormat="false" ht="15" hidden="false" customHeight="false" outlineLevel="0" collapsed="false">
      <c r="A491" s="18" t="n">
        <v>143759917</v>
      </c>
      <c r="B491" s="10" t="n">
        <v>892</v>
      </c>
      <c r="C491" s="18" t="s">
        <v>43</v>
      </c>
      <c r="D491" s="9" t="s">
        <v>1878</v>
      </c>
      <c r="E491" s="9" t="s">
        <v>1879</v>
      </c>
      <c r="F491" s="9" t="s">
        <v>1349</v>
      </c>
      <c r="G491" s="10" t="n">
        <v>2025</v>
      </c>
      <c r="H491" s="10" t="n">
        <v>5</v>
      </c>
      <c r="I491" s="19" t="n">
        <v>38000</v>
      </c>
      <c r="J491" s="19" t="n">
        <v>40000</v>
      </c>
      <c r="K491" s="10" t="n">
        <v>800</v>
      </c>
      <c r="L491" s="10" t="n">
        <v>264</v>
      </c>
      <c r="M491" s="10" t="n">
        <v>0</v>
      </c>
      <c r="N491" s="11" t="n">
        <v>0</v>
      </c>
      <c r="O491" s="18" t="s">
        <v>56</v>
      </c>
    </row>
    <row r="492" customFormat="false" ht="15" hidden="false" customHeight="false" outlineLevel="0" collapsed="false">
      <c r="A492" s="18" t="n">
        <v>143609740</v>
      </c>
      <c r="B492" s="10" t="n">
        <v>893</v>
      </c>
      <c r="C492" s="18" t="s">
        <v>43</v>
      </c>
      <c r="D492" s="9" t="s">
        <v>1880</v>
      </c>
      <c r="E492" s="9" t="s">
        <v>1881</v>
      </c>
      <c r="F492" s="9" t="s">
        <v>25</v>
      </c>
      <c r="G492" s="10" t="n">
        <v>2025</v>
      </c>
      <c r="H492" s="10" t="n">
        <v>0</v>
      </c>
      <c r="I492" s="19" t="n">
        <v>12000</v>
      </c>
      <c r="J492" s="19" t="n">
        <v>12000</v>
      </c>
      <c r="K492" s="10" t="n">
        <v>0</v>
      </c>
      <c r="L492" s="10" t="n">
        <v>120</v>
      </c>
      <c r="M492" s="10" t="n">
        <v>0</v>
      </c>
      <c r="N492" s="11" t="n">
        <v>0</v>
      </c>
      <c r="O492" s="18" t="s">
        <v>56</v>
      </c>
    </row>
    <row r="493" customFormat="false" ht="15" hidden="false" customHeight="false" outlineLevel="0" collapsed="false">
      <c r="A493" s="18" t="n">
        <v>143484839</v>
      </c>
      <c r="B493" s="10" t="n">
        <v>894</v>
      </c>
      <c r="C493" s="18" t="s">
        <v>43</v>
      </c>
      <c r="D493" s="9" t="s">
        <v>1882</v>
      </c>
      <c r="E493" s="9" t="s">
        <v>1883</v>
      </c>
      <c r="F493" s="9" t="s">
        <v>1654</v>
      </c>
      <c r="G493" s="10" t="n">
        <v>2025</v>
      </c>
      <c r="H493" s="10" t="n">
        <v>10</v>
      </c>
      <c r="I493" s="19" t="n">
        <v>12600</v>
      </c>
      <c r="J493" s="19" t="n">
        <v>14000</v>
      </c>
      <c r="K493" s="10" t="n">
        <v>700</v>
      </c>
      <c r="L493" s="10" t="n">
        <v>831</v>
      </c>
      <c r="M493" s="10" t="n">
        <v>0</v>
      </c>
      <c r="N493" s="11" t="n">
        <v>0</v>
      </c>
      <c r="O493" s="18" t="s">
        <v>56</v>
      </c>
    </row>
    <row r="494" customFormat="false" ht="15" hidden="false" customHeight="false" outlineLevel="0" collapsed="false">
      <c r="A494" s="18" t="n">
        <v>143304952</v>
      </c>
      <c r="B494" s="10" t="n">
        <v>896</v>
      </c>
      <c r="C494" s="18" t="s">
        <v>43</v>
      </c>
      <c r="D494" s="9" t="s">
        <v>1886</v>
      </c>
      <c r="E494" s="15" t="s">
        <v>1887</v>
      </c>
      <c r="F494" s="9" t="s">
        <v>64</v>
      </c>
      <c r="G494" s="10" t="n">
        <v>2025</v>
      </c>
      <c r="H494" s="10" t="n">
        <v>10</v>
      </c>
      <c r="I494" s="19" t="n">
        <v>17820</v>
      </c>
      <c r="J494" s="19" t="n">
        <v>19800</v>
      </c>
      <c r="K494" s="10" t="n">
        <v>990</v>
      </c>
      <c r="L494" s="10" t="n">
        <v>552</v>
      </c>
      <c r="M494" s="10" t="n">
        <v>8</v>
      </c>
      <c r="N494" s="11" t="n">
        <v>9.8</v>
      </c>
      <c r="O494" s="18" t="s">
        <v>56</v>
      </c>
    </row>
    <row r="495" customFormat="false" ht="15" hidden="false" customHeight="false" outlineLevel="0" collapsed="false">
      <c r="A495" s="18" t="n">
        <v>143253970</v>
      </c>
      <c r="B495" s="10" t="n">
        <v>897</v>
      </c>
      <c r="C495" s="18" t="s">
        <v>43</v>
      </c>
      <c r="D495" s="9" t="s">
        <v>1888</v>
      </c>
      <c r="E495" s="9" t="s">
        <v>1889</v>
      </c>
      <c r="F495" s="9" t="s">
        <v>751</v>
      </c>
      <c r="G495" s="10" t="n">
        <v>2025</v>
      </c>
      <c r="H495" s="10" t="n">
        <v>10</v>
      </c>
      <c r="I495" s="19" t="n">
        <v>22500</v>
      </c>
      <c r="J495" s="19" t="n">
        <v>25000</v>
      </c>
      <c r="K495" s="10" t="n">
        <v>1250</v>
      </c>
      <c r="L495" s="10" t="n">
        <v>276</v>
      </c>
      <c r="M495" s="10" t="n">
        <v>14</v>
      </c>
      <c r="N495" s="11" t="n">
        <v>9.6</v>
      </c>
      <c r="O495" s="18" t="s">
        <v>56</v>
      </c>
    </row>
    <row r="496" customFormat="false" ht="15" hidden="false" customHeight="false" outlineLevel="0" collapsed="false">
      <c r="A496" s="18" t="n">
        <v>143081338</v>
      </c>
      <c r="B496" s="10" t="n">
        <v>898</v>
      </c>
      <c r="C496" s="18" t="s">
        <v>43</v>
      </c>
      <c r="D496" s="9" t="s">
        <v>1890</v>
      </c>
      <c r="E496" s="9" t="s">
        <v>1891</v>
      </c>
      <c r="F496" s="9" t="s">
        <v>514</v>
      </c>
      <c r="G496" s="10" t="n">
        <v>2025</v>
      </c>
      <c r="H496" s="10" t="n">
        <v>0</v>
      </c>
      <c r="I496" s="19" t="n">
        <v>35000</v>
      </c>
      <c r="J496" s="19" t="n">
        <v>35000</v>
      </c>
      <c r="K496" s="10" t="n">
        <v>0</v>
      </c>
      <c r="L496" s="10" t="n">
        <v>2040</v>
      </c>
      <c r="M496" s="10" t="n">
        <v>0</v>
      </c>
      <c r="N496" s="11" t="n">
        <v>0</v>
      </c>
      <c r="O496" s="18" t="s">
        <v>56</v>
      </c>
    </row>
    <row r="497" customFormat="false" ht="15" hidden="false" customHeight="false" outlineLevel="0" collapsed="false">
      <c r="A497" s="18" t="n">
        <v>143053307</v>
      </c>
      <c r="B497" s="10" t="n">
        <v>899</v>
      </c>
      <c r="C497" s="18" t="s">
        <v>43</v>
      </c>
      <c r="D497" s="9" t="s">
        <v>1892</v>
      </c>
      <c r="E497" s="9" t="s">
        <v>1893</v>
      </c>
      <c r="F497" s="9" t="s">
        <v>231</v>
      </c>
      <c r="G497" s="10" t="n">
        <v>2025</v>
      </c>
      <c r="H497" s="10" t="n">
        <v>10</v>
      </c>
      <c r="I497" s="19" t="n">
        <v>21600</v>
      </c>
      <c r="J497" s="19" t="n">
        <v>24000</v>
      </c>
      <c r="K497" s="10" t="n">
        <v>1200</v>
      </c>
      <c r="L497" s="10" t="n">
        <v>1992</v>
      </c>
      <c r="M497" s="10" t="n">
        <v>2</v>
      </c>
      <c r="N497" s="11" t="n">
        <v>10</v>
      </c>
      <c r="O497" s="18" t="s">
        <v>56</v>
      </c>
    </row>
    <row r="498" customFormat="false" ht="15" hidden="false" customHeight="false" outlineLevel="0" collapsed="false">
      <c r="A498" s="18" t="n">
        <v>143000941</v>
      </c>
      <c r="B498" s="10" t="n">
        <v>900</v>
      </c>
      <c r="C498" s="18" t="s">
        <v>43</v>
      </c>
      <c r="D498" s="9" t="s">
        <v>1894</v>
      </c>
      <c r="E498" s="9" t="s">
        <v>1895</v>
      </c>
      <c r="F498" s="9" t="s">
        <v>1896</v>
      </c>
      <c r="G498" s="10" t="n">
        <v>2025</v>
      </c>
      <c r="H498" s="10" t="n">
        <v>10</v>
      </c>
      <c r="I498" s="19" t="n">
        <v>17100</v>
      </c>
      <c r="J498" s="19" t="n">
        <v>19000</v>
      </c>
      <c r="K498" s="10" t="n">
        <v>950</v>
      </c>
      <c r="L498" s="10" t="n">
        <v>210</v>
      </c>
      <c r="M498" s="10" t="n">
        <v>0</v>
      </c>
      <c r="N498" s="11" t="n">
        <v>0</v>
      </c>
      <c r="O498" s="18" t="s">
        <v>56</v>
      </c>
    </row>
    <row r="499" customFormat="false" ht="15" hidden="false" customHeight="false" outlineLevel="0" collapsed="false">
      <c r="A499" s="18" t="n">
        <v>142844457</v>
      </c>
      <c r="B499" s="10" t="n">
        <v>902</v>
      </c>
      <c r="C499" s="18" t="s">
        <v>43</v>
      </c>
      <c r="D499" s="9" t="s">
        <v>1899</v>
      </c>
      <c r="E499" s="9" t="s">
        <v>895</v>
      </c>
      <c r="F499" s="9" t="s">
        <v>322</v>
      </c>
      <c r="G499" s="10" t="n">
        <v>2025</v>
      </c>
      <c r="H499" s="10" t="n">
        <v>10</v>
      </c>
      <c r="I499" s="19" t="n">
        <v>13500</v>
      </c>
      <c r="J499" s="19" t="n">
        <v>15000</v>
      </c>
      <c r="K499" s="10" t="n">
        <v>0</v>
      </c>
      <c r="L499" s="10" t="n">
        <v>1848</v>
      </c>
      <c r="M499" s="10" t="n">
        <v>10</v>
      </c>
      <c r="N499" s="11" t="n">
        <v>10</v>
      </c>
      <c r="O499" s="18" t="s">
        <v>56</v>
      </c>
    </row>
    <row r="500" customFormat="false" ht="15" hidden="false" customHeight="false" outlineLevel="0" collapsed="false">
      <c r="A500" s="18" t="n">
        <v>142788726</v>
      </c>
      <c r="B500" s="10" t="n">
        <v>903</v>
      </c>
      <c r="C500" s="18" t="s">
        <v>43</v>
      </c>
      <c r="D500" s="9" t="s">
        <v>1900</v>
      </c>
      <c r="E500" s="9" t="s">
        <v>1436</v>
      </c>
      <c r="F500" s="9" t="s">
        <v>422</v>
      </c>
      <c r="G500" s="10" t="n">
        <v>2025</v>
      </c>
      <c r="H500" s="10" t="n">
        <v>10</v>
      </c>
      <c r="I500" s="19" t="n">
        <v>36000</v>
      </c>
      <c r="J500" s="19" t="n">
        <v>40000</v>
      </c>
      <c r="K500" s="10" t="n">
        <v>2000</v>
      </c>
      <c r="L500" s="10" t="n">
        <v>732</v>
      </c>
      <c r="M500" s="10" t="n">
        <v>3</v>
      </c>
      <c r="N500" s="11" t="n">
        <v>9.3</v>
      </c>
      <c r="O500" s="18" t="s">
        <v>56</v>
      </c>
    </row>
    <row r="501" customFormat="false" ht="15" hidden="false" customHeight="false" outlineLevel="0" collapsed="false">
      <c r="A501" s="18" t="n">
        <v>142704643</v>
      </c>
      <c r="B501" s="10" t="n">
        <v>904</v>
      </c>
      <c r="C501" s="18" t="s">
        <v>43</v>
      </c>
      <c r="D501" s="15" t="s">
        <v>1901</v>
      </c>
      <c r="E501" s="15" t="s">
        <v>1902</v>
      </c>
      <c r="F501" s="15" t="s">
        <v>561</v>
      </c>
      <c r="G501" s="10" t="n">
        <v>2025</v>
      </c>
      <c r="H501" s="10" t="n">
        <v>0</v>
      </c>
      <c r="I501" s="19" t="n">
        <v>60700</v>
      </c>
      <c r="J501" s="19" t="n">
        <v>60700</v>
      </c>
      <c r="K501" s="10" t="n">
        <v>0</v>
      </c>
      <c r="L501" s="10" t="n">
        <v>234</v>
      </c>
      <c r="M501" s="10" t="n">
        <v>0</v>
      </c>
      <c r="N501" s="11" t="n">
        <v>0</v>
      </c>
      <c r="O501" s="18" t="s">
        <v>56</v>
      </c>
    </row>
    <row r="502" customFormat="false" ht="15" hidden="false" customHeight="false" outlineLevel="0" collapsed="false">
      <c r="A502" s="18" t="n">
        <v>142700165</v>
      </c>
      <c r="B502" s="10" t="n">
        <v>905</v>
      </c>
      <c r="C502" s="18" t="s">
        <v>43</v>
      </c>
      <c r="D502" s="9" t="s">
        <v>1903</v>
      </c>
      <c r="E502" s="9" t="s">
        <v>1904</v>
      </c>
      <c r="F502" s="9" t="s">
        <v>25</v>
      </c>
      <c r="G502" s="10" t="n">
        <v>2025</v>
      </c>
      <c r="H502" s="10" t="n">
        <v>0</v>
      </c>
      <c r="I502" s="19" t="n">
        <v>12000</v>
      </c>
      <c r="J502" s="19" t="n">
        <v>12000</v>
      </c>
      <c r="K502" s="10" t="n">
        <v>0</v>
      </c>
      <c r="L502" s="10" t="n">
        <v>72</v>
      </c>
      <c r="M502" s="10" t="n">
        <v>0</v>
      </c>
      <c r="N502" s="11" t="n">
        <v>0</v>
      </c>
      <c r="O502" s="18" t="s">
        <v>56</v>
      </c>
    </row>
    <row r="503" customFormat="false" ht="15" hidden="false" customHeight="false" outlineLevel="0" collapsed="false">
      <c r="A503" s="18" t="n">
        <v>142691948</v>
      </c>
      <c r="B503" s="10" t="n">
        <v>906</v>
      </c>
      <c r="C503" s="18" t="s">
        <v>43</v>
      </c>
      <c r="D503" s="9" t="s">
        <v>1905</v>
      </c>
      <c r="E503" s="9" t="s">
        <v>1906</v>
      </c>
      <c r="F503" s="9" t="s">
        <v>1907</v>
      </c>
      <c r="G503" s="10" t="n">
        <v>2025</v>
      </c>
      <c r="H503" s="10" t="n">
        <v>10</v>
      </c>
      <c r="I503" s="19" t="n">
        <v>24210</v>
      </c>
      <c r="J503" s="19" t="n">
        <v>26900</v>
      </c>
      <c r="K503" s="10" t="n">
        <v>1340</v>
      </c>
      <c r="L503" s="10" t="n">
        <v>2406</v>
      </c>
      <c r="M503" s="10" t="n">
        <v>45</v>
      </c>
      <c r="N503" s="11" t="n">
        <v>9.7</v>
      </c>
      <c r="O503" s="18" t="s">
        <v>56</v>
      </c>
    </row>
    <row r="504" customFormat="false" ht="15" hidden="false" customHeight="false" outlineLevel="0" collapsed="false">
      <c r="A504" s="18" t="n">
        <v>142686838</v>
      </c>
      <c r="B504" s="10" t="n">
        <v>907</v>
      </c>
      <c r="C504" s="18" t="s">
        <v>43</v>
      </c>
      <c r="D504" s="9" t="s">
        <v>1908</v>
      </c>
      <c r="E504" s="9" t="s">
        <v>1909</v>
      </c>
      <c r="F504" s="9" t="s">
        <v>552</v>
      </c>
      <c r="G504" s="10" t="n">
        <v>2025</v>
      </c>
      <c r="H504" s="10" t="n">
        <v>10</v>
      </c>
      <c r="I504" s="19" t="n">
        <v>26550</v>
      </c>
      <c r="J504" s="19" t="n">
        <v>29500</v>
      </c>
      <c r="K504" s="10" t="n">
        <v>1470</v>
      </c>
      <c r="L504" s="10" t="n">
        <v>522</v>
      </c>
      <c r="M504" s="10" t="n">
        <v>14</v>
      </c>
      <c r="N504" s="11" t="n">
        <v>10</v>
      </c>
      <c r="O504" s="18" t="s">
        <v>56</v>
      </c>
    </row>
    <row r="505" customFormat="false" ht="15" hidden="false" customHeight="false" outlineLevel="0" collapsed="false">
      <c r="A505" s="18" t="n">
        <v>142641580</v>
      </c>
      <c r="B505" s="10" t="n">
        <v>908</v>
      </c>
      <c r="C505" s="18" t="s">
        <v>43</v>
      </c>
      <c r="D505" s="9" t="s">
        <v>1910</v>
      </c>
      <c r="E505" s="9" t="s">
        <v>1911</v>
      </c>
      <c r="F505" s="15" t="s">
        <v>1631</v>
      </c>
      <c r="G505" s="10" t="n">
        <v>2025</v>
      </c>
      <c r="H505" s="10" t="n">
        <v>10</v>
      </c>
      <c r="I505" s="19" t="n">
        <v>12600</v>
      </c>
      <c r="J505" s="19" t="n">
        <v>14000</v>
      </c>
      <c r="K505" s="10" t="n">
        <v>700</v>
      </c>
      <c r="L505" s="10" t="n">
        <v>582</v>
      </c>
      <c r="M505" s="10" t="n">
        <v>0</v>
      </c>
      <c r="N505" s="11" t="n">
        <v>0</v>
      </c>
      <c r="O505" s="18" t="s">
        <v>56</v>
      </c>
    </row>
    <row r="506" customFormat="false" ht="15" hidden="false" customHeight="false" outlineLevel="0" collapsed="false">
      <c r="A506" s="18" t="n">
        <v>142636957</v>
      </c>
      <c r="B506" s="10" t="n">
        <v>909</v>
      </c>
      <c r="C506" s="18" t="s">
        <v>43</v>
      </c>
      <c r="D506" s="9" t="s">
        <v>1912</v>
      </c>
      <c r="E506" s="9" t="s">
        <v>1913</v>
      </c>
      <c r="F506" s="9" t="s">
        <v>982</v>
      </c>
      <c r="G506" s="10" t="n">
        <v>2025</v>
      </c>
      <c r="H506" s="10" t="n">
        <v>10</v>
      </c>
      <c r="I506" s="19" t="n">
        <v>25200</v>
      </c>
      <c r="J506" s="19" t="n">
        <v>28000</v>
      </c>
      <c r="K506" s="10" t="n">
        <v>1400</v>
      </c>
      <c r="L506" s="10" t="n">
        <v>864</v>
      </c>
      <c r="M506" s="10" t="n">
        <v>11</v>
      </c>
      <c r="N506" s="11" t="n">
        <v>9.8</v>
      </c>
      <c r="O506" s="18" t="s">
        <v>56</v>
      </c>
    </row>
    <row r="507" customFormat="false" ht="15" hidden="false" customHeight="false" outlineLevel="0" collapsed="false">
      <c r="A507" s="18" t="n">
        <v>142277966</v>
      </c>
      <c r="B507" s="10" t="n">
        <v>910</v>
      </c>
      <c r="C507" s="18" t="s">
        <v>43</v>
      </c>
      <c r="D507" s="15" t="s">
        <v>1914</v>
      </c>
      <c r="E507" s="9" t="s">
        <v>403</v>
      </c>
      <c r="F507" s="9" t="s">
        <v>161</v>
      </c>
      <c r="G507" s="10" t="n">
        <v>2025</v>
      </c>
      <c r="H507" s="10" t="n">
        <v>10</v>
      </c>
      <c r="I507" s="19" t="n">
        <v>12600</v>
      </c>
      <c r="J507" s="19" t="n">
        <v>14000</v>
      </c>
      <c r="K507" s="10" t="n">
        <v>700</v>
      </c>
      <c r="L507" s="10" t="n">
        <v>1446</v>
      </c>
      <c r="M507" s="10" t="n">
        <v>1</v>
      </c>
      <c r="N507" s="11" t="n">
        <v>10</v>
      </c>
      <c r="O507" s="18" t="s">
        <v>56</v>
      </c>
    </row>
    <row r="508" customFormat="false" ht="15" hidden="false" customHeight="false" outlineLevel="0" collapsed="false">
      <c r="A508" s="18" t="n">
        <v>142271059</v>
      </c>
      <c r="B508" s="10" t="n">
        <v>911</v>
      </c>
      <c r="C508" s="18" t="s">
        <v>43</v>
      </c>
      <c r="D508" s="9" t="s">
        <v>1915</v>
      </c>
      <c r="E508" s="9" t="s">
        <v>1916</v>
      </c>
      <c r="F508" s="9" t="s">
        <v>1917</v>
      </c>
      <c r="G508" s="10" t="n">
        <v>2025</v>
      </c>
      <c r="H508" s="10" t="n">
        <v>5</v>
      </c>
      <c r="I508" s="19" t="n">
        <v>42750</v>
      </c>
      <c r="J508" s="19" t="n">
        <v>45000</v>
      </c>
      <c r="K508" s="10" t="n">
        <v>900</v>
      </c>
      <c r="L508" s="10" t="n">
        <v>276</v>
      </c>
      <c r="M508" s="10" t="n">
        <v>1</v>
      </c>
      <c r="N508" s="11" t="n">
        <v>2</v>
      </c>
      <c r="O508" s="18" t="s">
        <v>56</v>
      </c>
    </row>
    <row r="509" customFormat="false" ht="15" hidden="false" customHeight="false" outlineLevel="0" collapsed="false">
      <c r="A509" s="18" t="n">
        <v>142250534</v>
      </c>
      <c r="B509" s="10" t="n">
        <v>912</v>
      </c>
      <c r="C509" s="18" t="s">
        <v>43</v>
      </c>
      <c r="D509" s="9" t="s">
        <v>1918</v>
      </c>
      <c r="E509" s="9" t="s">
        <v>1919</v>
      </c>
      <c r="F509" s="9" t="s">
        <v>1920</v>
      </c>
      <c r="G509" s="10" t="n">
        <v>2025</v>
      </c>
      <c r="H509" s="10" t="n">
        <v>10</v>
      </c>
      <c r="I509" s="19" t="n">
        <v>11700</v>
      </c>
      <c r="J509" s="19" t="n">
        <v>13000</v>
      </c>
      <c r="K509" s="10" t="n">
        <v>650</v>
      </c>
      <c r="L509" s="10" t="n">
        <v>1545</v>
      </c>
      <c r="M509" s="10" t="n">
        <v>0</v>
      </c>
      <c r="N509" s="11" t="n">
        <v>0</v>
      </c>
      <c r="O509" s="18" t="s">
        <v>56</v>
      </c>
    </row>
    <row r="510" customFormat="false" ht="15" hidden="false" customHeight="false" outlineLevel="0" collapsed="false">
      <c r="A510" s="18" t="n">
        <v>141888791</v>
      </c>
      <c r="B510" s="10" t="n">
        <v>913</v>
      </c>
      <c r="C510" s="18" t="s">
        <v>43</v>
      </c>
      <c r="D510" s="15" t="s">
        <v>1921</v>
      </c>
      <c r="E510" s="9" t="s">
        <v>1922</v>
      </c>
      <c r="F510" s="9" t="s">
        <v>25</v>
      </c>
      <c r="G510" s="10" t="n">
        <v>2025</v>
      </c>
      <c r="H510" s="10" t="n">
        <v>0</v>
      </c>
      <c r="I510" s="19" t="n">
        <v>12000</v>
      </c>
      <c r="J510" s="19" t="n">
        <v>12000</v>
      </c>
      <c r="K510" s="10" t="n">
        <v>0</v>
      </c>
      <c r="L510" s="10" t="n">
        <v>186</v>
      </c>
      <c r="M510" s="10" t="n">
        <v>0</v>
      </c>
      <c r="N510" s="11" t="n">
        <v>0</v>
      </c>
      <c r="O510" s="18" t="s">
        <v>56</v>
      </c>
    </row>
    <row r="511" customFormat="false" ht="15" hidden="false" customHeight="false" outlineLevel="0" collapsed="false">
      <c r="A511" s="18" t="n">
        <v>141828205</v>
      </c>
      <c r="B511" s="10" t="n">
        <v>914</v>
      </c>
      <c r="C511" s="18" t="s">
        <v>43</v>
      </c>
      <c r="D511" s="9" t="s">
        <v>1923</v>
      </c>
      <c r="E511" s="9" t="s">
        <v>1924</v>
      </c>
      <c r="F511" s="9" t="s">
        <v>1925</v>
      </c>
      <c r="G511" s="10" t="n">
        <v>2025</v>
      </c>
      <c r="H511" s="10" t="n">
        <v>10</v>
      </c>
      <c r="I511" s="19" t="n">
        <v>22500</v>
      </c>
      <c r="J511" s="19" t="n">
        <v>25000</v>
      </c>
      <c r="K511" s="10" t="n">
        <v>1250</v>
      </c>
      <c r="L511" s="10" t="n">
        <v>2850</v>
      </c>
      <c r="M511" s="10" t="n">
        <v>18</v>
      </c>
      <c r="N511" s="11" t="n">
        <v>9.8</v>
      </c>
      <c r="O511" s="18" t="s">
        <v>56</v>
      </c>
    </row>
    <row r="512" customFormat="false" ht="15" hidden="false" customHeight="false" outlineLevel="0" collapsed="false">
      <c r="A512" s="18" t="n">
        <v>141799500</v>
      </c>
      <c r="B512" s="10" t="n">
        <v>915</v>
      </c>
      <c r="C512" s="18" t="s">
        <v>43</v>
      </c>
      <c r="D512" s="15" t="s">
        <v>1926</v>
      </c>
      <c r="E512" s="9" t="s">
        <v>1927</v>
      </c>
      <c r="F512" s="9" t="s">
        <v>322</v>
      </c>
      <c r="G512" s="10" t="n">
        <v>2025</v>
      </c>
      <c r="H512" s="10" t="n">
        <v>0</v>
      </c>
      <c r="I512" s="19" t="n">
        <v>39000</v>
      </c>
      <c r="J512" s="19" t="n">
        <v>39000</v>
      </c>
      <c r="K512" s="10" t="n">
        <v>0</v>
      </c>
      <c r="L512" s="10" t="n">
        <v>1236</v>
      </c>
      <c r="M512" s="10" t="n">
        <v>0</v>
      </c>
      <c r="N512" s="11" t="n">
        <v>0</v>
      </c>
      <c r="O512" s="18" t="s">
        <v>56</v>
      </c>
    </row>
    <row r="513" customFormat="false" ht="15" hidden="false" customHeight="false" outlineLevel="0" collapsed="false">
      <c r="A513" s="18" t="n">
        <v>141753245</v>
      </c>
      <c r="B513" s="10" t="n">
        <v>916</v>
      </c>
      <c r="C513" s="18" t="s">
        <v>43</v>
      </c>
      <c r="D513" s="9" t="s">
        <v>1928</v>
      </c>
      <c r="E513" s="9" t="s">
        <v>1929</v>
      </c>
      <c r="F513" s="9" t="s">
        <v>514</v>
      </c>
      <c r="G513" s="10" t="n">
        <v>2025</v>
      </c>
      <c r="H513" s="10" t="n">
        <v>0</v>
      </c>
      <c r="I513" s="19" t="n">
        <v>24000</v>
      </c>
      <c r="J513" s="19" t="n">
        <v>24000</v>
      </c>
      <c r="K513" s="10" t="n">
        <v>720</v>
      </c>
      <c r="L513" s="10" t="n">
        <v>1605</v>
      </c>
      <c r="M513" s="10" t="n">
        <v>1</v>
      </c>
      <c r="N513" s="11" t="n">
        <v>10</v>
      </c>
      <c r="O513" s="18" t="s">
        <v>56</v>
      </c>
    </row>
    <row r="514" customFormat="false" ht="15" hidden="false" customHeight="false" outlineLevel="0" collapsed="false">
      <c r="A514" s="18" t="n">
        <v>141731540</v>
      </c>
      <c r="B514" s="10" t="n">
        <v>917</v>
      </c>
      <c r="C514" s="18" t="s">
        <v>43</v>
      </c>
      <c r="D514" s="9" t="s">
        <v>1930</v>
      </c>
      <c r="E514" s="9" t="s">
        <v>1931</v>
      </c>
      <c r="F514" s="9" t="s">
        <v>211</v>
      </c>
      <c r="G514" s="10" t="n">
        <v>2025</v>
      </c>
      <c r="H514" s="10" t="n">
        <v>10</v>
      </c>
      <c r="I514" s="19" t="n">
        <v>27000</v>
      </c>
      <c r="J514" s="19" t="n">
        <v>30000</v>
      </c>
      <c r="K514" s="10" t="n">
        <v>1500</v>
      </c>
      <c r="L514" s="10" t="n">
        <v>618</v>
      </c>
      <c r="M514" s="10" t="n">
        <v>14</v>
      </c>
      <c r="N514" s="11" t="n">
        <v>9.3</v>
      </c>
      <c r="O514" s="18" t="s">
        <v>56</v>
      </c>
    </row>
    <row r="515" customFormat="false" ht="15" hidden="false" customHeight="false" outlineLevel="0" collapsed="false">
      <c r="A515" s="18" t="n">
        <v>141390139</v>
      </c>
      <c r="B515" s="10" t="n">
        <v>919</v>
      </c>
      <c r="C515" s="18" t="s">
        <v>43</v>
      </c>
      <c r="D515" s="9" t="s">
        <v>1934</v>
      </c>
      <c r="E515" s="9" t="s">
        <v>1935</v>
      </c>
      <c r="F515" s="9" t="s">
        <v>514</v>
      </c>
      <c r="G515" s="10" t="n">
        <v>2025</v>
      </c>
      <c r="H515" s="10" t="n">
        <v>0</v>
      </c>
      <c r="I515" s="19" t="n">
        <v>32000</v>
      </c>
      <c r="J515" s="19" t="n">
        <v>32000</v>
      </c>
      <c r="K515" s="10" t="n">
        <v>0</v>
      </c>
      <c r="L515" s="10" t="n">
        <v>1536</v>
      </c>
      <c r="M515" s="10" t="n">
        <v>0</v>
      </c>
      <c r="N515" s="11" t="n">
        <v>0</v>
      </c>
      <c r="O515" s="18" t="s">
        <v>56</v>
      </c>
    </row>
    <row r="516" customFormat="false" ht="15" hidden="false" customHeight="false" outlineLevel="0" collapsed="false">
      <c r="A516" s="18" t="n">
        <v>141383909</v>
      </c>
      <c r="B516" s="10" t="n">
        <v>920</v>
      </c>
      <c r="C516" s="18" t="s">
        <v>43</v>
      </c>
      <c r="D516" s="9" t="s">
        <v>1936</v>
      </c>
      <c r="E516" s="9" t="s">
        <v>1937</v>
      </c>
      <c r="F516" s="9" t="s">
        <v>564</v>
      </c>
      <c r="G516" s="10" t="n">
        <v>2025</v>
      </c>
      <c r="H516" s="10" t="n">
        <v>10</v>
      </c>
      <c r="I516" s="19" t="n">
        <v>16020</v>
      </c>
      <c r="J516" s="19" t="n">
        <v>17800</v>
      </c>
      <c r="K516" s="10" t="n">
        <v>890</v>
      </c>
      <c r="L516" s="10" t="n">
        <v>570</v>
      </c>
      <c r="M516" s="10" t="n">
        <v>4</v>
      </c>
      <c r="N516" s="11" t="n">
        <v>9.5</v>
      </c>
      <c r="O516" s="18" t="s">
        <v>56</v>
      </c>
    </row>
    <row r="517" customFormat="false" ht="15" hidden="false" customHeight="false" outlineLevel="0" collapsed="false">
      <c r="A517" s="18" t="n">
        <v>141382077</v>
      </c>
      <c r="B517" s="10" t="n">
        <v>921</v>
      </c>
      <c r="C517" s="18" t="s">
        <v>43</v>
      </c>
      <c r="D517" s="15" t="s">
        <v>1938</v>
      </c>
      <c r="E517" s="9" t="s">
        <v>1939</v>
      </c>
      <c r="F517" s="9" t="s">
        <v>1940</v>
      </c>
      <c r="G517" s="10" t="n">
        <v>2025</v>
      </c>
      <c r="H517" s="10" t="n">
        <v>10</v>
      </c>
      <c r="I517" s="19" t="n">
        <v>22500</v>
      </c>
      <c r="J517" s="19" t="n">
        <v>25000</v>
      </c>
      <c r="K517" s="10" t="n">
        <v>1250</v>
      </c>
      <c r="L517" s="10" t="n">
        <v>1056</v>
      </c>
      <c r="M517" s="10" t="n">
        <v>31</v>
      </c>
      <c r="N517" s="11" t="n">
        <v>9.7</v>
      </c>
      <c r="O517" s="18" t="s">
        <v>56</v>
      </c>
    </row>
    <row r="518" customFormat="false" ht="15" hidden="false" customHeight="false" outlineLevel="0" collapsed="false">
      <c r="A518" s="18" t="n">
        <v>141377702</v>
      </c>
      <c r="B518" s="10" t="n">
        <v>922</v>
      </c>
      <c r="C518" s="18" t="s">
        <v>43</v>
      </c>
      <c r="D518" s="9" t="s">
        <v>1941</v>
      </c>
      <c r="E518" s="9" t="s">
        <v>1942</v>
      </c>
      <c r="F518" s="9" t="s">
        <v>422</v>
      </c>
      <c r="G518" s="10" t="n">
        <v>2025</v>
      </c>
      <c r="H518" s="10" t="n">
        <v>10</v>
      </c>
      <c r="I518" s="19" t="n">
        <v>49500</v>
      </c>
      <c r="J518" s="19" t="n">
        <v>55000</v>
      </c>
      <c r="K518" s="10" t="n">
        <v>2750</v>
      </c>
      <c r="L518" s="10" t="n">
        <v>396</v>
      </c>
      <c r="M518" s="10" t="n">
        <v>0</v>
      </c>
      <c r="N518" s="11" t="n">
        <v>0</v>
      </c>
      <c r="O518" s="18" t="s">
        <v>56</v>
      </c>
    </row>
    <row r="519" customFormat="false" ht="15" hidden="false" customHeight="false" outlineLevel="0" collapsed="false">
      <c r="A519" s="18" t="n">
        <v>141311308</v>
      </c>
      <c r="B519" s="10" t="n">
        <v>923</v>
      </c>
      <c r="C519" s="18" t="s">
        <v>43</v>
      </c>
      <c r="D519" s="15" t="s">
        <v>1943</v>
      </c>
      <c r="E519" s="9" t="s">
        <v>595</v>
      </c>
      <c r="F519" s="9" t="s">
        <v>596</v>
      </c>
      <c r="G519" s="10" t="n">
        <v>2025</v>
      </c>
      <c r="H519" s="10" t="n">
        <v>0</v>
      </c>
      <c r="I519" s="19" t="n">
        <v>48000</v>
      </c>
      <c r="J519" s="19" t="n">
        <v>48000</v>
      </c>
      <c r="K519" s="10" t="n">
        <v>0</v>
      </c>
      <c r="L519" s="10" t="n">
        <v>114</v>
      </c>
      <c r="M519" s="10" t="n">
        <v>0</v>
      </c>
      <c r="N519" s="11" t="n">
        <v>0</v>
      </c>
      <c r="O519" s="18" t="s">
        <v>56</v>
      </c>
    </row>
    <row r="520" customFormat="false" ht="15" hidden="false" customHeight="false" outlineLevel="0" collapsed="false">
      <c r="A520" s="18" t="n">
        <v>141267035</v>
      </c>
      <c r="B520" s="10" t="n">
        <v>924</v>
      </c>
      <c r="C520" s="18" t="s">
        <v>43</v>
      </c>
      <c r="D520" s="15" t="s">
        <v>1944</v>
      </c>
      <c r="E520" s="9" t="s">
        <v>1945</v>
      </c>
      <c r="F520" s="9" t="s">
        <v>1946</v>
      </c>
      <c r="G520" s="10" t="n">
        <v>2025</v>
      </c>
      <c r="H520" s="10" t="n">
        <v>10</v>
      </c>
      <c r="I520" s="19" t="n">
        <v>17820</v>
      </c>
      <c r="J520" s="19" t="n">
        <v>19800</v>
      </c>
      <c r="K520" s="10" t="n">
        <v>990</v>
      </c>
      <c r="L520" s="10" t="n">
        <v>774</v>
      </c>
      <c r="M520" s="10" t="n">
        <v>11</v>
      </c>
      <c r="N520" s="11" t="n">
        <v>9.8</v>
      </c>
      <c r="O520" s="18" t="s">
        <v>56</v>
      </c>
    </row>
    <row r="521" customFormat="false" ht="15" hidden="false" customHeight="false" outlineLevel="0" collapsed="false">
      <c r="A521" s="18" t="n">
        <v>140971586</v>
      </c>
      <c r="B521" s="10" t="n">
        <v>928</v>
      </c>
      <c r="C521" s="18" t="s">
        <v>43</v>
      </c>
      <c r="D521" s="9" t="s">
        <v>1953</v>
      </c>
      <c r="E521" s="9" t="s">
        <v>1085</v>
      </c>
      <c r="F521" s="9" t="s">
        <v>1086</v>
      </c>
      <c r="G521" s="10" t="n">
        <v>2024</v>
      </c>
      <c r="H521" s="10" t="n">
        <v>0</v>
      </c>
      <c r="I521" s="19" t="n">
        <v>22000</v>
      </c>
      <c r="J521" s="19" t="n">
        <v>22000</v>
      </c>
      <c r="K521" s="10" t="n">
        <v>0</v>
      </c>
      <c r="L521" s="10" t="n">
        <v>186</v>
      </c>
      <c r="M521" s="10" t="n">
        <v>0</v>
      </c>
      <c r="N521" s="11" t="n">
        <v>0</v>
      </c>
      <c r="O521" s="18" t="s">
        <v>56</v>
      </c>
    </row>
    <row r="522" customFormat="false" ht="15" hidden="false" customHeight="false" outlineLevel="0" collapsed="false">
      <c r="A522" s="18" t="n">
        <v>140199863</v>
      </c>
      <c r="B522" s="10" t="n">
        <v>932</v>
      </c>
      <c r="C522" s="18" t="s">
        <v>43</v>
      </c>
      <c r="D522" s="9" t="s">
        <v>1960</v>
      </c>
      <c r="E522" s="9" t="s">
        <v>1961</v>
      </c>
      <c r="F522" s="9" t="s">
        <v>322</v>
      </c>
      <c r="G522" s="10" t="n">
        <v>2024</v>
      </c>
      <c r="H522" s="10" t="n">
        <v>0</v>
      </c>
      <c r="I522" s="19" t="n">
        <v>36000</v>
      </c>
      <c r="J522" s="19" t="n">
        <v>36000</v>
      </c>
      <c r="K522" s="10" t="n">
        <v>0</v>
      </c>
      <c r="L522" s="10" t="n">
        <v>210</v>
      </c>
      <c r="M522" s="10" t="n">
        <v>0</v>
      </c>
      <c r="N522" s="11" t="n">
        <v>0</v>
      </c>
      <c r="O522" s="18" t="s">
        <v>56</v>
      </c>
    </row>
    <row r="523" customFormat="false" ht="15" hidden="false" customHeight="false" outlineLevel="0" collapsed="false">
      <c r="A523" s="18" t="n">
        <v>140199356</v>
      </c>
      <c r="B523" s="10" t="n">
        <v>933</v>
      </c>
      <c r="C523" s="18" t="s">
        <v>43</v>
      </c>
      <c r="D523" s="9" t="s">
        <v>1962</v>
      </c>
      <c r="E523" s="9" t="s">
        <v>1963</v>
      </c>
      <c r="F523" s="9" t="s">
        <v>1274</v>
      </c>
      <c r="G523" s="10" t="n">
        <v>2024</v>
      </c>
      <c r="H523" s="10" t="n">
        <v>0</v>
      </c>
      <c r="I523" s="19" t="n">
        <v>27000</v>
      </c>
      <c r="J523" s="19" t="n">
        <v>27000</v>
      </c>
      <c r="K523" s="10" t="n">
        <v>0</v>
      </c>
      <c r="L523" s="10" t="n">
        <v>120</v>
      </c>
      <c r="M523" s="10" t="n">
        <v>1</v>
      </c>
      <c r="N523" s="11" t="n">
        <v>10</v>
      </c>
      <c r="O523" s="18" t="s">
        <v>56</v>
      </c>
    </row>
    <row r="524" customFormat="false" ht="15" hidden="false" customHeight="false" outlineLevel="0" collapsed="false">
      <c r="A524" s="18" t="n">
        <v>140107020</v>
      </c>
      <c r="B524" s="10" t="n">
        <v>934</v>
      </c>
      <c r="C524" s="18" t="s">
        <v>43</v>
      </c>
      <c r="D524" s="9" t="s">
        <v>1964</v>
      </c>
      <c r="E524" s="9" t="s">
        <v>1965</v>
      </c>
      <c r="F524" s="9" t="s">
        <v>1966</v>
      </c>
      <c r="G524" s="10" t="n">
        <v>2024</v>
      </c>
      <c r="H524" s="10" t="n">
        <v>10</v>
      </c>
      <c r="I524" s="19" t="n">
        <v>15030</v>
      </c>
      <c r="J524" s="19" t="n">
        <v>16700</v>
      </c>
      <c r="K524" s="10" t="n">
        <v>830</v>
      </c>
      <c r="L524" s="10" t="n">
        <v>684</v>
      </c>
      <c r="M524" s="10" t="n">
        <v>4</v>
      </c>
      <c r="N524" s="11" t="n">
        <v>10</v>
      </c>
      <c r="O524" s="18" t="s">
        <v>56</v>
      </c>
    </row>
    <row r="525" customFormat="false" ht="15" hidden="false" customHeight="false" outlineLevel="0" collapsed="false">
      <c r="A525" s="18" t="n">
        <v>140077965</v>
      </c>
      <c r="B525" s="10" t="n">
        <v>935</v>
      </c>
      <c r="C525" s="18" t="s">
        <v>43</v>
      </c>
      <c r="D525" s="9" t="s">
        <v>1967</v>
      </c>
      <c r="E525" s="9" t="s">
        <v>1968</v>
      </c>
      <c r="F525" s="9" t="s">
        <v>1969</v>
      </c>
      <c r="G525" s="10" t="n">
        <v>2024</v>
      </c>
      <c r="H525" s="10" t="n">
        <v>10</v>
      </c>
      <c r="I525" s="19" t="n">
        <v>22500</v>
      </c>
      <c r="J525" s="19" t="n">
        <v>25000</v>
      </c>
      <c r="K525" s="10" t="n">
        <v>1250</v>
      </c>
      <c r="L525" s="10" t="n">
        <v>801</v>
      </c>
      <c r="M525" s="10" t="n">
        <v>9</v>
      </c>
      <c r="N525" s="11" t="n">
        <v>10</v>
      </c>
      <c r="O525" s="18" t="s">
        <v>56</v>
      </c>
    </row>
    <row r="526" customFormat="false" ht="15" hidden="false" customHeight="false" outlineLevel="0" collapsed="false">
      <c r="A526" s="18" t="n">
        <v>139882194</v>
      </c>
      <c r="B526" s="10" t="n">
        <v>937</v>
      </c>
      <c r="C526" s="18" t="s">
        <v>43</v>
      </c>
      <c r="D526" s="9" t="s">
        <v>1972</v>
      </c>
      <c r="E526" s="9" t="s">
        <v>580</v>
      </c>
      <c r="F526" s="9" t="s">
        <v>231</v>
      </c>
      <c r="G526" s="10" t="n">
        <v>2024</v>
      </c>
      <c r="H526" s="10" t="n">
        <v>10</v>
      </c>
      <c r="I526" s="19" t="n">
        <v>24300</v>
      </c>
      <c r="J526" s="19" t="n">
        <v>27000</v>
      </c>
      <c r="K526" s="10" t="n">
        <v>1350</v>
      </c>
      <c r="L526" s="10" t="n">
        <v>330</v>
      </c>
      <c r="M526" s="10" t="n">
        <v>1</v>
      </c>
      <c r="N526" s="11" t="n">
        <v>8</v>
      </c>
      <c r="O526" s="18" t="s">
        <v>56</v>
      </c>
    </row>
    <row r="527" customFormat="false" ht="15" hidden="false" customHeight="false" outlineLevel="0" collapsed="false">
      <c r="A527" s="18" t="n">
        <v>139707317</v>
      </c>
      <c r="B527" s="10" t="n">
        <v>939</v>
      </c>
      <c r="C527" s="18" t="s">
        <v>43</v>
      </c>
      <c r="D527" s="9" t="s">
        <v>1975</v>
      </c>
      <c r="E527" s="9" t="s">
        <v>1976</v>
      </c>
      <c r="F527" s="9" t="s">
        <v>1977</v>
      </c>
      <c r="G527" s="10" t="n">
        <v>2024</v>
      </c>
      <c r="H527" s="10" t="n">
        <v>0</v>
      </c>
      <c r="I527" s="19" t="n">
        <v>50000</v>
      </c>
      <c r="J527" s="19" t="n">
        <v>50000</v>
      </c>
      <c r="K527" s="10" t="n">
        <v>0</v>
      </c>
      <c r="L527" s="10" t="n">
        <v>630</v>
      </c>
      <c r="M527" s="10" t="n">
        <v>4</v>
      </c>
      <c r="N527" s="11" t="n">
        <v>10</v>
      </c>
      <c r="O527" s="18" t="s">
        <v>56</v>
      </c>
    </row>
    <row r="528" customFormat="false" ht="15" hidden="false" customHeight="false" outlineLevel="0" collapsed="false">
      <c r="A528" s="18" t="n">
        <v>138964141</v>
      </c>
      <c r="B528" s="10" t="n">
        <v>942</v>
      </c>
      <c r="C528" s="18" t="s">
        <v>43</v>
      </c>
      <c r="D528" s="9" t="s">
        <v>1982</v>
      </c>
      <c r="E528" s="9" t="s">
        <v>1983</v>
      </c>
      <c r="F528" s="9" t="s">
        <v>100</v>
      </c>
      <c r="G528" s="10" t="n">
        <v>2024</v>
      </c>
      <c r="H528" s="10" t="n">
        <v>10</v>
      </c>
      <c r="I528" s="19" t="n">
        <v>18000</v>
      </c>
      <c r="J528" s="19" t="n">
        <v>20000</v>
      </c>
      <c r="K528" s="10" t="n">
        <v>1000</v>
      </c>
      <c r="L528" s="10" t="n">
        <v>744</v>
      </c>
      <c r="M528" s="10" t="n">
        <v>2</v>
      </c>
      <c r="N528" s="11" t="n">
        <v>8</v>
      </c>
      <c r="O528" s="18" t="s">
        <v>56</v>
      </c>
    </row>
    <row r="529" customFormat="false" ht="15" hidden="false" customHeight="false" outlineLevel="0" collapsed="false">
      <c r="A529" s="18" t="n">
        <v>138471950</v>
      </c>
      <c r="B529" s="10" t="n">
        <v>943</v>
      </c>
      <c r="C529" s="18" t="s">
        <v>43</v>
      </c>
      <c r="D529" s="9" t="s">
        <v>1984</v>
      </c>
      <c r="E529" s="9" t="s">
        <v>1985</v>
      </c>
      <c r="F529" s="9" t="s">
        <v>322</v>
      </c>
      <c r="G529" s="10" t="n">
        <v>2024</v>
      </c>
      <c r="H529" s="10" t="n">
        <v>0</v>
      </c>
      <c r="I529" s="19" t="n">
        <v>30000</v>
      </c>
      <c r="J529" s="19" t="n">
        <v>30000</v>
      </c>
      <c r="K529" s="10" t="n">
        <v>0</v>
      </c>
      <c r="L529" s="10" t="n">
        <v>396</v>
      </c>
      <c r="M529" s="10" t="n">
        <v>2</v>
      </c>
      <c r="N529" s="11" t="n">
        <v>7</v>
      </c>
      <c r="O529" s="18" t="s">
        <v>56</v>
      </c>
    </row>
    <row r="530" customFormat="false" ht="15" hidden="false" customHeight="false" outlineLevel="0" collapsed="false">
      <c r="A530" s="18" t="n">
        <v>138333237</v>
      </c>
      <c r="B530" s="10" t="n">
        <v>944</v>
      </c>
      <c r="C530" s="18" t="s">
        <v>43</v>
      </c>
      <c r="D530" s="9" t="s">
        <v>1986</v>
      </c>
      <c r="E530" s="9" t="s">
        <v>572</v>
      </c>
      <c r="F530" s="9" t="s">
        <v>573</v>
      </c>
      <c r="G530" s="10" t="n">
        <v>2024</v>
      </c>
      <c r="H530" s="10" t="n">
        <v>10</v>
      </c>
      <c r="I530" s="19" t="n">
        <v>16650</v>
      </c>
      <c r="J530" s="19" t="n">
        <v>18500</v>
      </c>
      <c r="K530" s="10" t="n">
        <v>920</v>
      </c>
      <c r="L530" s="10" t="n">
        <v>210</v>
      </c>
      <c r="M530" s="10" t="n">
        <v>1</v>
      </c>
      <c r="N530" s="11" t="n">
        <v>8</v>
      </c>
      <c r="O530" s="18" t="s">
        <v>56</v>
      </c>
    </row>
    <row r="531" customFormat="false" ht="15" hidden="false" customHeight="false" outlineLevel="0" collapsed="false">
      <c r="A531" s="18" t="n">
        <v>137097742</v>
      </c>
      <c r="B531" s="10" t="n">
        <v>946</v>
      </c>
      <c r="C531" s="18" t="s">
        <v>43</v>
      </c>
      <c r="D531" s="9" t="s">
        <v>1989</v>
      </c>
      <c r="E531" s="9" t="s">
        <v>1990</v>
      </c>
      <c r="F531" s="9" t="s">
        <v>1991</v>
      </c>
      <c r="G531" s="10" t="n">
        <v>2024</v>
      </c>
      <c r="H531" s="10" t="n">
        <v>10</v>
      </c>
      <c r="I531" s="19" t="n">
        <v>16200</v>
      </c>
      <c r="J531" s="19" t="n">
        <v>18000</v>
      </c>
      <c r="K531" s="10" t="n">
        <v>900</v>
      </c>
      <c r="L531" s="10" t="n">
        <v>504</v>
      </c>
      <c r="M531" s="10" t="n">
        <v>0</v>
      </c>
      <c r="N531" s="11" t="n">
        <v>0</v>
      </c>
      <c r="O531" s="18" t="s">
        <v>56</v>
      </c>
    </row>
    <row r="532" customFormat="false" ht="15" hidden="false" customHeight="false" outlineLevel="0" collapsed="false">
      <c r="A532" s="18" t="n">
        <v>136898210</v>
      </c>
      <c r="B532" s="10" t="n">
        <v>947</v>
      </c>
      <c r="C532" s="18" t="s">
        <v>43</v>
      </c>
      <c r="D532" s="9" t="s">
        <v>1992</v>
      </c>
      <c r="E532" s="9" t="s">
        <v>1993</v>
      </c>
      <c r="F532" s="9" t="s">
        <v>511</v>
      </c>
      <c r="G532" s="10" t="n">
        <v>2024</v>
      </c>
      <c r="H532" s="10" t="n">
        <v>10</v>
      </c>
      <c r="I532" s="19" t="n">
        <v>17100</v>
      </c>
      <c r="J532" s="19" t="n">
        <v>19000</v>
      </c>
      <c r="K532" s="10" t="n">
        <v>950</v>
      </c>
      <c r="L532" s="10" t="n">
        <v>648</v>
      </c>
      <c r="M532" s="10" t="n">
        <v>0</v>
      </c>
      <c r="N532" s="11" t="n">
        <v>0</v>
      </c>
      <c r="O532" s="18" t="s">
        <v>56</v>
      </c>
    </row>
    <row r="533" customFormat="false" ht="15" hidden="false" customHeight="false" outlineLevel="0" collapsed="false">
      <c r="A533" s="18" t="n">
        <v>136299633</v>
      </c>
      <c r="B533" s="10" t="n">
        <v>949</v>
      </c>
      <c r="C533" s="18" t="s">
        <v>43</v>
      </c>
      <c r="D533" s="9" t="s">
        <v>1996</v>
      </c>
      <c r="E533" s="9" t="s">
        <v>1574</v>
      </c>
      <c r="F533" s="15" t="s">
        <v>680</v>
      </c>
      <c r="G533" s="10" t="n">
        <v>2024</v>
      </c>
      <c r="H533" s="10" t="n">
        <v>5</v>
      </c>
      <c r="I533" s="19" t="n">
        <v>27550</v>
      </c>
      <c r="J533" s="19" t="n">
        <v>29000</v>
      </c>
      <c r="K533" s="10" t="n">
        <v>580</v>
      </c>
      <c r="L533" s="10" t="n">
        <v>480</v>
      </c>
      <c r="M533" s="10" t="n">
        <v>2</v>
      </c>
      <c r="N533" s="11" t="n">
        <v>10</v>
      </c>
      <c r="O533" s="18" t="s">
        <v>56</v>
      </c>
    </row>
    <row r="534" customFormat="false" ht="15" hidden="false" customHeight="false" outlineLevel="0" collapsed="false">
      <c r="A534" s="18" t="n">
        <v>136274608</v>
      </c>
      <c r="B534" s="10" t="n">
        <v>950</v>
      </c>
      <c r="C534" s="18" t="s">
        <v>43</v>
      </c>
      <c r="D534" s="9" t="s">
        <v>1997</v>
      </c>
      <c r="E534" s="9" t="s">
        <v>403</v>
      </c>
      <c r="F534" s="9" t="s">
        <v>161</v>
      </c>
      <c r="G534" s="10" t="n">
        <v>2024</v>
      </c>
      <c r="H534" s="10" t="n">
        <v>10</v>
      </c>
      <c r="I534" s="19" t="n">
        <v>13500</v>
      </c>
      <c r="J534" s="19" t="n">
        <v>15000</v>
      </c>
      <c r="K534" s="10" t="n">
        <v>750</v>
      </c>
      <c r="L534" s="10" t="n">
        <v>786</v>
      </c>
      <c r="M534" s="10" t="n">
        <v>2</v>
      </c>
      <c r="N534" s="11" t="n">
        <v>9</v>
      </c>
      <c r="O534" s="18" t="s">
        <v>56</v>
      </c>
    </row>
    <row r="535" customFormat="false" ht="15" hidden="false" customHeight="false" outlineLevel="0" collapsed="false">
      <c r="A535" s="18" t="n">
        <v>135818136</v>
      </c>
      <c r="B535" s="10" t="n">
        <v>954</v>
      </c>
      <c r="C535" s="18" t="s">
        <v>43</v>
      </c>
      <c r="D535" s="9" t="s">
        <v>2004</v>
      </c>
      <c r="E535" s="9" t="s">
        <v>2005</v>
      </c>
      <c r="F535" s="9" t="s">
        <v>2006</v>
      </c>
      <c r="G535" s="10" t="n">
        <v>2024</v>
      </c>
      <c r="H535" s="10" t="n">
        <v>10</v>
      </c>
      <c r="I535" s="19" t="n">
        <v>21600</v>
      </c>
      <c r="J535" s="19" t="n">
        <v>24000</v>
      </c>
      <c r="K535" s="10" t="n">
        <v>1200</v>
      </c>
      <c r="L535" s="10" t="n">
        <v>882</v>
      </c>
      <c r="M535" s="10" t="n">
        <v>0</v>
      </c>
      <c r="N535" s="11" t="n">
        <v>0</v>
      </c>
      <c r="O535" s="18" t="s">
        <v>56</v>
      </c>
    </row>
    <row r="536" customFormat="false" ht="15" hidden="false" customHeight="false" outlineLevel="0" collapsed="false">
      <c r="A536" s="18" t="n">
        <v>134904743</v>
      </c>
      <c r="B536" s="10" t="n">
        <v>955</v>
      </c>
      <c r="C536" s="18" t="s">
        <v>43</v>
      </c>
      <c r="D536" s="9" t="s">
        <v>2007</v>
      </c>
      <c r="E536" s="9" t="s">
        <v>679</v>
      </c>
      <c r="F536" s="15" t="s">
        <v>680</v>
      </c>
      <c r="G536" s="10" t="n">
        <v>2024</v>
      </c>
      <c r="H536" s="10" t="n">
        <v>10</v>
      </c>
      <c r="I536" s="19" t="n">
        <v>44820</v>
      </c>
      <c r="J536" s="19" t="n">
        <v>49800</v>
      </c>
      <c r="K536" s="10" t="n">
        <v>2490</v>
      </c>
      <c r="L536" s="10" t="n">
        <v>774</v>
      </c>
      <c r="M536" s="10" t="n">
        <v>4</v>
      </c>
      <c r="N536" s="11" t="n">
        <v>10</v>
      </c>
      <c r="O536" s="18" t="s">
        <v>46</v>
      </c>
    </row>
    <row r="537" customFormat="false" ht="15" hidden="false" customHeight="false" outlineLevel="0" collapsed="false">
      <c r="A537" s="18" t="n">
        <v>134867624</v>
      </c>
      <c r="B537" s="10" t="n">
        <v>956</v>
      </c>
      <c r="C537" s="18" t="s">
        <v>43</v>
      </c>
      <c r="D537" s="9" t="s">
        <v>2008</v>
      </c>
      <c r="E537" s="15" t="s">
        <v>2009</v>
      </c>
      <c r="F537" s="9" t="s">
        <v>732</v>
      </c>
      <c r="G537" s="10" t="n">
        <v>2024</v>
      </c>
      <c r="H537" s="10" t="n">
        <v>0</v>
      </c>
      <c r="I537" s="19" t="n">
        <v>35000</v>
      </c>
      <c r="J537" s="19" t="n">
        <v>35000</v>
      </c>
      <c r="K537" s="10" t="n">
        <v>0</v>
      </c>
      <c r="L537" s="10" t="n">
        <v>264</v>
      </c>
      <c r="M537" s="10" t="n">
        <v>0</v>
      </c>
      <c r="N537" s="11" t="n">
        <v>0</v>
      </c>
      <c r="O537" s="18" t="s">
        <v>56</v>
      </c>
    </row>
    <row r="538" customFormat="false" ht="15" hidden="false" customHeight="false" outlineLevel="0" collapsed="false">
      <c r="A538" s="18" t="n">
        <v>134605465</v>
      </c>
      <c r="B538" s="10" t="n">
        <v>959</v>
      </c>
      <c r="C538" s="18" t="s">
        <v>43</v>
      </c>
      <c r="D538" s="9" t="s">
        <v>2013</v>
      </c>
      <c r="E538" s="9" t="s">
        <v>1696</v>
      </c>
      <c r="F538" s="9" t="s">
        <v>259</v>
      </c>
      <c r="G538" s="10" t="n">
        <v>2024</v>
      </c>
      <c r="H538" s="10" t="n">
        <v>10</v>
      </c>
      <c r="I538" s="19" t="n">
        <v>20700</v>
      </c>
      <c r="J538" s="19" t="n">
        <v>23000</v>
      </c>
      <c r="K538" s="10" t="n">
        <v>230</v>
      </c>
      <c r="L538" s="10" t="n">
        <v>1944</v>
      </c>
      <c r="M538" s="10" t="n">
        <v>4</v>
      </c>
      <c r="N538" s="11" t="n">
        <v>9.5</v>
      </c>
      <c r="O538" s="18" t="s">
        <v>56</v>
      </c>
    </row>
    <row r="539" customFormat="false" ht="15" hidden="false" customHeight="false" outlineLevel="0" collapsed="false">
      <c r="A539" s="18" t="n">
        <v>134242062</v>
      </c>
      <c r="B539" s="10" t="n">
        <v>961</v>
      </c>
      <c r="C539" s="18" t="s">
        <v>43</v>
      </c>
      <c r="D539" s="9" t="s">
        <v>2016</v>
      </c>
      <c r="E539" s="9" t="s">
        <v>2017</v>
      </c>
      <c r="F539" s="9" t="s">
        <v>2018</v>
      </c>
      <c r="G539" s="10" t="n">
        <v>2024</v>
      </c>
      <c r="H539" s="10" t="n">
        <v>10</v>
      </c>
      <c r="I539" s="19" t="n">
        <v>20700</v>
      </c>
      <c r="J539" s="19" t="n">
        <v>23000</v>
      </c>
      <c r="K539" s="10" t="n">
        <v>1150</v>
      </c>
      <c r="L539" s="10" t="n">
        <v>930</v>
      </c>
      <c r="M539" s="10" t="n">
        <v>1</v>
      </c>
      <c r="N539" s="11" t="n">
        <v>2</v>
      </c>
      <c r="O539" s="18" t="s">
        <v>56</v>
      </c>
    </row>
    <row r="540" customFormat="false" ht="15" hidden="false" customHeight="false" outlineLevel="0" collapsed="false">
      <c r="A540" s="18" t="n">
        <v>133974164</v>
      </c>
      <c r="B540" s="10" t="n">
        <v>962</v>
      </c>
      <c r="C540" s="18" t="s">
        <v>43</v>
      </c>
      <c r="D540" s="9" t="s">
        <v>2019</v>
      </c>
      <c r="E540" s="9" t="s">
        <v>2020</v>
      </c>
      <c r="F540" s="9" t="s">
        <v>564</v>
      </c>
      <c r="G540" s="10" t="n">
        <v>2024</v>
      </c>
      <c r="H540" s="10" t="n">
        <v>10</v>
      </c>
      <c r="I540" s="19" t="n">
        <v>21600</v>
      </c>
      <c r="J540" s="19" t="n">
        <v>24000</v>
      </c>
      <c r="K540" s="10" t="n">
        <v>1200</v>
      </c>
      <c r="L540" s="10" t="n">
        <v>252</v>
      </c>
      <c r="M540" s="10" t="n">
        <v>5</v>
      </c>
      <c r="N540" s="11" t="n">
        <v>9.6</v>
      </c>
      <c r="O540" s="18" t="s">
        <v>56</v>
      </c>
    </row>
    <row r="541" customFormat="false" ht="15" hidden="false" customHeight="false" outlineLevel="0" collapsed="false">
      <c r="A541" s="18" t="n">
        <v>133810549</v>
      </c>
      <c r="B541" s="10" t="n">
        <v>964</v>
      </c>
      <c r="C541" s="18" t="s">
        <v>43</v>
      </c>
      <c r="D541" s="15" t="s">
        <v>2023</v>
      </c>
      <c r="E541" s="9" t="s">
        <v>2024</v>
      </c>
      <c r="F541" s="9" t="s">
        <v>2025</v>
      </c>
      <c r="G541" s="10" t="n">
        <v>2024</v>
      </c>
      <c r="H541" s="10" t="n">
        <v>10</v>
      </c>
      <c r="I541" s="19" t="n">
        <v>15300</v>
      </c>
      <c r="J541" s="19" t="n">
        <v>17000</v>
      </c>
      <c r="K541" s="10" t="n">
        <v>850</v>
      </c>
      <c r="L541" s="10" t="n">
        <v>684</v>
      </c>
      <c r="M541" s="10" t="n">
        <v>29</v>
      </c>
      <c r="N541" s="11" t="n">
        <v>9.9</v>
      </c>
      <c r="O541" s="18" t="s">
        <v>56</v>
      </c>
    </row>
    <row r="542" customFormat="false" ht="15" hidden="false" customHeight="false" outlineLevel="0" collapsed="false">
      <c r="A542" s="18" t="n">
        <v>133337416</v>
      </c>
      <c r="B542" s="10" t="n">
        <v>965</v>
      </c>
      <c r="C542" s="18" t="s">
        <v>43</v>
      </c>
      <c r="D542" s="15" t="s">
        <v>2026</v>
      </c>
      <c r="E542" s="9" t="s">
        <v>395</v>
      </c>
      <c r="F542" s="9" t="s">
        <v>195</v>
      </c>
      <c r="G542" s="10" t="n">
        <v>2024</v>
      </c>
      <c r="H542" s="10" t="n">
        <v>10</v>
      </c>
      <c r="I542" s="19" t="n">
        <v>18000</v>
      </c>
      <c r="J542" s="19" t="n">
        <v>20000</v>
      </c>
      <c r="K542" s="10" t="n">
        <v>1000</v>
      </c>
      <c r="L542" s="10" t="n">
        <v>3972</v>
      </c>
      <c r="M542" s="10" t="n">
        <v>370</v>
      </c>
      <c r="N542" s="11" t="n">
        <v>9.7</v>
      </c>
      <c r="O542" s="18" t="s">
        <v>46</v>
      </c>
    </row>
    <row r="543" customFormat="false" ht="15" hidden="false" customHeight="false" outlineLevel="0" collapsed="false">
      <c r="A543" s="18" t="n">
        <v>133282242</v>
      </c>
      <c r="B543" s="10" t="n">
        <v>967</v>
      </c>
      <c r="C543" s="18" t="s">
        <v>43</v>
      </c>
      <c r="D543" s="15" t="s">
        <v>2029</v>
      </c>
      <c r="E543" s="9" t="s">
        <v>2030</v>
      </c>
      <c r="F543" s="9" t="s">
        <v>25</v>
      </c>
      <c r="G543" s="10" t="n">
        <v>2024</v>
      </c>
      <c r="H543" s="10" t="n">
        <v>0</v>
      </c>
      <c r="I543" s="19" t="n">
        <v>12000</v>
      </c>
      <c r="J543" s="19" t="n">
        <v>12000</v>
      </c>
      <c r="K543" s="10" t="n">
        <v>0</v>
      </c>
      <c r="L543" s="10" t="n">
        <v>84</v>
      </c>
      <c r="M543" s="10" t="n">
        <v>0</v>
      </c>
      <c r="N543" s="11" t="n">
        <v>0</v>
      </c>
      <c r="O543" s="18" t="s">
        <v>56</v>
      </c>
    </row>
    <row r="544" customFormat="false" ht="15" hidden="false" customHeight="false" outlineLevel="0" collapsed="false">
      <c r="A544" s="18" t="n">
        <v>132622950</v>
      </c>
      <c r="B544" s="10" t="n">
        <v>971</v>
      </c>
      <c r="C544" s="18" t="s">
        <v>43</v>
      </c>
      <c r="D544" s="9" t="s">
        <v>2037</v>
      </c>
      <c r="E544" s="9" t="s">
        <v>2038</v>
      </c>
      <c r="F544" s="9" t="s">
        <v>1654</v>
      </c>
      <c r="G544" s="10" t="n">
        <v>2024</v>
      </c>
      <c r="H544" s="10" t="n">
        <v>10</v>
      </c>
      <c r="I544" s="19" t="n">
        <v>12600</v>
      </c>
      <c r="J544" s="19" t="n">
        <v>14000</v>
      </c>
      <c r="K544" s="10" t="n">
        <v>700</v>
      </c>
      <c r="L544" s="10" t="n">
        <v>468</v>
      </c>
      <c r="M544" s="10" t="n">
        <v>0</v>
      </c>
      <c r="N544" s="11" t="n">
        <v>0</v>
      </c>
      <c r="O544" s="18" t="s">
        <v>56</v>
      </c>
    </row>
    <row r="545" customFormat="false" ht="15" hidden="false" customHeight="false" outlineLevel="0" collapsed="false">
      <c r="A545" s="18" t="n">
        <v>132620204</v>
      </c>
      <c r="B545" s="10" t="n">
        <v>972</v>
      </c>
      <c r="C545" s="18" t="s">
        <v>43</v>
      </c>
      <c r="D545" s="9" t="s">
        <v>2039</v>
      </c>
      <c r="E545" s="9" t="s">
        <v>2040</v>
      </c>
      <c r="F545" s="9" t="s">
        <v>1240</v>
      </c>
      <c r="G545" s="10" t="n">
        <v>2024</v>
      </c>
      <c r="H545" s="10" t="n">
        <v>5</v>
      </c>
      <c r="I545" s="19" t="n">
        <v>33250</v>
      </c>
      <c r="J545" s="19" t="n">
        <v>35000</v>
      </c>
      <c r="K545" s="10" t="n">
        <v>700</v>
      </c>
      <c r="L545" s="10" t="n">
        <v>132</v>
      </c>
      <c r="M545" s="10" t="n">
        <v>0</v>
      </c>
      <c r="N545" s="11" t="n">
        <v>0</v>
      </c>
      <c r="O545" s="18" t="s">
        <v>56</v>
      </c>
    </row>
    <row r="546" customFormat="false" ht="15" hidden="false" customHeight="false" outlineLevel="0" collapsed="false">
      <c r="A546" s="18" t="n">
        <v>132560857</v>
      </c>
      <c r="B546" s="10" t="n">
        <v>973</v>
      </c>
      <c r="C546" s="18" t="s">
        <v>43</v>
      </c>
      <c r="D546" s="9" t="s">
        <v>2041</v>
      </c>
      <c r="E546" s="9" t="s">
        <v>2042</v>
      </c>
      <c r="F546" s="9" t="s">
        <v>2043</v>
      </c>
      <c r="G546" s="10" t="n">
        <v>2024</v>
      </c>
      <c r="H546" s="10" t="n">
        <v>10</v>
      </c>
      <c r="I546" s="19" t="n">
        <v>14400</v>
      </c>
      <c r="J546" s="19" t="n">
        <v>16000</v>
      </c>
      <c r="K546" s="10" t="n">
        <v>800</v>
      </c>
      <c r="L546" s="10" t="n">
        <v>324</v>
      </c>
      <c r="M546" s="10" t="n">
        <v>5</v>
      </c>
      <c r="N546" s="11" t="n">
        <v>10</v>
      </c>
      <c r="O546" s="18" t="s">
        <v>56</v>
      </c>
    </row>
    <row r="547" customFormat="false" ht="15" hidden="false" customHeight="false" outlineLevel="0" collapsed="false">
      <c r="A547" s="18" t="n">
        <v>132560855</v>
      </c>
      <c r="B547" s="10" t="n">
        <v>974</v>
      </c>
      <c r="C547" s="18" t="s">
        <v>43</v>
      </c>
      <c r="D547" s="9" t="s">
        <v>2044</v>
      </c>
      <c r="E547" s="9" t="s">
        <v>2042</v>
      </c>
      <c r="F547" s="9" t="s">
        <v>2043</v>
      </c>
      <c r="G547" s="10" t="n">
        <v>2024</v>
      </c>
      <c r="H547" s="10" t="n">
        <v>10</v>
      </c>
      <c r="I547" s="19" t="n">
        <v>14400</v>
      </c>
      <c r="J547" s="19" t="n">
        <v>16000</v>
      </c>
      <c r="K547" s="10" t="n">
        <v>800</v>
      </c>
      <c r="L547" s="10" t="n">
        <v>354</v>
      </c>
      <c r="M547" s="10" t="n">
        <v>16</v>
      </c>
      <c r="N547" s="11" t="n">
        <v>10</v>
      </c>
      <c r="O547" s="18" t="s">
        <v>56</v>
      </c>
    </row>
    <row r="548" customFormat="false" ht="15" hidden="false" customHeight="false" outlineLevel="0" collapsed="false">
      <c r="A548" s="18" t="n">
        <v>131192112</v>
      </c>
      <c r="B548" s="10" t="n">
        <v>976</v>
      </c>
      <c r="C548" s="18" t="s">
        <v>43</v>
      </c>
      <c r="D548" s="15" t="s">
        <v>2047</v>
      </c>
      <c r="E548" s="9" t="s">
        <v>2048</v>
      </c>
      <c r="F548" s="9" t="s">
        <v>109</v>
      </c>
      <c r="G548" s="10" t="n">
        <v>2024</v>
      </c>
      <c r="H548" s="10" t="n">
        <v>10</v>
      </c>
      <c r="I548" s="19" t="n">
        <v>39600</v>
      </c>
      <c r="J548" s="19" t="n">
        <v>44000</v>
      </c>
      <c r="K548" s="10" t="n">
        <v>2200</v>
      </c>
      <c r="L548" s="10" t="n">
        <v>414</v>
      </c>
      <c r="M548" s="10" t="n">
        <v>3</v>
      </c>
      <c r="N548" s="11" t="n">
        <v>10</v>
      </c>
      <c r="O548" s="18" t="s">
        <v>56</v>
      </c>
    </row>
    <row r="549" customFormat="false" ht="15" hidden="false" customHeight="false" outlineLevel="0" collapsed="false">
      <c r="A549" s="18" t="n">
        <v>130540946</v>
      </c>
      <c r="B549" s="10" t="n">
        <v>979</v>
      </c>
      <c r="C549" s="18" t="s">
        <v>43</v>
      </c>
      <c r="D549" s="9" t="s">
        <v>2053</v>
      </c>
      <c r="E549" s="9" t="s">
        <v>1720</v>
      </c>
      <c r="F549" s="9" t="s">
        <v>747</v>
      </c>
      <c r="G549" s="10" t="n">
        <v>2024</v>
      </c>
      <c r="H549" s="10" t="n">
        <v>10</v>
      </c>
      <c r="I549" s="19" t="n">
        <v>12600</v>
      </c>
      <c r="J549" s="19" t="n">
        <v>14000</v>
      </c>
      <c r="K549" s="10" t="n">
        <v>700</v>
      </c>
      <c r="L549" s="10" t="n">
        <v>216</v>
      </c>
      <c r="M549" s="10" t="n">
        <v>0</v>
      </c>
      <c r="N549" s="11" t="n">
        <v>0</v>
      </c>
      <c r="O549" s="18" t="s">
        <v>56</v>
      </c>
    </row>
    <row r="550" customFormat="false" ht="15" hidden="false" customHeight="false" outlineLevel="0" collapsed="false">
      <c r="A550" s="18" t="n">
        <v>130326801</v>
      </c>
      <c r="B550" s="10" t="n">
        <v>982</v>
      </c>
      <c r="C550" s="18" t="s">
        <v>43</v>
      </c>
      <c r="D550" s="9" t="s">
        <v>2058</v>
      </c>
      <c r="E550" s="9" t="s">
        <v>2059</v>
      </c>
      <c r="F550" s="9" t="s">
        <v>1660</v>
      </c>
      <c r="G550" s="10" t="n">
        <v>2024</v>
      </c>
      <c r="H550" s="10" t="n">
        <v>0</v>
      </c>
      <c r="I550" s="19" t="n">
        <v>18000</v>
      </c>
      <c r="J550" s="19" t="n">
        <v>18000</v>
      </c>
      <c r="K550" s="10" t="n">
        <v>0</v>
      </c>
      <c r="L550" s="10" t="n">
        <v>1356</v>
      </c>
      <c r="M550" s="10" t="n">
        <v>0</v>
      </c>
      <c r="N550" s="11" t="n">
        <v>0</v>
      </c>
      <c r="O550" s="18" t="s">
        <v>56</v>
      </c>
    </row>
    <row r="551" customFormat="false" ht="15" hidden="false" customHeight="false" outlineLevel="0" collapsed="false">
      <c r="A551" s="18" t="n">
        <v>130300826</v>
      </c>
      <c r="B551" s="10" t="n">
        <v>983</v>
      </c>
      <c r="C551" s="18" t="s">
        <v>43</v>
      </c>
      <c r="D551" s="9" t="s">
        <v>2060</v>
      </c>
      <c r="E551" s="9" t="s">
        <v>2061</v>
      </c>
      <c r="F551" s="9" t="s">
        <v>422</v>
      </c>
      <c r="G551" s="10" t="n">
        <v>2024</v>
      </c>
      <c r="H551" s="10" t="n">
        <v>10</v>
      </c>
      <c r="I551" s="19" t="n">
        <v>38700</v>
      </c>
      <c r="J551" s="19" t="n">
        <v>43000</v>
      </c>
      <c r="K551" s="10" t="n">
        <v>2150</v>
      </c>
      <c r="L551" s="10" t="n">
        <v>120</v>
      </c>
      <c r="M551" s="10" t="n">
        <v>1</v>
      </c>
      <c r="N551" s="11" t="n">
        <v>10</v>
      </c>
      <c r="O551" s="18" t="s">
        <v>56</v>
      </c>
    </row>
    <row r="552" customFormat="false" ht="15" hidden="false" customHeight="false" outlineLevel="0" collapsed="false">
      <c r="A552" s="18" t="n">
        <v>130210509</v>
      </c>
      <c r="B552" s="10" t="n">
        <v>985</v>
      </c>
      <c r="C552" s="18" t="s">
        <v>43</v>
      </c>
      <c r="D552" s="9" t="s">
        <v>2064</v>
      </c>
      <c r="E552" s="9" t="s">
        <v>1167</v>
      </c>
      <c r="F552" s="9" t="s">
        <v>663</v>
      </c>
      <c r="G552" s="10" t="n">
        <v>2024</v>
      </c>
      <c r="H552" s="10" t="n">
        <v>10</v>
      </c>
      <c r="I552" s="19" t="n">
        <v>9000</v>
      </c>
      <c r="J552" s="19" t="n">
        <v>10000</v>
      </c>
      <c r="K552" s="10" t="n">
        <v>500</v>
      </c>
      <c r="L552" s="10" t="n">
        <v>1020</v>
      </c>
      <c r="M552" s="10" t="n">
        <v>0</v>
      </c>
      <c r="N552" s="11" t="n">
        <v>0</v>
      </c>
      <c r="O552" s="18" t="s">
        <v>56</v>
      </c>
    </row>
    <row r="553" customFormat="false" ht="15" hidden="false" customHeight="false" outlineLevel="0" collapsed="false">
      <c r="A553" s="18" t="n">
        <v>130210471</v>
      </c>
      <c r="B553" s="10" t="n">
        <v>986</v>
      </c>
      <c r="C553" s="18" t="s">
        <v>43</v>
      </c>
      <c r="D553" s="9" t="s">
        <v>2065</v>
      </c>
      <c r="E553" s="9" t="s">
        <v>1167</v>
      </c>
      <c r="F553" s="9" t="s">
        <v>663</v>
      </c>
      <c r="G553" s="10" t="n">
        <v>2024</v>
      </c>
      <c r="H553" s="10" t="n">
        <v>10</v>
      </c>
      <c r="I553" s="19" t="n">
        <v>9000</v>
      </c>
      <c r="J553" s="19" t="n">
        <v>10000</v>
      </c>
      <c r="K553" s="10" t="n">
        <v>500</v>
      </c>
      <c r="L553" s="10" t="n">
        <v>1209</v>
      </c>
      <c r="M553" s="10" t="n">
        <v>2</v>
      </c>
      <c r="N553" s="11" t="n">
        <v>10</v>
      </c>
      <c r="O553" s="18" t="s">
        <v>56</v>
      </c>
    </row>
    <row r="554" customFormat="false" ht="15" hidden="false" customHeight="false" outlineLevel="0" collapsed="false">
      <c r="A554" s="18" t="n">
        <v>130153561</v>
      </c>
      <c r="B554" s="10" t="n">
        <v>987</v>
      </c>
      <c r="C554" s="18" t="s">
        <v>43</v>
      </c>
      <c r="D554" s="9" t="s">
        <v>2066</v>
      </c>
      <c r="E554" s="9" t="s">
        <v>60</v>
      </c>
      <c r="F554" s="9" t="s">
        <v>116</v>
      </c>
      <c r="G554" s="10" t="n">
        <v>2024</v>
      </c>
      <c r="H554" s="10" t="n">
        <v>10</v>
      </c>
      <c r="I554" s="19" t="n">
        <v>25200</v>
      </c>
      <c r="J554" s="19" t="n">
        <v>28000</v>
      </c>
      <c r="K554" s="10" t="n">
        <v>1400</v>
      </c>
      <c r="L554" s="10" t="n">
        <v>1446</v>
      </c>
      <c r="M554" s="10" t="n">
        <v>19</v>
      </c>
      <c r="N554" s="11" t="n">
        <v>7.6</v>
      </c>
      <c r="O554" s="18" t="s">
        <v>56</v>
      </c>
    </row>
    <row r="555" customFormat="false" ht="15" hidden="false" customHeight="false" outlineLevel="0" collapsed="false">
      <c r="A555" s="18" t="n">
        <v>130139106</v>
      </c>
      <c r="B555" s="10" t="n">
        <v>988</v>
      </c>
      <c r="C555" s="18" t="s">
        <v>43</v>
      </c>
      <c r="D555" s="9" t="s">
        <v>2067</v>
      </c>
      <c r="E555" s="9" t="s">
        <v>2068</v>
      </c>
      <c r="F555" s="9" t="s">
        <v>25</v>
      </c>
      <c r="G555" s="10" t="n">
        <v>2024</v>
      </c>
      <c r="H555" s="10" t="n">
        <v>0</v>
      </c>
      <c r="I555" s="19" t="n">
        <v>12000</v>
      </c>
      <c r="J555" s="19" t="n">
        <v>12000</v>
      </c>
      <c r="K555" s="10" t="n">
        <v>0</v>
      </c>
      <c r="L555" s="10" t="n">
        <v>114</v>
      </c>
      <c r="M555" s="10" t="n">
        <v>0</v>
      </c>
      <c r="N555" s="11" t="n">
        <v>0</v>
      </c>
      <c r="O555" s="18" t="s">
        <v>56</v>
      </c>
    </row>
    <row r="556" customFormat="false" ht="15" hidden="false" customHeight="false" outlineLevel="0" collapsed="false">
      <c r="A556" s="18" t="n">
        <v>129366411</v>
      </c>
      <c r="B556" s="10" t="n">
        <v>991</v>
      </c>
      <c r="C556" s="18" t="s">
        <v>43</v>
      </c>
      <c r="D556" s="9" t="s">
        <v>2073</v>
      </c>
      <c r="E556" s="9" t="s">
        <v>2074</v>
      </c>
      <c r="F556" s="9" t="s">
        <v>64</v>
      </c>
      <c r="G556" s="10" t="n">
        <v>2024</v>
      </c>
      <c r="H556" s="10" t="n">
        <v>10</v>
      </c>
      <c r="I556" s="19" t="n">
        <v>17820</v>
      </c>
      <c r="J556" s="19" t="n">
        <v>19800</v>
      </c>
      <c r="K556" s="10" t="n">
        <v>990</v>
      </c>
      <c r="L556" s="10" t="n">
        <v>978</v>
      </c>
      <c r="M556" s="10" t="n">
        <v>5</v>
      </c>
      <c r="N556" s="11" t="n">
        <v>10</v>
      </c>
      <c r="O556" s="18" t="s">
        <v>56</v>
      </c>
    </row>
    <row r="557" customFormat="false" ht="15" hidden="false" customHeight="false" outlineLevel="0" collapsed="false">
      <c r="A557" s="18" t="n">
        <v>129053073</v>
      </c>
      <c r="B557" s="10" t="n">
        <v>993</v>
      </c>
      <c r="C557" s="18" t="s">
        <v>43</v>
      </c>
      <c r="D557" s="15" t="s">
        <v>2077</v>
      </c>
      <c r="E557" s="9" t="s">
        <v>2078</v>
      </c>
      <c r="F557" s="9" t="s">
        <v>1966</v>
      </c>
      <c r="G557" s="10" t="n">
        <v>2024</v>
      </c>
      <c r="H557" s="10" t="n">
        <v>10</v>
      </c>
      <c r="I557" s="19" t="n">
        <v>16200</v>
      </c>
      <c r="J557" s="19" t="n">
        <v>18000</v>
      </c>
      <c r="K557" s="10" t="n">
        <v>900</v>
      </c>
      <c r="L557" s="10" t="n">
        <v>108</v>
      </c>
      <c r="M557" s="10" t="n">
        <v>1</v>
      </c>
      <c r="N557" s="11" t="n">
        <v>10</v>
      </c>
      <c r="O557" s="18" t="s">
        <v>56</v>
      </c>
    </row>
    <row r="558" customFormat="false" ht="15" hidden="false" customHeight="false" outlineLevel="0" collapsed="false">
      <c r="A558" s="18" t="n">
        <v>128928355</v>
      </c>
      <c r="B558" s="10" t="n">
        <v>996</v>
      </c>
      <c r="C558" s="18" t="s">
        <v>43</v>
      </c>
      <c r="D558" s="9" t="s">
        <v>2083</v>
      </c>
      <c r="E558" s="9" t="s">
        <v>2084</v>
      </c>
      <c r="F558" s="9" t="s">
        <v>322</v>
      </c>
      <c r="G558" s="10" t="n">
        <v>2024</v>
      </c>
      <c r="H558" s="10" t="n">
        <v>0</v>
      </c>
      <c r="I558" s="19" t="n">
        <v>34000</v>
      </c>
      <c r="J558" s="19" t="n">
        <v>34000</v>
      </c>
      <c r="K558" s="10" t="n">
        <v>1020</v>
      </c>
      <c r="L558" s="10" t="n">
        <v>4746</v>
      </c>
      <c r="M558" s="10" t="n">
        <v>6</v>
      </c>
      <c r="N558" s="11" t="n">
        <v>10</v>
      </c>
      <c r="O558" s="18" t="s">
        <v>56</v>
      </c>
    </row>
    <row r="559" customFormat="false" ht="15" hidden="false" customHeight="false" outlineLevel="0" collapsed="false">
      <c r="A559" s="18" t="n">
        <v>128869338</v>
      </c>
      <c r="B559" s="10" t="n">
        <v>998</v>
      </c>
      <c r="C559" s="18" t="s">
        <v>43</v>
      </c>
      <c r="D559" s="9" t="s">
        <v>2087</v>
      </c>
      <c r="E559" s="9" t="s">
        <v>941</v>
      </c>
      <c r="F559" s="9" t="s">
        <v>514</v>
      </c>
      <c r="G559" s="10" t="n">
        <v>2024</v>
      </c>
      <c r="H559" s="10" t="n">
        <v>0</v>
      </c>
      <c r="I559" s="19" t="n">
        <v>31000</v>
      </c>
      <c r="J559" s="19" t="n">
        <v>31000</v>
      </c>
      <c r="K559" s="10" t="n">
        <v>0</v>
      </c>
      <c r="L559" s="10" t="n">
        <v>1428</v>
      </c>
      <c r="M559" s="10" t="n">
        <v>5</v>
      </c>
      <c r="N559" s="11" t="n">
        <v>10</v>
      </c>
      <c r="O559" s="18" t="s">
        <v>56</v>
      </c>
    </row>
    <row r="560" customFormat="false" ht="15" hidden="false" customHeight="false" outlineLevel="0" collapsed="false">
      <c r="A560" s="18" t="n">
        <v>128724816</v>
      </c>
      <c r="B560" s="10" t="n">
        <v>999</v>
      </c>
      <c r="C560" s="18" t="s">
        <v>43</v>
      </c>
      <c r="D560" s="9" t="s">
        <v>2088</v>
      </c>
      <c r="E560" s="9" t="s">
        <v>2089</v>
      </c>
      <c r="F560" s="9" t="s">
        <v>2090</v>
      </c>
      <c r="G560" s="10" t="n">
        <v>2024</v>
      </c>
      <c r="H560" s="10" t="n">
        <v>10</v>
      </c>
      <c r="I560" s="19" t="n">
        <v>17550</v>
      </c>
      <c r="J560" s="19" t="n">
        <v>19500</v>
      </c>
      <c r="K560" s="10" t="n">
        <v>970</v>
      </c>
      <c r="L560" s="10" t="n">
        <v>1863</v>
      </c>
      <c r="M560" s="10" t="n">
        <v>54</v>
      </c>
      <c r="N560" s="11" t="n">
        <v>9.7</v>
      </c>
      <c r="O560" s="18" t="s">
        <v>46</v>
      </c>
    </row>
    <row r="561" customFormat="false" ht="15" hidden="false" customHeight="false" outlineLevel="0" collapsed="false">
      <c r="A561" s="18" t="n">
        <v>128710457</v>
      </c>
      <c r="B561" s="10" t="n">
        <v>1000</v>
      </c>
      <c r="C561" s="18" t="s">
        <v>43</v>
      </c>
      <c r="D561" s="9" t="s">
        <v>2091</v>
      </c>
      <c r="E561" s="9" t="s">
        <v>2092</v>
      </c>
      <c r="F561" s="15" t="s">
        <v>680</v>
      </c>
      <c r="G561" s="10" t="n">
        <v>2024</v>
      </c>
      <c r="H561" s="10" t="n">
        <v>10</v>
      </c>
      <c r="I561" s="19" t="n">
        <v>23400</v>
      </c>
      <c r="J561" s="19" t="n">
        <v>26000</v>
      </c>
      <c r="K561" s="10" t="n">
        <v>1300</v>
      </c>
      <c r="L561" s="10" t="n">
        <v>456</v>
      </c>
      <c r="M561" s="10" t="n">
        <v>7</v>
      </c>
      <c r="N561" s="11" t="n">
        <v>9.7</v>
      </c>
      <c r="O561" s="18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2026-06-06T01:08:43Z</dcterms:created>
  <dc:creator>openpyxl</dc:creator>
  <dc:description/>
  <dc:language>ko-KR</dc:language>
  <cp:lastModifiedBy/>
  <dcterms:modified xsi:type="dcterms:W3CDTF">2026-06-06T10:08:46Z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